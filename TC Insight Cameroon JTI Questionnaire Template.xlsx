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codeName="ThisWorkbook"/>
  <mc:AlternateContent xmlns:mc="http://schemas.openxmlformats.org/markup-compatibility/2006">
    <mc:Choice Requires="x15">
      <x15ac:absPath xmlns:x15ac="http://schemas.microsoft.com/office/spreadsheetml/2010/11/ac" url="https://insighthq.sharepoint.com/sites/TCCamerounJTI/Shared Documents/General/02. Questionnaire/"/>
    </mc:Choice>
  </mc:AlternateContent>
  <xr:revisionPtr revIDLastSave="1237" documentId="13_ncr:1_{136FFCEE-7502-4DB3-BA7B-31B43791B927}" xr6:coauthVersionLast="47" xr6:coauthVersionMax="47" xr10:uidLastSave="{76A38FAB-E4E4-41BC-AD2D-C4291560CAAF}"/>
  <bookViews>
    <workbookView xWindow="-108" yWindow="-108" windowWidth="23256" windowHeight="13896" tabRatio="843" firstSheet="7" activeTab="9" xr2:uid="{00000000-000D-0000-FFFF-FFFF00000000}"/>
  </bookViews>
  <sheets>
    <sheet name="Instructions" sheetId="15" r:id="rId1"/>
    <sheet name="Profile" sheetId="1" r:id="rId2"/>
    <sheet name="Obs" sheetId="29" state="hidden" r:id="rId3"/>
    <sheet name="Area" sheetId="51" r:id="rId4"/>
    <sheet name="Outlet details" sheetId="52" r:id="rId5"/>
    <sheet name="Interview Start" sheetId="53" r:id="rId6"/>
    <sheet name="Volume" sheetId="57" r:id="rId7"/>
    <sheet name="Wholesaler" sheetId="55" r:id="rId8"/>
    <sheet name="Marketing" sheetId="54" r:id="rId9"/>
    <sheet name="Distribution" sheetId="56" r:id="rId10"/>
    <sheet name="End" sheetId="58" r:id="rId11"/>
    <sheet name="AREA Level 1" sheetId="64" r:id="rId12"/>
    <sheet name="Province List" sheetId="62" r:id="rId13"/>
    <sheet name="Sheet4" sheetId="66" r:id="rId14"/>
    <sheet name="AREA Level 2" sheetId="65" r:id="rId15"/>
    <sheet name="I&amp;M Lists" sheetId="60" r:id="rId16"/>
    <sheet name="Constants" sheetId="61" state="hidden" r:id="rId17"/>
    <sheet name="C&amp;C Lists" sheetId="50" state="hidden" r:id="rId18"/>
    <sheet name="C&amp;C Driver Start" sheetId="23" state="hidden" r:id="rId19"/>
    <sheet name="C&amp;C Driver" sheetId="24" state="hidden" r:id="rId20"/>
    <sheet name="Follow-up quality Distributor Q" sheetId="25" state="hidden" r:id="rId21"/>
    <sheet name="Level2 Builder" sheetId="63" r:id="rId22"/>
    <sheet name="Volume &amp; Price List" sheetId="10" r:id="rId23"/>
    <sheet name="Level1 Builder " sheetId="69" r:id="rId24"/>
    <sheet name="Level3 Builder" sheetId="68" r:id="rId25"/>
    <sheet name="Level4 Builder" sheetId="72" r:id="rId26"/>
    <sheet name="AREA Level 4" sheetId="71" r:id="rId27"/>
    <sheet name="AREA Level 3 " sheetId="67" r:id="rId28"/>
    <sheet name="Anomalies" sheetId="14" r:id="rId29"/>
    <sheet name="Back Checking Rules" sheetId="16" state="hidden" r:id="rId30"/>
    <sheet name="JSON BuilderSKU" sheetId="49" r:id="rId31"/>
    <sheet name="Constraint" sheetId="70" r:id="rId32"/>
    <sheet name="JSON BuilderDistributor" sheetId="47" state="hidden" r:id="rId33"/>
    <sheet name="JSON BuilderChannels" sheetId="46" state="hidden" r:id="rId34"/>
  </sheets>
  <externalReferences>
    <externalReference r:id="rId35"/>
    <externalReference r:id="rId36"/>
  </externalReferences>
  <definedNames>
    <definedName name="_xlnm._FilterDatabase" localSheetId="14" hidden="1">'AREA Level 2'!$A$2:$E$60</definedName>
    <definedName name="_xlnm._FilterDatabase" localSheetId="27" hidden="1">'AREA Level 3 '!$A$2:$E$365</definedName>
    <definedName name="_xlnm._FilterDatabase" localSheetId="26" hidden="1">'AREA Level 4'!$A$2:$I$365</definedName>
    <definedName name="_xlnm._FilterDatabase" localSheetId="24" hidden="1">'Level3 Builder'!$B$2:$F$365</definedName>
    <definedName name="_xlnm._FilterDatabase" localSheetId="25" hidden="1">'Level4 Builder'!$A$2:$F$2</definedName>
    <definedName name="_xlnm._FilterDatabase" localSheetId="12" hidden="1">'Province List'!$A$2:$H$367</definedName>
    <definedName name="_xlnm._FilterDatabase" localSheetId="13" hidden="1">Sheet4!$A$2:$G$367</definedName>
    <definedName name="_xlnm._FilterDatabase" localSheetId="22" hidden="1">'Volume &amp; Price List'!$A$9:$K$9</definedName>
    <definedName name="area_vis_lv2">Constraint!$E$21</definedName>
    <definedName name="area_vis_lv21">Constraint!$F$21</definedName>
    <definedName name="area_vis_lv3">Constraint!$F$22</definedName>
    <definedName name="areavisend" localSheetId="23">[1]Constants!$F$20</definedName>
    <definedName name="areavisend" localSheetId="21">[1]Constants!$F$20</definedName>
    <definedName name="areavisend" localSheetId="24">[1]Constants!$F$20</definedName>
    <definedName name="areavisend" localSheetId="25">[1]Constants!$F$20</definedName>
    <definedName name="areavisend">[2]Constants!$F$20</definedName>
    <definedName name="areavislv2" localSheetId="23">[1]Constants!$F$19</definedName>
    <definedName name="areavislv2" localSheetId="21">[1]Constants!$F$19</definedName>
    <definedName name="areavislv2" localSheetId="24">[1]Constants!$F$19</definedName>
    <definedName name="areavislv2" localSheetId="25">[1]Constants!$F$19</definedName>
    <definedName name="areavislv2">Constraint!$F$21</definedName>
    <definedName name="areavislv3" localSheetId="23">[1]Constants!$F$21</definedName>
    <definedName name="areavislv3" localSheetId="21">[1]Constants!$F$21</definedName>
    <definedName name="areavislv3" localSheetId="24">[1]Constants!$F$21</definedName>
    <definedName name="areavislv3" localSheetId="25">[1]Constants!$F$21</definedName>
    <definedName name="areavislv3">[2]Constants!$F$21</definedName>
    <definedName name="distviscodeend" localSheetId="23">[1]Constants!$F$24</definedName>
    <definedName name="distviscodeend" localSheetId="21">[1]Constants!$F$24</definedName>
    <definedName name="distviscodeend" localSheetId="24">[1]Constants!$F$24</definedName>
    <definedName name="distviscodeend" localSheetId="25">[1]Constants!$F$24</definedName>
    <definedName name="distviscodeend">[2]Constants!$F$24</definedName>
    <definedName name="distviscodeendend" localSheetId="23">[1]Constants!$F$25</definedName>
    <definedName name="distviscodeendend" localSheetId="21">[1]Constants!$F$25</definedName>
    <definedName name="distviscodeendend" localSheetId="24">[1]Constants!$F$25</definedName>
    <definedName name="distviscodeendend" localSheetId="25">[1]Constants!$F$25</definedName>
    <definedName name="distviscodeendend">[2]Constants!$F$25</definedName>
    <definedName name="distviscodestart" localSheetId="23">[1]Constants!$F$23</definedName>
    <definedName name="distviscodestart" localSheetId="21">[1]Constants!$F$23</definedName>
    <definedName name="distviscodestart" localSheetId="24">[1]Constants!$F$23</definedName>
    <definedName name="distviscodestart" localSheetId="25">[1]Constants!$F$23</definedName>
    <definedName name="distviscodestart">[2]Constants!$F$23</definedName>
    <definedName name="distvisor" localSheetId="23">[1]Constants!$F$22</definedName>
    <definedName name="distvisor" localSheetId="21">[1]Constants!$F$22</definedName>
    <definedName name="distvisor" localSheetId="24">[1]Constants!$F$22</definedName>
    <definedName name="distvisor" localSheetId="25">[1]Constants!$F$22</definedName>
    <definedName name="distvisor">[2]Constants!$F$22</definedName>
    <definedName name="EndLV4">Constraint!$F$23</definedName>
    <definedName name="listend" localSheetId="23">[1]Constants!$F$6</definedName>
    <definedName name="listend" localSheetId="21">[1]Constants!$F$6</definedName>
    <definedName name="listend" localSheetId="24">[1]Constants!$F$6</definedName>
    <definedName name="listend" localSheetId="25">[1]Constants!$F$6</definedName>
    <definedName name="listend">Constraint!$F$6</definedName>
    <definedName name="listla" localSheetId="23">[1]Constants!$F$5</definedName>
    <definedName name="listla" localSheetId="21">[1]Constants!$F$5</definedName>
    <definedName name="listla" localSheetId="24">[1]Constants!$F$5</definedName>
    <definedName name="listla" localSheetId="25">[1]Constants!$F$5</definedName>
    <definedName name="listla">Constraint!$F$5</definedName>
    <definedName name="listlareport" localSheetId="23">[1]Constants!$F$4</definedName>
    <definedName name="listlareport" localSheetId="21">[1]Constants!$F$4</definedName>
    <definedName name="listlareport" localSheetId="24">[1]Constants!$F$4</definedName>
    <definedName name="listlareport" localSheetId="25">[1]Constants!$F$4</definedName>
    <definedName name="listlareport">Constraint!$F$4</definedName>
    <definedName name="listlat">Constraint!$F$5</definedName>
    <definedName name="liststart" localSheetId="23">[1]Constants!$F$3</definedName>
    <definedName name="liststart" localSheetId="21">[1]Constants!$F$3</definedName>
    <definedName name="liststart" localSheetId="24">[1]Constants!$F$3</definedName>
    <definedName name="liststart" localSheetId="25">[1]Constants!$F$3</definedName>
    <definedName name="liststart">Constraint!$F$3</definedName>
    <definedName name="skubrand" localSheetId="23">[1]Constants!$F$16</definedName>
    <definedName name="skubrand" localSheetId="21">[1]Constants!$F$16</definedName>
    <definedName name="skubrand" localSheetId="24">[1]Constants!$F$16</definedName>
    <definedName name="skubrand" localSheetId="25">[1]Constants!$F$16</definedName>
    <definedName name="skubrand">[2]Constants!$F$16</definedName>
    <definedName name="skucategory" localSheetId="23">[1]Constants!$F$14</definedName>
    <definedName name="skucategory" localSheetId="21">[1]Constants!$F$14</definedName>
    <definedName name="skucategory" localSheetId="24">[1]Constants!$F$14</definedName>
    <definedName name="skucategory" localSheetId="25">[1]Constants!$F$14</definedName>
    <definedName name="skucategory">[2]Constants!$F$14</definedName>
    <definedName name="skucompany" localSheetId="23">[1]Constants!$F$13</definedName>
    <definedName name="skucompany" localSheetId="21">[1]Constants!$F$13</definedName>
    <definedName name="skucompany" localSheetId="24">[1]Constants!$F$13</definedName>
    <definedName name="skucompany" localSheetId="25">[1]Constants!$F$13</definedName>
    <definedName name="skucompany">[2]Constants!$F$13</definedName>
    <definedName name="skuconv" localSheetId="23">[1]Constants!$F$17</definedName>
    <definedName name="skuconv" localSheetId="21">[1]Constants!$F$17</definedName>
    <definedName name="skuconv" localSheetId="24">[1]Constants!$F$17</definedName>
    <definedName name="skuconv" localSheetId="25">[1]Constants!$F$17</definedName>
    <definedName name="skuconv">[2]Constants!$F$17</definedName>
    <definedName name="skuend" localSheetId="23">[1]Constants!$F$18</definedName>
    <definedName name="skuend" localSheetId="21">[1]Constants!$F$18</definedName>
    <definedName name="skuend" localSheetId="24">[1]Constants!$F$18</definedName>
    <definedName name="skuend" localSheetId="25">[1]Constants!$F$18</definedName>
    <definedName name="skuend">[2]Constants!$F$18</definedName>
    <definedName name="skupacktype" localSheetId="23">[1]Constants!$F$15</definedName>
    <definedName name="skupacktype" localSheetId="21">[1]Constants!$F$15</definedName>
    <definedName name="skupacktype" localSheetId="24">[1]Constants!$F$15</definedName>
    <definedName name="skupacktype" localSheetId="25">[1]Constants!$F$15</definedName>
    <definedName name="skupacktype">[2]Constants!$F$15</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60" l="1"/>
  <c r="C74" i="60"/>
  <c r="C75" i="60"/>
  <c r="C72" i="60"/>
  <c r="C61" i="60"/>
  <c r="C105" i="60"/>
  <c r="C106" i="60"/>
  <c r="C104" i="60"/>
  <c r="C112" i="60"/>
  <c r="A4" i="62"/>
  <c r="F265" i="72"/>
  <c r="F266" i="72"/>
  <c r="F267" i="72"/>
  <c r="F268" i="72"/>
  <c r="F269" i="72"/>
  <c r="F270" i="72"/>
  <c r="F271" i="72"/>
  <c r="F272" i="72"/>
  <c r="F273" i="72"/>
  <c r="F274" i="72"/>
  <c r="F275" i="72"/>
  <c r="F276" i="72"/>
  <c r="F277" i="72"/>
  <c r="F278" i="72"/>
  <c r="F279" i="72"/>
  <c r="F280" i="72"/>
  <c r="F281" i="72"/>
  <c r="F282" i="72"/>
  <c r="F283" i="72"/>
  <c r="F284" i="72"/>
  <c r="F285" i="72"/>
  <c r="F286" i="72"/>
  <c r="F287" i="72"/>
  <c r="F288" i="72"/>
  <c r="F289" i="72"/>
  <c r="F290" i="72"/>
  <c r="F291" i="72"/>
  <c r="F292" i="72"/>
  <c r="F293" i="72"/>
  <c r="F294" i="72"/>
  <c r="F295" i="72"/>
  <c r="F296" i="72"/>
  <c r="F297" i="72"/>
  <c r="F264" i="72"/>
  <c r="F262" i="72"/>
  <c r="F261" i="72"/>
  <c r="G366" i="66"/>
  <c r="N12" i="49" l="1"/>
  <c r="L11" i="49"/>
  <c r="L12" i="49"/>
  <c r="J11" i="49"/>
  <c r="J12" i="49"/>
  <c r="H11" i="49"/>
  <c r="H12" i="49"/>
  <c r="E11" i="49"/>
  <c r="E12" i="49"/>
  <c r="C6" i="49"/>
  <c r="C11" i="49"/>
  <c r="C12" i="49"/>
  <c r="C69" i="60"/>
  <c r="F263" i="72"/>
  <c r="F4" i="72"/>
  <c r="F5" i="72"/>
  <c r="F6" i="72"/>
  <c r="F7" i="72"/>
  <c r="F8" i="72"/>
  <c r="F9" i="72"/>
  <c r="F10" i="72"/>
  <c r="F11" i="72"/>
  <c r="F12" i="72"/>
  <c r="F13" i="72"/>
  <c r="F14" i="72"/>
  <c r="F15" i="72"/>
  <c r="F16" i="72"/>
  <c r="F17" i="72"/>
  <c r="F18" i="72"/>
  <c r="F19" i="72"/>
  <c r="F20" i="72"/>
  <c r="F21" i="72"/>
  <c r="F22" i="72"/>
  <c r="F23" i="72"/>
  <c r="F24" i="72"/>
  <c r="F25" i="72"/>
  <c r="F26" i="72"/>
  <c r="F27" i="72"/>
  <c r="F28" i="72"/>
  <c r="F29" i="72"/>
  <c r="F30" i="72"/>
  <c r="F31" i="72"/>
  <c r="F32" i="72"/>
  <c r="F33" i="72"/>
  <c r="F34" i="72"/>
  <c r="F35" i="72"/>
  <c r="F36" i="72"/>
  <c r="F37" i="72"/>
  <c r="F38" i="72"/>
  <c r="F39" i="72"/>
  <c r="F40" i="72"/>
  <c r="F41" i="72"/>
  <c r="F42" i="72"/>
  <c r="F43" i="72"/>
  <c r="F44" i="72"/>
  <c r="F45" i="72"/>
  <c r="F46" i="72"/>
  <c r="F47" i="72"/>
  <c r="F48" i="72"/>
  <c r="F49" i="72"/>
  <c r="F50" i="72"/>
  <c r="F51" i="72"/>
  <c r="F52" i="72"/>
  <c r="F53" i="72"/>
  <c r="F54" i="72"/>
  <c r="F55" i="72"/>
  <c r="F56" i="72"/>
  <c r="F57" i="72"/>
  <c r="F58" i="72"/>
  <c r="F59" i="72"/>
  <c r="F60" i="72"/>
  <c r="F61" i="72"/>
  <c r="F62" i="72"/>
  <c r="F63" i="72"/>
  <c r="F64" i="72"/>
  <c r="F65" i="72"/>
  <c r="F66" i="72"/>
  <c r="F67" i="72"/>
  <c r="F68" i="72"/>
  <c r="F69" i="72"/>
  <c r="F70" i="72"/>
  <c r="F71" i="72"/>
  <c r="F72" i="72"/>
  <c r="F73" i="72"/>
  <c r="F74" i="72"/>
  <c r="F75" i="72"/>
  <c r="F76" i="72"/>
  <c r="F77" i="72"/>
  <c r="F78" i="72"/>
  <c r="F79" i="72"/>
  <c r="F80" i="72"/>
  <c r="F81" i="72"/>
  <c r="F82" i="72"/>
  <c r="F83" i="72"/>
  <c r="F84" i="72"/>
  <c r="F85" i="72"/>
  <c r="F86" i="72"/>
  <c r="F87" i="72"/>
  <c r="F88" i="72"/>
  <c r="F89" i="72"/>
  <c r="F90" i="72"/>
  <c r="F91" i="72"/>
  <c r="F92" i="72"/>
  <c r="F93" i="72"/>
  <c r="F94" i="72"/>
  <c r="F95" i="72"/>
  <c r="F96" i="72"/>
  <c r="F97" i="72"/>
  <c r="F98" i="72"/>
  <c r="F99" i="72"/>
  <c r="F100" i="72"/>
  <c r="F101" i="72"/>
  <c r="F102" i="72"/>
  <c r="F103" i="72"/>
  <c r="F104" i="72"/>
  <c r="F105" i="72"/>
  <c r="F106" i="72"/>
  <c r="F107" i="72"/>
  <c r="F108" i="72"/>
  <c r="F109" i="72"/>
  <c r="F110" i="72"/>
  <c r="F111" i="72"/>
  <c r="F112" i="72"/>
  <c r="F113" i="72"/>
  <c r="F114" i="72"/>
  <c r="F115" i="72"/>
  <c r="F116" i="72"/>
  <c r="F117" i="72"/>
  <c r="F118" i="72"/>
  <c r="F119" i="72"/>
  <c r="F120" i="72"/>
  <c r="F121" i="72"/>
  <c r="F122" i="72"/>
  <c r="F123" i="72"/>
  <c r="F124" i="72"/>
  <c r="F125" i="72"/>
  <c r="F126" i="72"/>
  <c r="F127" i="72"/>
  <c r="F128" i="72"/>
  <c r="F129" i="72"/>
  <c r="F130" i="72"/>
  <c r="F131" i="72"/>
  <c r="F132" i="72"/>
  <c r="F133" i="72"/>
  <c r="F134" i="72"/>
  <c r="F135" i="72"/>
  <c r="F136" i="72"/>
  <c r="F137" i="72"/>
  <c r="F138" i="72"/>
  <c r="F139" i="72"/>
  <c r="F140" i="72"/>
  <c r="F141" i="72"/>
  <c r="F142" i="72"/>
  <c r="F143" i="72"/>
  <c r="F144" i="72"/>
  <c r="F145" i="72"/>
  <c r="F146" i="72"/>
  <c r="F147" i="72"/>
  <c r="F148" i="72"/>
  <c r="F149" i="72"/>
  <c r="F150" i="72"/>
  <c r="F151" i="72"/>
  <c r="F152" i="72"/>
  <c r="F153" i="72"/>
  <c r="F154" i="72"/>
  <c r="F155" i="72"/>
  <c r="F156" i="72"/>
  <c r="F157" i="72"/>
  <c r="F158" i="72"/>
  <c r="F159" i="72"/>
  <c r="F160" i="72"/>
  <c r="F161" i="72"/>
  <c r="F162" i="72"/>
  <c r="F163" i="72"/>
  <c r="F164" i="72"/>
  <c r="F165" i="72"/>
  <c r="F166" i="72"/>
  <c r="F167" i="72"/>
  <c r="F168" i="72"/>
  <c r="F169" i="72"/>
  <c r="F170" i="72"/>
  <c r="F171" i="72"/>
  <c r="F172" i="72"/>
  <c r="F173" i="72"/>
  <c r="F174" i="72"/>
  <c r="F175" i="72"/>
  <c r="F176" i="72"/>
  <c r="F177" i="72"/>
  <c r="F178" i="72"/>
  <c r="F179" i="72"/>
  <c r="F180" i="72"/>
  <c r="F181" i="72"/>
  <c r="F182" i="72"/>
  <c r="F183" i="72"/>
  <c r="F184" i="72"/>
  <c r="F185" i="72"/>
  <c r="F186" i="72"/>
  <c r="F187" i="72"/>
  <c r="F188" i="72"/>
  <c r="F189" i="72"/>
  <c r="F190" i="72"/>
  <c r="F191" i="72"/>
  <c r="F192" i="72"/>
  <c r="F193" i="72"/>
  <c r="F194" i="72"/>
  <c r="F195" i="72"/>
  <c r="F196" i="72"/>
  <c r="F197" i="72"/>
  <c r="F198" i="72"/>
  <c r="F199" i="72"/>
  <c r="F200" i="72"/>
  <c r="F201" i="72"/>
  <c r="F202" i="72"/>
  <c r="F203" i="72"/>
  <c r="F204" i="72"/>
  <c r="F205" i="72"/>
  <c r="F206" i="72"/>
  <c r="F207" i="72"/>
  <c r="F208" i="72"/>
  <c r="F209" i="72"/>
  <c r="F210" i="72"/>
  <c r="F211" i="72"/>
  <c r="F212" i="72"/>
  <c r="F213" i="72"/>
  <c r="F214" i="72"/>
  <c r="F215" i="72"/>
  <c r="F216" i="72"/>
  <c r="F217" i="72"/>
  <c r="F218" i="72"/>
  <c r="F219" i="72"/>
  <c r="F220" i="72"/>
  <c r="F221" i="72"/>
  <c r="F222" i="72"/>
  <c r="F223" i="72"/>
  <c r="F224" i="72"/>
  <c r="F225" i="72"/>
  <c r="F226" i="72"/>
  <c r="F227" i="72"/>
  <c r="F228" i="72"/>
  <c r="F229" i="72"/>
  <c r="F230" i="72"/>
  <c r="F231" i="72"/>
  <c r="F232" i="72"/>
  <c r="F233" i="72"/>
  <c r="F234" i="72"/>
  <c r="F235" i="72"/>
  <c r="F236" i="72"/>
  <c r="F237" i="72"/>
  <c r="F238" i="72"/>
  <c r="F239" i="72"/>
  <c r="F240" i="72"/>
  <c r="F241" i="72"/>
  <c r="F242" i="72"/>
  <c r="F243" i="72"/>
  <c r="F244" i="72"/>
  <c r="F245" i="72"/>
  <c r="F246" i="72"/>
  <c r="F247" i="72"/>
  <c r="F248" i="72"/>
  <c r="F249" i="72"/>
  <c r="F250" i="72"/>
  <c r="F251" i="72"/>
  <c r="F252" i="72"/>
  <c r="F253" i="72"/>
  <c r="F254" i="72"/>
  <c r="F255" i="72"/>
  <c r="F256" i="72"/>
  <c r="F257" i="72"/>
  <c r="F258" i="72"/>
  <c r="F259" i="72"/>
  <c r="F260" i="72"/>
  <c r="F3" i="72"/>
  <c r="E92" i="71"/>
  <c r="E91" i="71"/>
  <c r="E90" i="71"/>
  <c r="E89" i="71"/>
  <c r="E88" i="71"/>
  <c r="E87" i="71"/>
  <c r="E86" i="71"/>
  <c r="C143" i="60"/>
  <c r="C144" i="60"/>
  <c r="C145" i="60"/>
  <c r="C146" i="60"/>
  <c r="B3" i="71"/>
  <c r="E3" i="71"/>
  <c r="B4" i="71"/>
  <c r="E4" i="71"/>
  <c r="B5" i="71"/>
  <c r="E5" i="71"/>
  <c r="B6" i="71"/>
  <c r="E6" i="71"/>
  <c r="B7" i="71"/>
  <c r="E7" i="71"/>
  <c r="B8" i="71"/>
  <c r="B9" i="71"/>
  <c r="E9" i="71"/>
  <c r="B10" i="71"/>
  <c r="E10" i="71"/>
  <c r="B11" i="71"/>
  <c r="E11" i="71"/>
  <c r="B12" i="71"/>
  <c r="E12" i="71"/>
  <c r="B13" i="71"/>
  <c r="E13" i="71"/>
  <c r="B14" i="71"/>
  <c r="E14" i="71"/>
  <c r="B15" i="71"/>
  <c r="E15" i="71"/>
  <c r="B16" i="71"/>
  <c r="E16" i="71"/>
  <c r="B17" i="71"/>
  <c r="E17" i="71"/>
  <c r="B18" i="71"/>
  <c r="E18" i="71"/>
  <c r="B19" i="71"/>
  <c r="E19" i="71"/>
  <c r="B20" i="71"/>
  <c r="E20" i="71"/>
  <c r="B21" i="71"/>
  <c r="E21" i="71"/>
  <c r="B22" i="71"/>
  <c r="E22" i="71"/>
  <c r="B23" i="71"/>
  <c r="E23" i="71"/>
  <c r="B24" i="71"/>
  <c r="E24" i="71"/>
  <c r="B25" i="71"/>
  <c r="E25" i="71"/>
  <c r="B26" i="71"/>
  <c r="E26" i="71"/>
  <c r="B27" i="71"/>
  <c r="E27" i="71"/>
  <c r="B28" i="71"/>
  <c r="E28" i="71"/>
  <c r="B29" i="71"/>
  <c r="E29" i="71"/>
  <c r="B30" i="71"/>
  <c r="E30" i="71"/>
  <c r="B31" i="71"/>
  <c r="E31" i="71"/>
  <c r="B32" i="71"/>
  <c r="E32" i="71"/>
  <c r="B33" i="71"/>
  <c r="E33" i="71"/>
  <c r="B34" i="71"/>
  <c r="E34" i="71"/>
  <c r="B35" i="71"/>
  <c r="E35" i="71"/>
  <c r="B36" i="71"/>
  <c r="E36" i="71"/>
  <c r="B37" i="71"/>
  <c r="E37" i="71"/>
  <c r="B38" i="71"/>
  <c r="E38" i="71"/>
  <c r="B39" i="71"/>
  <c r="E39" i="71"/>
  <c r="B40" i="71"/>
  <c r="E40" i="71"/>
  <c r="B41" i="71"/>
  <c r="E41" i="71"/>
  <c r="B42" i="71"/>
  <c r="E42" i="71"/>
  <c r="B43" i="71"/>
  <c r="E43" i="71"/>
  <c r="B44" i="71"/>
  <c r="E44" i="71"/>
  <c r="B45" i="71"/>
  <c r="E45" i="71"/>
  <c r="B46" i="71"/>
  <c r="E46" i="71"/>
  <c r="B47" i="71"/>
  <c r="E47" i="71"/>
  <c r="B48" i="71"/>
  <c r="E48" i="71"/>
  <c r="B49" i="71"/>
  <c r="E49" i="71"/>
  <c r="B50" i="71"/>
  <c r="E50" i="71"/>
  <c r="B51" i="71"/>
  <c r="E51" i="71"/>
  <c r="B52" i="71"/>
  <c r="E52" i="71"/>
  <c r="B53" i="71"/>
  <c r="E53" i="71"/>
  <c r="B54" i="71"/>
  <c r="E54" i="71"/>
  <c r="B55" i="71"/>
  <c r="E55" i="71"/>
  <c r="B56" i="71"/>
  <c r="E56" i="71"/>
  <c r="B57" i="71"/>
  <c r="E57" i="71"/>
  <c r="B58" i="71"/>
  <c r="E58" i="71"/>
  <c r="B59" i="71"/>
  <c r="E59" i="71"/>
  <c r="B60" i="71"/>
  <c r="E60" i="71"/>
  <c r="B61" i="71"/>
  <c r="E61" i="71"/>
  <c r="B62" i="71"/>
  <c r="E62" i="71"/>
  <c r="B63" i="71"/>
  <c r="E63" i="71"/>
  <c r="B64" i="71"/>
  <c r="E64" i="71"/>
  <c r="B65" i="71"/>
  <c r="E65" i="71"/>
  <c r="B66" i="71"/>
  <c r="E66" i="71"/>
  <c r="B67" i="71"/>
  <c r="E67" i="71"/>
  <c r="B68" i="71"/>
  <c r="E68" i="71"/>
  <c r="B69" i="71"/>
  <c r="E69" i="71"/>
  <c r="B70" i="71"/>
  <c r="E70" i="71"/>
  <c r="B71" i="71"/>
  <c r="E71" i="71"/>
  <c r="B72" i="71"/>
  <c r="E72" i="71"/>
  <c r="B73" i="71"/>
  <c r="E73" i="71"/>
  <c r="B74" i="71"/>
  <c r="E74" i="71"/>
  <c r="B75" i="71"/>
  <c r="E75" i="71"/>
  <c r="B76" i="71"/>
  <c r="E76" i="71"/>
  <c r="B77" i="71"/>
  <c r="E77" i="71"/>
  <c r="B78" i="71"/>
  <c r="E78" i="71"/>
  <c r="B79" i="71"/>
  <c r="E79" i="71"/>
  <c r="B80" i="71"/>
  <c r="E80" i="71"/>
  <c r="B81" i="71"/>
  <c r="E81" i="71"/>
  <c r="B82" i="71"/>
  <c r="E82" i="71"/>
  <c r="B83" i="71"/>
  <c r="E83" i="71"/>
  <c r="B84" i="71"/>
  <c r="E84" i="71"/>
  <c r="B85" i="71"/>
  <c r="E85" i="71"/>
  <c r="B86" i="71"/>
  <c r="B87" i="71"/>
  <c r="B88" i="71"/>
  <c r="B89" i="71"/>
  <c r="B90" i="71"/>
  <c r="B91" i="71"/>
  <c r="B92" i="71"/>
  <c r="B93" i="71"/>
  <c r="E93" i="71"/>
  <c r="B94" i="71"/>
  <c r="E94" i="71"/>
  <c r="B95" i="71"/>
  <c r="E95" i="71"/>
  <c r="B96" i="71"/>
  <c r="E96" i="71"/>
  <c r="B97" i="71"/>
  <c r="E97" i="71"/>
  <c r="B98" i="71"/>
  <c r="E98" i="71"/>
  <c r="B99" i="71"/>
  <c r="E99" i="71"/>
  <c r="B100" i="71"/>
  <c r="E100" i="71"/>
  <c r="B101" i="71"/>
  <c r="E101" i="71"/>
  <c r="B102" i="71"/>
  <c r="E102" i="71"/>
  <c r="B103" i="71"/>
  <c r="E103" i="71"/>
  <c r="B104" i="71"/>
  <c r="E104" i="71"/>
  <c r="B105" i="71"/>
  <c r="E105" i="71"/>
  <c r="B106" i="71"/>
  <c r="E106" i="71"/>
  <c r="B107" i="71"/>
  <c r="E107" i="71"/>
  <c r="B108" i="71"/>
  <c r="E108" i="71"/>
  <c r="B109" i="71"/>
  <c r="E109" i="71"/>
  <c r="B110" i="71"/>
  <c r="E110" i="71"/>
  <c r="B111" i="71"/>
  <c r="E111" i="71"/>
  <c r="B112" i="71"/>
  <c r="E112" i="71"/>
  <c r="B113" i="71"/>
  <c r="E113" i="71"/>
  <c r="B114" i="71"/>
  <c r="E114" i="71"/>
  <c r="B115" i="71"/>
  <c r="E115" i="71"/>
  <c r="B116" i="71"/>
  <c r="E116" i="71"/>
  <c r="B117" i="71"/>
  <c r="E117" i="71"/>
  <c r="B118" i="71"/>
  <c r="E118" i="71"/>
  <c r="B119" i="71"/>
  <c r="E119" i="71"/>
  <c r="B120" i="71"/>
  <c r="E120" i="71"/>
  <c r="B121" i="71"/>
  <c r="E121" i="71"/>
  <c r="B122" i="71"/>
  <c r="E122" i="71"/>
  <c r="B123" i="71"/>
  <c r="E123" i="71"/>
  <c r="B124" i="71"/>
  <c r="E124" i="71"/>
  <c r="B125" i="71"/>
  <c r="E125" i="71"/>
  <c r="B126" i="71"/>
  <c r="E126" i="71"/>
  <c r="B127" i="71"/>
  <c r="E127" i="71"/>
  <c r="B128" i="71"/>
  <c r="E128" i="71"/>
  <c r="B129" i="71"/>
  <c r="E129" i="71"/>
  <c r="B130" i="71"/>
  <c r="E130" i="71"/>
  <c r="B131" i="71"/>
  <c r="E131" i="71"/>
  <c r="B132" i="71"/>
  <c r="E132" i="71"/>
  <c r="B133" i="71"/>
  <c r="E133" i="71"/>
  <c r="B134" i="71"/>
  <c r="E134" i="71"/>
  <c r="B135" i="71"/>
  <c r="E135" i="71"/>
  <c r="B136" i="71"/>
  <c r="E136" i="71"/>
  <c r="B137" i="71"/>
  <c r="E137" i="71"/>
  <c r="B138" i="71"/>
  <c r="E138" i="71"/>
  <c r="B139" i="71"/>
  <c r="E139" i="71"/>
  <c r="B140" i="71"/>
  <c r="E140" i="71"/>
  <c r="B141" i="71"/>
  <c r="E141" i="71"/>
  <c r="B142" i="71"/>
  <c r="E142" i="71"/>
  <c r="B143" i="71"/>
  <c r="E143" i="71"/>
  <c r="B144" i="71"/>
  <c r="E144" i="71"/>
  <c r="B145" i="71"/>
  <c r="E145" i="71"/>
  <c r="B146" i="71"/>
  <c r="E146" i="71"/>
  <c r="B147" i="71"/>
  <c r="E147" i="71"/>
  <c r="B148" i="71"/>
  <c r="E148" i="71"/>
  <c r="B149" i="71"/>
  <c r="E149" i="71"/>
  <c r="B150" i="71"/>
  <c r="E150" i="71"/>
  <c r="B151" i="71"/>
  <c r="E151" i="71"/>
  <c r="B152" i="71"/>
  <c r="E152" i="71"/>
  <c r="B153" i="71"/>
  <c r="E153" i="71"/>
  <c r="B154" i="71"/>
  <c r="E154" i="71"/>
  <c r="B155" i="71"/>
  <c r="E155" i="71"/>
  <c r="B156" i="71"/>
  <c r="E156" i="71"/>
  <c r="B157" i="71"/>
  <c r="E157" i="71"/>
  <c r="B158" i="71"/>
  <c r="E158" i="71"/>
  <c r="B159" i="71"/>
  <c r="E159" i="71"/>
  <c r="B160" i="71"/>
  <c r="E160" i="71"/>
  <c r="B161" i="71"/>
  <c r="E161" i="71"/>
  <c r="B162" i="71"/>
  <c r="B163" i="71"/>
  <c r="B164" i="71"/>
  <c r="B165" i="71"/>
  <c r="B166" i="71"/>
  <c r="B167" i="71"/>
  <c r="B168" i="71"/>
  <c r="B169" i="71"/>
  <c r="B170" i="71"/>
  <c r="B171" i="71"/>
  <c r="B172" i="71"/>
  <c r="B173" i="71"/>
  <c r="B174" i="71"/>
  <c r="B175" i="71"/>
  <c r="B176" i="71"/>
  <c r="B177" i="71"/>
  <c r="B178" i="71"/>
  <c r="B179" i="71"/>
  <c r="B180" i="71"/>
  <c r="B181" i="71"/>
  <c r="B182" i="71"/>
  <c r="B183" i="71"/>
  <c r="B184" i="71"/>
  <c r="B185" i="71"/>
  <c r="B186" i="71"/>
  <c r="B187" i="71"/>
  <c r="B188" i="71"/>
  <c r="B189" i="71"/>
  <c r="B190" i="71"/>
  <c r="B191" i="71"/>
  <c r="B192" i="71"/>
  <c r="B193" i="71"/>
  <c r="B194" i="71"/>
  <c r="B195" i="71"/>
  <c r="B196" i="71"/>
  <c r="B197" i="71"/>
  <c r="B198" i="71"/>
  <c r="B199" i="71"/>
  <c r="B200" i="71"/>
  <c r="B201" i="71"/>
  <c r="B202" i="71"/>
  <c r="B203" i="71"/>
  <c r="B204" i="71"/>
  <c r="B205" i="71"/>
  <c r="B206" i="71"/>
  <c r="B207" i="71"/>
  <c r="B208" i="71"/>
  <c r="B209" i="71"/>
  <c r="B210" i="71"/>
  <c r="B211" i="71"/>
  <c r="B212" i="71"/>
  <c r="B213" i="71"/>
  <c r="B214" i="71"/>
  <c r="B215" i="71"/>
  <c r="B216" i="71"/>
  <c r="B217" i="71"/>
  <c r="B218" i="71"/>
  <c r="B219" i="71"/>
  <c r="B220" i="71"/>
  <c r="B221" i="71"/>
  <c r="B222" i="71"/>
  <c r="B223" i="71"/>
  <c r="B224" i="71"/>
  <c r="B225" i="71"/>
  <c r="B226" i="71"/>
  <c r="B227" i="71"/>
  <c r="B228" i="71"/>
  <c r="B229" i="71"/>
  <c r="B230" i="71"/>
  <c r="B231" i="71"/>
  <c r="B232" i="71"/>
  <c r="B233" i="71"/>
  <c r="B234" i="71"/>
  <c r="B235" i="71"/>
  <c r="B236" i="71"/>
  <c r="B237" i="71"/>
  <c r="B238" i="71"/>
  <c r="B239" i="71"/>
  <c r="B240" i="71"/>
  <c r="B241" i="71"/>
  <c r="B242" i="71"/>
  <c r="B243" i="71"/>
  <c r="B244" i="71"/>
  <c r="B245" i="71"/>
  <c r="B246" i="71"/>
  <c r="B247" i="71"/>
  <c r="B248" i="71"/>
  <c r="B249" i="71"/>
  <c r="B250" i="71"/>
  <c r="B251" i="71"/>
  <c r="B252" i="71"/>
  <c r="B253" i="71"/>
  <c r="B254" i="71"/>
  <c r="B255" i="71"/>
  <c r="B256" i="71"/>
  <c r="B257" i="71"/>
  <c r="B258" i="71"/>
  <c r="B259" i="71"/>
  <c r="B260" i="71"/>
  <c r="B261" i="71"/>
  <c r="B262" i="71"/>
  <c r="B263" i="71"/>
  <c r="B264" i="71"/>
  <c r="B265" i="71"/>
  <c r="B266" i="71"/>
  <c r="B267" i="71"/>
  <c r="B268" i="71"/>
  <c r="B269" i="71"/>
  <c r="B270" i="71"/>
  <c r="B271" i="71"/>
  <c r="B272" i="71"/>
  <c r="B273" i="71"/>
  <c r="B274" i="71"/>
  <c r="B275" i="71"/>
  <c r="B276" i="71"/>
  <c r="B277" i="71"/>
  <c r="B278" i="71"/>
  <c r="B279" i="71"/>
  <c r="B280" i="71"/>
  <c r="B281" i="71"/>
  <c r="B282" i="71"/>
  <c r="B283" i="71"/>
  <c r="B284" i="71"/>
  <c r="B285" i="71"/>
  <c r="B286" i="71"/>
  <c r="B287" i="71"/>
  <c r="B288" i="71"/>
  <c r="B289" i="71"/>
  <c r="B290" i="71"/>
  <c r="B291" i="71"/>
  <c r="B292" i="71"/>
  <c r="B293" i="71"/>
  <c r="B294" i="71"/>
  <c r="B295" i="71"/>
  <c r="B296" i="71"/>
  <c r="B297" i="71"/>
  <c r="B298" i="71"/>
  <c r="B299" i="71"/>
  <c r="B300" i="71"/>
  <c r="B301" i="71"/>
  <c r="B302" i="71"/>
  <c r="B303" i="71"/>
  <c r="B304" i="71"/>
  <c r="B305" i="71"/>
  <c r="B306" i="71"/>
  <c r="B307" i="71"/>
  <c r="B308" i="71"/>
  <c r="B309" i="71"/>
  <c r="B310" i="71"/>
  <c r="B311" i="71"/>
  <c r="B312" i="71"/>
  <c r="B313" i="71"/>
  <c r="B314" i="71"/>
  <c r="B315" i="71"/>
  <c r="B316" i="71"/>
  <c r="B317" i="71"/>
  <c r="B318" i="71"/>
  <c r="B319" i="71"/>
  <c r="B320" i="71"/>
  <c r="B321" i="71"/>
  <c r="B322" i="71"/>
  <c r="B323" i="71"/>
  <c r="B324" i="71"/>
  <c r="B325" i="71"/>
  <c r="B326" i="71"/>
  <c r="B327" i="71"/>
  <c r="B328" i="71"/>
  <c r="B329" i="71"/>
  <c r="B330" i="71"/>
  <c r="B331" i="71"/>
  <c r="B332" i="71"/>
  <c r="B333" i="71"/>
  <c r="B334" i="71"/>
  <c r="B335" i="71"/>
  <c r="B336" i="71"/>
  <c r="B337" i="71"/>
  <c r="B338" i="71"/>
  <c r="B339" i="71"/>
  <c r="B340" i="71"/>
  <c r="B341" i="71"/>
  <c r="B342" i="71"/>
  <c r="B343" i="71"/>
  <c r="B344" i="71"/>
  <c r="B345" i="71"/>
  <c r="B346" i="71"/>
  <c r="B347" i="71"/>
  <c r="B348" i="71"/>
  <c r="B349" i="71"/>
  <c r="B350" i="71"/>
  <c r="B351" i="71"/>
  <c r="B352" i="71"/>
  <c r="B353" i="71"/>
  <c r="B354" i="71"/>
  <c r="B355" i="71"/>
  <c r="B356" i="71"/>
  <c r="B357" i="71"/>
  <c r="B358" i="71"/>
  <c r="B359" i="71"/>
  <c r="B360" i="71"/>
  <c r="B361" i="71"/>
  <c r="B362" i="71"/>
  <c r="B363" i="71"/>
  <c r="B364" i="71"/>
  <c r="B365" i="71"/>
  <c r="F4" i="68" l="1"/>
  <c r="F5" i="68"/>
  <c r="F6" i="68"/>
  <c r="F7" i="68"/>
  <c r="F8" i="68"/>
  <c r="F9" i="68"/>
  <c r="F10" i="68"/>
  <c r="F11" i="68"/>
  <c r="F12" i="68"/>
  <c r="F13" i="68"/>
  <c r="F14" i="68"/>
  <c r="F15" i="68"/>
  <c r="F16" i="68"/>
  <c r="F17" i="68"/>
  <c r="F18" i="68"/>
  <c r="F19" i="68"/>
  <c r="F20" i="68"/>
  <c r="F21" i="68"/>
  <c r="F22" i="68"/>
  <c r="F23" i="68"/>
  <c r="F24" i="68"/>
  <c r="F25" i="68"/>
  <c r="F26" i="68"/>
  <c r="F27" i="68"/>
  <c r="F28" i="68"/>
  <c r="F29" i="68"/>
  <c r="F30" i="68"/>
  <c r="F31" i="68"/>
  <c r="F32" i="68"/>
  <c r="F33" i="68"/>
  <c r="F34" i="68"/>
  <c r="F35" i="68"/>
  <c r="F36" i="68"/>
  <c r="F37" i="68"/>
  <c r="F38" i="68"/>
  <c r="F39" i="68"/>
  <c r="F40" i="68"/>
  <c r="F41" i="68"/>
  <c r="F42" i="68"/>
  <c r="F43" i="68"/>
  <c r="F44" i="68"/>
  <c r="F45" i="68"/>
  <c r="F46" i="68"/>
  <c r="F47" i="68"/>
  <c r="F48" i="68"/>
  <c r="F49" i="68"/>
  <c r="F50" i="68"/>
  <c r="F51" i="68"/>
  <c r="F52" i="68"/>
  <c r="F53" i="68"/>
  <c r="F54" i="68"/>
  <c r="F55" i="68"/>
  <c r="F56" i="68"/>
  <c r="F57" i="68"/>
  <c r="F58" i="68"/>
  <c r="F59" i="68"/>
  <c r="F60" i="68"/>
  <c r="F61" i="68"/>
  <c r="F62" i="68"/>
  <c r="F63" i="68"/>
  <c r="F64" i="68"/>
  <c r="F65" i="68"/>
  <c r="F66" i="68"/>
  <c r="F67" i="68"/>
  <c r="F68" i="68"/>
  <c r="F69" i="68"/>
  <c r="F70" i="68"/>
  <c r="F71" i="68"/>
  <c r="F72" i="68"/>
  <c r="F73" i="68"/>
  <c r="F74" i="68"/>
  <c r="F75" i="68"/>
  <c r="F76" i="68"/>
  <c r="F77" i="68"/>
  <c r="F78" i="68"/>
  <c r="F79" i="68"/>
  <c r="F80" i="68"/>
  <c r="F81" i="68"/>
  <c r="F82" i="68"/>
  <c r="F83" i="68"/>
  <c r="F84" i="68"/>
  <c r="F85" i="68"/>
  <c r="F86" i="68"/>
  <c r="F87" i="68"/>
  <c r="F88" i="68"/>
  <c r="F89" i="68"/>
  <c r="F90" i="68"/>
  <c r="F91" i="68"/>
  <c r="F92" i="68"/>
  <c r="F93" i="68"/>
  <c r="F94" i="68"/>
  <c r="F95" i="68"/>
  <c r="F96" i="68"/>
  <c r="F97" i="68"/>
  <c r="F98" i="68"/>
  <c r="F99" i="68"/>
  <c r="F100" i="68"/>
  <c r="F101" i="68"/>
  <c r="F102" i="68"/>
  <c r="F103" i="68"/>
  <c r="F104" i="68"/>
  <c r="F105" i="68"/>
  <c r="F106" i="68"/>
  <c r="F107" i="68"/>
  <c r="F108" i="68"/>
  <c r="F109" i="68"/>
  <c r="F110" i="68"/>
  <c r="F111" i="68"/>
  <c r="F112" i="68"/>
  <c r="F113" i="68"/>
  <c r="F114" i="68"/>
  <c r="F115" i="68"/>
  <c r="F116" i="68"/>
  <c r="F117" i="68"/>
  <c r="F118" i="68"/>
  <c r="F119" i="68"/>
  <c r="F120" i="68"/>
  <c r="F121" i="68"/>
  <c r="F122" i="68"/>
  <c r="F123" i="68"/>
  <c r="F124" i="68"/>
  <c r="F125" i="68"/>
  <c r="F126" i="68"/>
  <c r="F127" i="68"/>
  <c r="F128" i="68"/>
  <c r="F129" i="68"/>
  <c r="F130" i="68"/>
  <c r="F131" i="68"/>
  <c r="F132" i="68"/>
  <c r="F133" i="68"/>
  <c r="F134" i="68"/>
  <c r="F135" i="68"/>
  <c r="F136" i="68"/>
  <c r="F137" i="68"/>
  <c r="F138" i="68"/>
  <c r="F139" i="68"/>
  <c r="F140" i="68"/>
  <c r="F141" i="68"/>
  <c r="F142" i="68"/>
  <c r="F143" i="68"/>
  <c r="F144" i="68"/>
  <c r="F145" i="68"/>
  <c r="F146" i="68"/>
  <c r="F147" i="68"/>
  <c r="F148" i="68"/>
  <c r="F149" i="68"/>
  <c r="F150" i="68"/>
  <c r="F151" i="68"/>
  <c r="F152" i="68"/>
  <c r="F153" i="68"/>
  <c r="F154" i="68"/>
  <c r="F155" i="68"/>
  <c r="F156" i="68"/>
  <c r="F157" i="68"/>
  <c r="F158" i="68"/>
  <c r="F159" i="68"/>
  <c r="F160" i="68"/>
  <c r="F161" i="68"/>
  <c r="F162" i="68"/>
  <c r="F163" i="68"/>
  <c r="F164" i="68"/>
  <c r="F165" i="68"/>
  <c r="F166" i="68"/>
  <c r="F167" i="68"/>
  <c r="F168" i="68"/>
  <c r="F169" i="68"/>
  <c r="F170" i="68"/>
  <c r="F171" i="68"/>
  <c r="F172" i="68"/>
  <c r="F173" i="68"/>
  <c r="F174" i="68"/>
  <c r="F175" i="68"/>
  <c r="F176" i="68"/>
  <c r="F177" i="68"/>
  <c r="F178" i="68"/>
  <c r="F179" i="68"/>
  <c r="F180" i="68"/>
  <c r="F181" i="68"/>
  <c r="F182" i="68"/>
  <c r="F183" i="68"/>
  <c r="F184" i="68"/>
  <c r="F185" i="68"/>
  <c r="F186" i="68"/>
  <c r="F187" i="68"/>
  <c r="F188" i="68"/>
  <c r="F189" i="68"/>
  <c r="F190" i="68"/>
  <c r="F191" i="68"/>
  <c r="F192" i="68"/>
  <c r="F193" i="68"/>
  <c r="F194" i="68"/>
  <c r="F195" i="68"/>
  <c r="F196" i="68"/>
  <c r="F197" i="68"/>
  <c r="F198" i="68"/>
  <c r="F199" i="68"/>
  <c r="F200" i="68"/>
  <c r="F201" i="68"/>
  <c r="F202" i="68"/>
  <c r="F203" i="68"/>
  <c r="F204" i="68"/>
  <c r="F205" i="68"/>
  <c r="F206" i="68"/>
  <c r="F207" i="68"/>
  <c r="F208" i="68"/>
  <c r="F209" i="68"/>
  <c r="F210" i="68"/>
  <c r="F211" i="68"/>
  <c r="F212" i="68"/>
  <c r="F213" i="68"/>
  <c r="F214" i="68"/>
  <c r="F215" i="68"/>
  <c r="F216" i="68"/>
  <c r="F217" i="68"/>
  <c r="F218" i="68"/>
  <c r="F219" i="68"/>
  <c r="F220" i="68"/>
  <c r="F221" i="68"/>
  <c r="F222" i="68"/>
  <c r="F223" i="68"/>
  <c r="F224" i="68"/>
  <c r="F225" i="68"/>
  <c r="F226" i="68"/>
  <c r="F227" i="68"/>
  <c r="F228" i="68"/>
  <c r="F229" i="68"/>
  <c r="F230" i="68"/>
  <c r="F231" i="68"/>
  <c r="F232" i="68"/>
  <c r="F233" i="68"/>
  <c r="F234" i="68"/>
  <c r="F235" i="68"/>
  <c r="F236" i="68"/>
  <c r="F237" i="68"/>
  <c r="F238" i="68"/>
  <c r="F239" i="68"/>
  <c r="F240" i="68"/>
  <c r="F241" i="68"/>
  <c r="F242" i="68"/>
  <c r="F243" i="68"/>
  <c r="F244" i="68"/>
  <c r="F245" i="68"/>
  <c r="F246" i="68"/>
  <c r="F247" i="68"/>
  <c r="F248" i="68"/>
  <c r="F249" i="68"/>
  <c r="F250" i="68"/>
  <c r="F251" i="68"/>
  <c r="F252" i="68"/>
  <c r="F253" i="68"/>
  <c r="F254" i="68"/>
  <c r="F255" i="68"/>
  <c r="F256" i="68"/>
  <c r="F257" i="68"/>
  <c r="F258" i="68"/>
  <c r="F259" i="68"/>
  <c r="F260" i="68"/>
  <c r="F261" i="68"/>
  <c r="F262" i="68"/>
  <c r="F263" i="68"/>
  <c r="F264" i="68"/>
  <c r="F265" i="68"/>
  <c r="F266" i="68"/>
  <c r="F267" i="68"/>
  <c r="F268" i="68"/>
  <c r="F269" i="68"/>
  <c r="F270" i="68"/>
  <c r="F271" i="68"/>
  <c r="F272" i="68"/>
  <c r="F273" i="68"/>
  <c r="F274" i="68"/>
  <c r="F275" i="68"/>
  <c r="F276" i="68"/>
  <c r="F277" i="68"/>
  <c r="F278" i="68"/>
  <c r="F279" i="68"/>
  <c r="F280" i="68"/>
  <c r="F281" i="68"/>
  <c r="F282" i="68"/>
  <c r="F283" i="68"/>
  <c r="F284" i="68"/>
  <c r="F285" i="68"/>
  <c r="F286" i="68"/>
  <c r="F287" i="68"/>
  <c r="F288" i="68"/>
  <c r="F289" i="68"/>
  <c r="F290" i="68"/>
  <c r="F291" i="68"/>
  <c r="F292" i="68"/>
  <c r="F293" i="68"/>
  <c r="F294" i="68"/>
  <c r="F295" i="68"/>
  <c r="F296" i="68"/>
  <c r="F297" i="68"/>
  <c r="F298" i="68"/>
  <c r="F299" i="68"/>
  <c r="F300" i="68"/>
  <c r="F301" i="68"/>
  <c r="F302" i="68"/>
  <c r="F303" i="68"/>
  <c r="F304" i="68"/>
  <c r="F305" i="68"/>
  <c r="F306" i="68"/>
  <c r="F307" i="68"/>
  <c r="F308" i="68"/>
  <c r="F309" i="68"/>
  <c r="F310" i="68"/>
  <c r="F311" i="68"/>
  <c r="F312" i="68"/>
  <c r="F313" i="68"/>
  <c r="F314" i="68"/>
  <c r="F315" i="68"/>
  <c r="F316" i="68"/>
  <c r="F317" i="68"/>
  <c r="F318" i="68"/>
  <c r="F319" i="68"/>
  <c r="F320" i="68"/>
  <c r="F321" i="68"/>
  <c r="F322" i="68"/>
  <c r="F323" i="68"/>
  <c r="F324" i="68"/>
  <c r="F325" i="68"/>
  <c r="F326" i="68"/>
  <c r="F327" i="68"/>
  <c r="F328" i="68"/>
  <c r="F329" i="68"/>
  <c r="F330" i="68"/>
  <c r="F331" i="68"/>
  <c r="F332" i="68"/>
  <c r="F333" i="68"/>
  <c r="F334" i="68"/>
  <c r="F335" i="68"/>
  <c r="F336" i="68"/>
  <c r="F337" i="68"/>
  <c r="F338" i="68"/>
  <c r="F339" i="68"/>
  <c r="F340" i="68"/>
  <c r="F341" i="68"/>
  <c r="F342" i="68"/>
  <c r="F343" i="68"/>
  <c r="F344" i="68"/>
  <c r="F345" i="68"/>
  <c r="F346" i="68"/>
  <c r="F347" i="68"/>
  <c r="F348" i="68"/>
  <c r="F349" i="68"/>
  <c r="F350" i="68"/>
  <c r="F351" i="68"/>
  <c r="F352" i="68"/>
  <c r="F353" i="68"/>
  <c r="F354" i="68"/>
  <c r="F355" i="68"/>
  <c r="F356" i="68"/>
  <c r="F357" i="68"/>
  <c r="F358" i="68"/>
  <c r="F359" i="68"/>
  <c r="F360" i="68"/>
  <c r="F361" i="68"/>
  <c r="F362" i="68"/>
  <c r="F363" i="68"/>
  <c r="F364" i="68"/>
  <c r="F365" i="68"/>
  <c r="F3" i="68"/>
  <c r="E4" i="69"/>
  <c r="E5" i="69"/>
  <c r="E6" i="69"/>
  <c r="E7" i="69"/>
  <c r="E8" i="69"/>
  <c r="E9" i="69"/>
  <c r="E10" i="69"/>
  <c r="E11" i="69"/>
  <c r="E12" i="69"/>
  <c r="E3" i="69"/>
  <c r="E4" i="63"/>
  <c r="E5" i="63"/>
  <c r="E6" i="63"/>
  <c r="E7" i="63"/>
  <c r="E8" i="63"/>
  <c r="E9" i="63"/>
  <c r="E10" i="63"/>
  <c r="E11" i="63"/>
  <c r="E12" i="63"/>
  <c r="E13" i="63"/>
  <c r="E14" i="63"/>
  <c r="E15" i="63"/>
  <c r="E16" i="63"/>
  <c r="E17" i="63"/>
  <c r="E18" i="63"/>
  <c r="E19" i="63"/>
  <c r="E20" i="63"/>
  <c r="E21" i="63"/>
  <c r="E22" i="63"/>
  <c r="E23" i="63"/>
  <c r="E24" i="63"/>
  <c r="E25" i="63"/>
  <c r="E26" i="63"/>
  <c r="E27" i="63"/>
  <c r="E28" i="63"/>
  <c r="E29" i="63"/>
  <c r="E30" i="63"/>
  <c r="E31" i="63"/>
  <c r="E32" i="63"/>
  <c r="E33" i="63"/>
  <c r="E34" i="63"/>
  <c r="E35" i="63"/>
  <c r="E36" i="63"/>
  <c r="E37" i="63"/>
  <c r="E38" i="63"/>
  <c r="E39" i="63"/>
  <c r="E40" i="63"/>
  <c r="E41" i="63"/>
  <c r="E42" i="63"/>
  <c r="E43" i="63"/>
  <c r="E44" i="63"/>
  <c r="E45" i="63"/>
  <c r="E46" i="63"/>
  <c r="E47" i="63"/>
  <c r="E48" i="63"/>
  <c r="E49" i="63"/>
  <c r="E50" i="63"/>
  <c r="E51" i="63"/>
  <c r="E52" i="63"/>
  <c r="E53" i="63"/>
  <c r="E54" i="63"/>
  <c r="E55" i="63"/>
  <c r="E56" i="63"/>
  <c r="E57" i="63"/>
  <c r="E58" i="63"/>
  <c r="E59" i="63"/>
  <c r="E60" i="63"/>
  <c r="E3" i="63"/>
  <c r="C156" i="60"/>
  <c r="C157" i="60"/>
  <c r="C158" i="60"/>
  <c r="C159" i="60"/>
  <c r="G81" i="66" l="1"/>
  <c r="E81" i="67" s="1"/>
  <c r="G84" i="66"/>
  <c r="E84" i="67" s="1"/>
  <c r="G104" i="66"/>
  <c r="E104" i="67" s="1"/>
  <c r="G105" i="66"/>
  <c r="E105" i="67" s="1"/>
  <c r="G125" i="66"/>
  <c r="E125" i="67" s="1"/>
  <c r="G205" i="66"/>
  <c r="G243" i="66"/>
  <c r="G244" i="66"/>
  <c r="G283" i="66"/>
  <c r="G290" i="66"/>
  <c r="G308" i="66"/>
  <c r="G324" i="66"/>
  <c r="G326" i="66"/>
  <c r="G336" i="66"/>
  <c r="G343" i="66"/>
  <c r="G363" i="66"/>
  <c r="G367" i="66"/>
  <c r="G3" i="66"/>
  <c r="E3" i="67" s="1"/>
  <c r="B4" i="67"/>
  <c r="B5" i="67"/>
  <c r="B6" i="67"/>
  <c r="B7" i="67"/>
  <c r="B8" i="67"/>
  <c r="B9" i="67"/>
  <c r="B10" i="67"/>
  <c r="B11" i="67"/>
  <c r="B12" i="67"/>
  <c r="B13" i="67"/>
  <c r="B14" i="67"/>
  <c r="B15" i="67"/>
  <c r="B16" i="67"/>
  <c r="B17" i="67"/>
  <c r="B18" i="67"/>
  <c r="B19" i="67"/>
  <c r="B20" i="67"/>
  <c r="B21" i="67"/>
  <c r="B22" i="67"/>
  <c r="B23" i="67"/>
  <c r="B24" i="67"/>
  <c r="B25" i="67"/>
  <c r="B26" i="67"/>
  <c r="B27" i="67"/>
  <c r="B28" i="67"/>
  <c r="B29" i="67"/>
  <c r="B30" i="67"/>
  <c r="B31" i="67"/>
  <c r="B32" i="67"/>
  <c r="B33" i="67"/>
  <c r="B34" i="67"/>
  <c r="B35" i="67"/>
  <c r="B36" i="67"/>
  <c r="B37" i="67"/>
  <c r="B38" i="67"/>
  <c r="B39" i="67"/>
  <c r="B40" i="67"/>
  <c r="B41" i="67"/>
  <c r="B42" i="67"/>
  <c r="B43" i="67"/>
  <c r="B44" i="67"/>
  <c r="B45" i="67"/>
  <c r="B46" i="67"/>
  <c r="B47" i="67"/>
  <c r="B48" i="67"/>
  <c r="B49" i="67"/>
  <c r="B50" i="67"/>
  <c r="B51" i="67"/>
  <c r="B52" i="67"/>
  <c r="B53" i="67"/>
  <c r="B54" i="67"/>
  <c r="B55" i="67"/>
  <c r="B56" i="67"/>
  <c r="B57" i="67"/>
  <c r="B58" i="67"/>
  <c r="B59" i="67"/>
  <c r="B60" i="67"/>
  <c r="B61" i="67"/>
  <c r="B62" i="67"/>
  <c r="B63" i="67"/>
  <c r="B64" i="67"/>
  <c r="B65" i="67"/>
  <c r="B66" i="67"/>
  <c r="B67" i="67"/>
  <c r="B68" i="67"/>
  <c r="B69" i="67"/>
  <c r="B70" i="67"/>
  <c r="B71" i="67"/>
  <c r="B72" i="67"/>
  <c r="B73" i="67"/>
  <c r="B74" i="67"/>
  <c r="B75" i="67"/>
  <c r="B76" i="67"/>
  <c r="B77" i="67"/>
  <c r="B78" i="67"/>
  <c r="B79" i="67"/>
  <c r="B80" i="67"/>
  <c r="B81" i="67"/>
  <c r="B82" i="67"/>
  <c r="B83" i="67"/>
  <c r="B84" i="67"/>
  <c r="B85" i="67"/>
  <c r="B86" i="67"/>
  <c r="B87" i="67"/>
  <c r="B88" i="67"/>
  <c r="B89" i="67"/>
  <c r="B90" i="67"/>
  <c r="B91" i="67"/>
  <c r="B92" i="67"/>
  <c r="B93" i="67"/>
  <c r="B94" i="67"/>
  <c r="B95" i="67"/>
  <c r="B96" i="67"/>
  <c r="B97" i="67"/>
  <c r="B98" i="67"/>
  <c r="B99" i="67"/>
  <c r="B100" i="67"/>
  <c r="B101" i="67"/>
  <c r="B102" i="67"/>
  <c r="B103" i="67"/>
  <c r="B104" i="67"/>
  <c r="B105" i="67"/>
  <c r="B106" i="67"/>
  <c r="B107" i="67"/>
  <c r="B108" i="67"/>
  <c r="B109" i="67"/>
  <c r="B110" i="67"/>
  <c r="B111" i="67"/>
  <c r="B112" i="67"/>
  <c r="B113" i="67"/>
  <c r="B114" i="67"/>
  <c r="B115" i="67"/>
  <c r="B116" i="67"/>
  <c r="B117" i="67"/>
  <c r="B118" i="67"/>
  <c r="B119" i="67"/>
  <c r="B120" i="67"/>
  <c r="B121" i="67"/>
  <c r="B122" i="67"/>
  <c r="B123" i="67"/>
  <c r="B124" i="67"/>
  <c r="B125" i="67"/>
  <c r="B126" i="67"/>
  <c r="B127" i="67"/>
  <c r="B128" i="67"/>
  <c r="B129" i="67"/>
  <c r="B130" i="67"/>
  <c r="B131" i="67"/>
  <c r="B132" i="67"/>
  <c r="B133" i="67"/>
  <c r="B134" i="67"/>
  <c r="B135" i="67"/>
  <c r="B136" i="67"/>
  <c r="B137" i="67"/>
  <c r="B138" i="67"/>
  <c r="B139" i="67"/>
  <c r="B140" i="67"/>
  <c r="B141" i="67"/>
  <c r="B142" i="67"/>
  <c r="B143" i="67"/>
  <c r="B144" i="67"/>
  <c r="B145" i="67"/>
  <c r="B146" i="67"/>
  <c r="B147" i="67"/>
  <c r="B148" i="67"/>
  <c r="B149" i="67"/>
  <c r="B150" i="67"/>
  <c r="B151" i="67"/>
  <c r="B152" i="67"/>
  <c r="B153" i="67"/>
  <c r="B154" i="67"/>
  <c r="B155" i="67"/>
  <c r="B156" i="67"/>
  <c r="B157" i="67"/>
  <c r="B158" i="67"/>
  <c r="B159" i="67"/>
  <c r="B160" i="67"/>
  <c r="B161" i="67"/>
  <c r="B162" i="67"/>
  <c r="B163" i="67"/>
  <c r="B164" i="67"/>
  <c r="B165" i="67"/>
  <c r="B166" i="67"/>
  <c r="B167" i="67"/>
  <c r="B168" i="67"/>
  <c r="B169" i="67"/>
  <c r="B170" i="67"/>
  <c r="B171" i="67"/>
  <c r="B172" i="67"/>
  <c r="B173" i="67"/>
  <c r="B174" i="67"/>
  <c r="B175" i="67"/>
  <c r="B176" i="67"/>
  <c r="B177" i="67"/>
  <c r="B178" i="67"/>
  <c r="B179" i="67"/>
  <c r="B180" i="67"/>
  <c r="B181" i="67"/>
  <c r="B182" i="67"/>
  <c r="B183" i="67"/>
  <c r="B184" i="67"/>
  <c r="B185" i="67"/>
  <c r="B186" i="67"/>
  <c r="B187" i="67"/>
  <c r="B188" i="67"/>
  <c r="B189" i="67"/>
  <c r="B190" i="67"/>
  <c r="B191" i="67"/>
  <c r="B192" i="67"/>
  <c r="B193" i="67"/>
  <c r="B194" i="67"/>
  <c r="B195" i="67"/>
  <c r="B196" i="67"/>
  <c r="B197" i="67"/>
  <c r="B198" i="67"/>
  <c r="B199" i="67"/>
  <c r="B200" i="67"/>
  <c r="B201" i="67"/>
  <c r="B202" i="67"/>
  <c r="B203" i="67"/>
  <c r="B204" i="67"/>
  <c r="B205" i="67"/>
  <c r="B206" i="67"/>
  <c r="B207" i="67"/>
  <c r="B208" i="67"/>
  <c r="B209" i="67"/>
  <c r="B210" i="67"/>
  <c r="B211" i="67"/>
  <c r="B212" i="67"/>
  <c r="B213" i="67"/>
  <c r="B214" i="67"/>
  <c r="B215" i="67"/>
  <c r="B216" i="67"/>
  <c r="B217" i="67"/>
  <c r="B218" i="67"/>
  <c r="B219" i="67"/>
  <c r="B220" i="67"/>
  <c r="B221" i="67"/>
  <c r="B222" i="67"/>
  <c r="B223" i="67"/>
  <c r="B224" i="67"/>
  <c r="B225" i="67"/>
  <c r="B226" i="67"/>
  <c r="B227" i="67"/>
  <c r="B228" i="67"/>
  <c r="B229" i="67"/>
  <c r="B230" i="67"/>
  <c r="B231" i="67"/>
  <c r="B232" i="67"/>
  <c r="B233" i="67"/>
  <c r="B234" i="67"/>
  <c r="B235" i="67"/>
  <c r="B236" i="67"/>
  <c r="B237" i="67"/>
  <c r="B238" i="67"/>
  <c r="B239" i="67"/>
  <c r="B240" i="67"/>
  <c r="B241" i="67"/>
  <c r="B242" i="67"/>
  <c r="B243" i="67"/>
  <c r="B244" i="67"/>
  <c r="B245" i="67"/>
  <c r="B246" i="67"/>
  <c r="B247" i="67"/>
  <c r="B248" i="67"/>
  <c r="B249" i="67"/>
  <c r="B250" i="67"/>
  <c r="B251" i="67"/>
  <c r="B252" i="67"/>
  <c r="B253" i="67"/>
  <c r="B254" i="67"/>
  <c r="B255" i="67"/>
  <c r="B256" i="67"/>
  <c r="B257" i="67"/>
  <c r="B258" i="67"/>
  <c r="B259" i="67"/>
  <c r="B260" i="67"/>
  <c r="B261" i="67"/>
  <c r="B262" i="67"/>
  <c r="B263" i="67"/>
  <c r="B264" i="67"/>
  <c r="B265" i="67"/>
  <c r="B266" i="67"/>
  <c r="B267" i="67"/>
  <c r="B268" i="67"/>
  <c r="B269" i="67"/>
  <c r="B270" i="67"/>
  <c r="B271" i="67"/>
  <c r="B272" i="67"/>
  <c r="B273" i="67"/>
  <c r="B274" i="67"/>
  <c r="B275" i="67"/>
  <c r="B276" i="67"/>
  <c r="B277" i="67"/>
  <c r="B278" i="67"/>
  <c r="B279" i="67"/>
  <c r="B280" i="67"/>
  <c r="B281" i="67"/>
  <c r="B282" i="67"/>
  <c r="B283" i="67"/>
  <c r="B284" i="67"/>
  <c r="B285" i="67"/>
  <c r="B286" i="67"/>
  <c r="B287" i="67"/>
  <c r="B288" i="67"/>
  <c r="B289" i="67"/>
  <c r="B290" i="67"/>
  <c r="B291" i="67"/>
  <c r="B292" i="67"/>
  <c r="B293" i="67"/>
  <c r="B294" i="67"/>
  <c r="B295" i="67"/>
  <c r="B296" i="67"/>
  <c r="B297" i="67"/>
  <c r="B298" i="67"/>
  <c r="B299" i="67"/>
  <c r="B300" i="67"/>
  <c r="B301" i="67"/>
  <c r="B302" i="67"/>
  <c r="B303" i="67"/>
  <c r="B304" i="67"/>
  <c r="B305" i="67"/>
  <c r="B306" i="67"/>
  <c r="B307" i="67"/>
  <c r="B308" i="67"/>
  <c r="B309" i="67"/>
  <c r="B310" i="67"/>
  <c r="B311" i="67"/>
  <c r="B312" i="67"/>
  <c r="B313" i="67"/>
  <c r="B314" i="67"/>
  <c r="B315" i="67"/>
  <c r="B316" i="67"/>
  <c r="B317" i="67"/>
  <c r="B318" i="67"/>
  <c r="B319" i="67"/>
  <c r="B320" i="67"/>
  <c r="B321" i="67"/>
  <c r="B322" i="67"/>
  <c r="B323" i="67"/>
  <c r="B324" i="67"/>
  <c r="B325" i="67"/>
  <c r="B326" i="67"/>
  <c r="B327" i="67"/>
  <c r="B328" i="67"/>
  <c r="B329" i="67"/>
  <c r="B330" i="67"/>
  <c r="B331" i="67"/>
  <c r="B332" i="67"/>
  <c r="B333" i="67"/>
  <c r="B334" i="67"/>
  <c r="B335" i="67"/>
  <c r="B336" i="67"/>
  <c r="B337" i="67"/>
  <c r="B338" i="67"/>
  <c r="B339" i="67"/>
  <c r="B340" i="67"/>
  <c r="B341" i="67"/>
  <c r="B342" i="67"/>
  <c r="B343" i="67"/>
  <c r="B344" i="67"/>
  <c r="B345" i="67"/>
  <c r="B346" i="67"/>
  <c r="B347" i="67"/>
  <c r="B348" i="67"/>
  <c r="B349" i="67"/>
  <c r="B350" i="67"/>
  <c r="B351" i="67"/>
  <c r="B352" i="67"/>
  <c r="B353" i="67"/>
  <c r="B354" i="67"/>
  <c r="B355" i="67"/>
  <c r="B356" i="67"/>
  <c r="B357" i="67"/>
  <c r="B358" i="67"/>
  <c r="B359" i="67"/>
  <c r="B360" i="67"/>
  <c r="B361" i="67"/>
  <c r="B362" i="67"/>
  <c r="B363" i="67"/>
  <c r="B364" i="67"/>
  <c r="B365" i="67"/>
  <c r="B3" i="67"/>
  <c r="B10" i="63"/>
  <c r="F10" i="63" s="1"/>
  <c r="B15" i="63"/>
  <c r="F15" i="63" s="1"/>
  <c r="B21" i="63"/>
  <c r="F21" i="63" s="1"/>
  <c r="B27" i="63"/>
  <c r="F27" i="63" s="1"/>
  <c r="B28" i="63"/>
  <c r="F28" i="63" s="1"/>
  <c r="B33" i="63"/>
  <c r="F33" i="63" s="1"/>
  <c r="B35" i="63"/>
  <c r="F35" i="63" s="1"/>
  <c r="B41" i="63"/>
  <c r="F41" i="63" s="1"/>
  <c r="B4" i="65"/>
  <c r="G10" i="66" s="1"/>
  <c r="E10" i="67" s="1"/>
  <c r="B5" i="65"/>
  <c r="G6" i="66" s="1"/>
  <c r="E6" i="67" s="1"/>
  <c r="B6" i="65"/>
  <c r="G8" i="66" s="1"/>
  <c r="E8" i="67" s="1"/>
  <c r="B7" i="65"/>
  <c r="G17" i="66" s="1"/>
  <c r="E17" i="67" s="1"/>
  <c r="B8" i="65"/>
  <c r="G47" i="66" s="1"/>
  <c r="E47" i="67" s="1"/>
  <c r="B9" i="65"/>
  <c r="G70" i="66" s="1"/>
  <c r="E70" i="67" s="1"/>
  <c r="B10" i="65"/>
  <c r="G26" i="66" s="1"/>
  <c r="E26" i="67" s="1"/>
  <c r="B11" i="65"/>
  <c r="G27" i="66" s="1"/>
  <c r="E27" i="67" s="1"/>
  <c r="B12" i="65"/>
  <c r="G67" i="66" s="1"/>
  <c r="E67" i="67" s="1"/>
  <c r="B13" i="65"/>
  <c r="G48" i="66" s="1"/>
  <c r="E48" i="67" s="1"/>
  <c r="B14" i="65"/>
  <c r="G66" i="66" s="1"/>
  <c r="E66" i="67" s="1"/>
  <c r="B15" i="65"/>
  <c r="G46" i="66" s="1"/>
  <c r="E46" i="67" s="1"/>
  <c r="B16" i="65"/>
  <c r="G68" i="66" s="1"/>
  <c r="E68" i="67" s="1"/>
  <c r="B17" i="65"/>
  <c r="G86" i="66" s="1"/>
  <c r="E86" i="67" s="1"/>
  <c r="B18" i="65"/>
  <c r="G106" i="66" s="1"/>
  <c r="E106" i="67" s="1"/>
  <c r="B19" i="65"/>
  <c r="B19" i="63" s="1"/>
  <c r="F19" i="63" s="1"/>
  <c r="B20" i="65"/>
  <c r="B20" i="63" s="1"/>
  <c r="F20" i="63" s="1"/>
  <c r="B21" i="65"/>
  <c r="G127" i="66" s="1"/>
  <c r="E127" i="67" s="1"/>
  <c r="B22" i="65"/>
  <c r="G166" i="66" s="1"/>
  <c r="B23" i="65"/>
  <c r="G146" i="66" s="1"/>
  <c r="E146" i="67" s="1"/>
  <c r="B24" i="65"/>
  <c r="G167" i="66" s="1"/>
  <c r="B25" i="65"/>
  <c r="G147" i="66" s="1"/>
  <c r="E147" i="67" s="1"/>
  <c r="B26" i="65"/>
  <c r="G149" i="66" s="1"/>
  <c r="E149" i="67" s="1"/>
  <c r="B27" i="65"/>
  <c r="G171" i="66" s="1"/>
  <c r="B28" i="65"/>
  <c r="G190" i="66" s="1"/>
  <c r="B29" i="65"/>
  <c r="G206" i="66" s="1"/>
  <c r="B30" i="65"/>
  <c r="G186" i="66" s="1"/>
  <c r="B31" i="65"/>
  <c r="G208" i="66" s="1"/>
  <c r="B32" i="65"/>
  <c r="G227" i="66" s="1"/>
  <c r="B33" i="65"/>
  <c r="G211" i="66" s="1"/>
  <c r="B34" i="65"/>
  <c r="G215" i="66" s="1"/>
  <c r="B35" i="65"/>
  <c r="G226" i="66" s="1"/>
  <c r="B36" i="65"/>
  <c r="G249" i="66" s="1"/>
  <c r="B37" i="65"/>
  <c r="G232" i="66" s="1"/>
  <c r="B38" i="65"/>
  <c r="B38" i="63" s="1"/>
  <c r="F38" i="63" s="1"/>
  <c r="B39" i="65"/>
  <c r="B39" i="63" s="1"/>
  <c r="F39" i="63" s="1"/>
  <c r="B40" i="65"/>
  <c r="B40" i="63" s="1"/>
  <c r="F40" i="63" s="1"/>
  <c r="B41" i="65"/>
  <c r="G245" i="66" s="1"/>
  <c r="B42" i="65"/>
  <c r="G247" i="66" s="1"/>
  <c r="B43" i="65"/>
  <c r="G266" i="66" s="1"/>
  <c r="B44" i="65"/>
  <c r="G267" i="66" s="1"/>
  <c r="B45" i="65"/>
  <c r="G268" i="66" s="1"/>
  <c r="B46" i="65"/>
  <c r="G273" i="66" s="1"/>
  <c r="B47" i="65"/>
  <c r="G285" i="66" s="1"/>
  <c r="B48" i="65"/>
  <c r="G294" i="66" s="1"/>
  <c r="B49" i="65"/>
  <c r="B49" i="63" s="1"/>
  <c r="F49" i="63" s="1"/>
  <c r="B50" i="65"/>
  <c r="G287" i="66" s="1"/>
  <c r="B51" i="65"/>
  <c r="G306" i="66" s="1"/>
  <c r="B52" i="65"/>
  <c r="G307" i="66" s="1"/>
  <c r="B53" i="65"/>
  <c r="G332" i="66" s="1"/>
  <c r="B54" i="65"/>
  <c r="G327" i="66" s="1"/>
  <c r="B55" i="65"/>
  <c r="G335" i="66" s="1"/>
  <c r="B56" i="65"/>
  <c r="G364" i="66" s="1"/>
  <c r="B57" i="65"/>
  <c r="G346" i="66" s="1"/>
  <c r="B58" i="65"/>
  <c r="B58" i="63" s="1"/>
  <c r="F58" i="63" s="1"/>
  <c r="B59" i="65"/>
  <c r="B59" i="63" s="1"/>
  <c r="F59" i="63" s="1"/>
  <c r="B60" i="65"/>
  <c r="G348" i="66" s="1"/>
  <c r="B3" i="65"/>
  <c r="G12" i="66" s="1"/>
  <c r="E12" i="67" s="1"/>
  <c r="E5" i="65"/>
  <c r="E6" i="65"/>
  <c r="E7" i="65"/>
  <c r="E8" i="65"/>
  <c r="E9" i="65"/>
  <c r="E10" i="65"/>
  <c r="E11" i="65"/>
  <c r="E12" i="65"/>
  <c r="E13" i="65"/>
  <c r="E14" i="65"/>
  <c r="E15" i="65"/>
  <c r="E16" i="65"/>
  <c r="E17" i="65"/>
  <c r="E18" i="65"/>
  <c r="E19" i="65"/>
  <c r="E20" i="65"/>
  <c r="E21" i="65"/>
  <c r="E22" i="65"/>
  <c r="E23" i="65"/>
  <c r="E24" i="65"/>
  <c r="E25" i="65"/>
  <c r="E26" i="65"/>
  <c r="E27" i="65"/>
  <c r="E28" i="65"/>
  <c r="E29" i="65"/>
  <c r="E30" i="65"/>
  <c r="E31" i="65"/>
  <c r="E32" i="65"/>
  <c r="E33" i="65"/>
  <c r="E34" i="65"/>
  <c r="E35" i="65"/>
  <c r="E36" i="65"/>
  <c r="E37" i="65"/>
  <c r="E38" i="65"/>
  <c r="E39" i="65"/>
  <c r="E40" i="65"/>
  <c r="E41" i="65"/>
  <c r="E42" i="65"/>
  <c r="E43" i="65"/>
  <c r="E44" i="65"/>
  <c r="E45" i="65"/>
  <c r="E46" i="65"/>
  <c r="E47" i="65"/>
  <c r="E48" i="65"/>
  <c r="E49" i="65"/>
  <c r="E50" i="65"/>
  <c r="E51" i="65"/>
  <c r="E52" i="65"/>
  <c r="E53" i="65"/>
  <c r="E54" i="65"/>
  <c r="E55" i="65"/>
  <c r="E56" i="65"/>
  <c r="E57" i="65"/>
  <c r="E58" i="65"/>
  <c r="E59" i="65"/>
  <c r="E60" i="65"/>
  <c r="E4" i="65"/>
  <c r="E3" i="65"/>
  <c r="A5" i="62"/>
  <c r="A6" i="62"/>
  <c r="A7" i="62"/>
  <c r="A8" i="62"/>
  <c r="A9" i="62"/>
  <c r="A10" i="62"/>
  <c r="A11" i="62"/>
  <c r="A12" i="62"/>
  <c r="A13" i="62"/>
  <c r="A14" i="62"/>
  <c r="A15" i="62"/>
  <c r="A16" i="62"/>
  <c r="A17" i="62"/>
  <c r="A18" i="62"/>
  <c r="A19" i="62"/>
  <c r="A20" i="62"/>
  <c r="A21" i="62"/>
  <c r="A22" i="62"/>
  <c r="A23" i="62"/>
  <c r="A24" i="62"/>
  <c r="A25" i="62"/>
  <c r="A26" i="62"/>
  <c r="A27" i="62"/>
  <c r="A28" i="62"/>
  <c r="A29" i="62"/>
  <c r="A30" i="62"/>
  <c r="A31" i="62"/>
  <c r="A32" i="62"/>
  <c r="A33" i="62"/>
  <c r="A34" i="62"/>
  <c r="A35" i="62"/>
  <c r="A36" i="62"/>
  <c r="A37" i="62"/>
  <c r="A38" i="62"/>
  <c r="A39" i="62"/>
  <c r="A40" i="62"/>
  <c r="A41" i="62"/>
  <c r="A42" i="62"/>
  <c r="A43" i="62"/>
  <c r="A44" i="62"/>
  <c r="A45" i="62"/>
  <c r="A46" i="62"/>
  <c r="A47" i="62"/>
  <c r="A48" i="62"/>
  <c r="A49" i="62"/>
  <c r="A50" i="62"/>
  <c r="A51" i="62"/>
  <c r="A52" i="62"/>
  <c r="A53" i="62"/>
  <c r="A54" i="62"/>
  <c r="A55" i="62"/>
  <c r="A56" i="62"/>
  <c r="A57" i="62"/>
  <c r="A58" i="62"/>
  <c r="A59" i="62"/>
  <c r="A60" i="62"/>
  <c r="A61" i="62"/>
  <c r="A62" i="62"/>
  <c r="A63" i="62"/>
  <c r="A64" i="62"/>
  <c r="A65" i="62"/>
  <c r="A66" i="62"/>
  <c r="A67" i="62"/>
  <c r="A68" i="62"/>
  <c r="A69" i="62"/>
  <c r="A70" i="62"/>
  <c r="A71" i="62"/>
  <c r="A72" i="62"/>
  <c r="A73" i="62"/>
  <c r="A74" i="62"/>
  <c r="A75" i="62"/>
  <c r="A76" i="62"/>
  <c r="A77" i="62"/>
  <c r="A78" i="62"/>
  <c r="A79" i="62"/>
  <c r="A80" i="62"/>
  <c r="A81" i="62"/>
  <c r="A82" i="62"/>
  <c r="A83" i="62"/>
  <c r="A84" i="62"/>
  <c r="A85" i="62"/>
  <c r="A86" i="62"/>
  <c r="A87" i="62"/>
  <c r="A88" i="62"/>
  <c r="A89" i="62"/>
  <c r="A90" i="62"/>
  <c r="A91" i="62"/>
  <c r="A92" i="62"/>
  <c r="A93" i="62"/>
  <c r="A94" i="62"/>
  <c r="A95" i="62"/>
  <c r="A96" i="62"/>
  <c r="A97" i="62"/>
  <c r="A98" i="62"/>
  <c r="A99" i="62"/>
  <c r="A100" i="62"/>
  <c r="A101" i="62"/>
  <c r="A102" i="62"/>
  <c r="A103" i="62"/>
  <c r="A104" i="62"/>
  <c r="A105" i="62"/>
  <c r="A106" i="62"/>
  <c r="A107" i="62"/>
  <c r="A108" i="62"/>
  <c r="A109" i="62"/>
  <c r="A110" i="62"/>
  <c r="A111" i="62"/>
  <c r="A112" i="62"/>
  <c r="A113" i="62"/>
  <c r="A114" i="62"/>
  <c r="A115" i="62"/>
  <c r="A116" i="62"/>
  <c r="A117" i="62"/>
  <c r="A118" i="62"/>
  <c r="A119" i="62"/>
  <c r="A120" i="62"/>
  <c r="A121" i="62"/>
  <c r="A122" i="62"/>
  <c r="A123" i="62"/>
  <c r="A124" i="62"/>
  <c r="A125" i="62"/>
  <c r="A126" i="62"/>
  <c r="A127" i="62"/>
  <c r="A128" i="62"/>
  <c r="A129" i="62"/>
  <c r="A130" i="62"/>
  <c r="A131" i="62"/>
  <c r="A132" i="62"/>
  <c r="A133" i="62"/>
  <c r="A134" i="62"/>
  <c r="A135" i="62"/>
  <c r="A136" i="62"/>
  <c r="A137" i="62"/>
  <c r="A138" i="62"/>
  <c r="A139" i="62"/>
  <c r="A140" i="62"/>
  <c r="A141" i="62"/>
  <c r="A142" i="62"/>
  <c r="A143" i="62"/>
  <c r="A144" i="62"/>
  <c r="A145" i="62"/>
  <c r="A146" i="62"/>
  <c r="A147" i="62"/>
  <c r="A148" i="62"/>
  <c r="A149" i="62"/>
  <c r="A150" i="62"/>
  <c r="A151" i="62"/>
  <c r="A152" i="62"/>
  <c r="A153" i="62"/>
  <c r="A154" i="62"/>
  <c r="A155" i="62"/>
  <c r="A156" i="62"/>
  <c r="A157" i="62"/>
  <c r="A158" i="62"/>
  <c r="A159" i="62"/>
  <c r="A160" i="62"/>
  <c r="A161" i="62"/>
  <c r="A162" i="62"/>
  <c r="A163" i="62"/>
  <c r="A164" i="62"/>
  <c r="A165" i="62"/>
  <c r="A166" i="62"/>
  <c r="A167" i="62"/>
  <c r="A168" i="62"/>
  <c r="A169" i="62"/>
  <c r="A170" i="62"/>
  <c r="A171" i="62"/>
  <c r="A172" i="62"/>
  <c r="A173" i="62"/>
  <c r="A174" i="62"/>
  <c r="A175" i="62"/>
  <c r="A176" i="62"/>
  <c r="A177" i="62"/>
  <c r="A178" i="62"/>
  <c r="A179" i="62"/>
  <c r="A180" i="62"/>
  <c r="A181" i="62"/>
  <c r="A182" i="62"/>
  <c r="A183" i="62"/>
  <c r="A184" i="62"/>
  <c r="A185" i="62"/>
  <c r="A186" i="62"/>
  <c r="A187" i="62"/>
  <c r="A188" i="62"/>
  <c r="A189" i="62"/>
  <c r="A190" i="62"/>
  <c r="A191" i="62"/>
  <c r="A192" i="62"/>
  <c r="A193" i="62"/>
  <c r="A194" i="62"/>
  <c r="A195" i="62"/>
  <c r="A196" i="62"/>
  <c r="A197" i="62"/>
  <c r="A198" i="62"/>
  <c r="A199" i="62"/>
  <c r="A200" i="62"/>
  <c r="A201" i="62"/>
  <c r="A202" i="62"/>
  <c r="A203" i="62"/>
  <c r="A204" i="62"/>
  <c r="A205" i="62"/>
  <c r="A206" i="62"/>
  <c r="A207" i="62"/>
  <c r="A208" i="62"/>
  <c r="A209" i="62"/>
  <c r="A210" i="62"/>
  <c r="A211" i="62"/>
  <c r="A212" i="62"/>
  <c r="A213" i="62"/>
  <c r="A214" i="62"/>
  <c r="A215" i="62"/>
  <c r="A216" i="62"/>
  <c r="A217" i="62"/>
  <c r="A218" i="62"/>
  <c r="A219" i="62"/>
  <c r="A220" i="62"/>
  <c r="A221" i="62"/>
  <c r="A222" i="62"/>
  <c r="A223" i="62"/>
  <c r="A224" i="62"/>
  <c r="A225" i="62"/>
  <c r="A226" i="62"/>
  <c r="A227" i="62"/>
  <c r="A228" i="62"/>
  <c r="A229" i="62"/>
  <c r="A230" i="62"/>
  <c r="A231" i="62"/>
  <c r="A232" i="62"/>
  <c r="A233" i="62"/>
  <c r="A234" i="62"/>
  <c r="A235" i="62"/>
  <c r="A236" i="62"/>
  <c r="A237" i="62"/>
  <c r="A238" i="62"/>
  <c r="A239" i="62"/>
  <c r="A240" i="62"/>
  <c r="A241" i="62"/>
  <c r="A242" i="62"/>
  <c r="A243" i="62"/>
  <c r="A244" i="62"/>
  <c r="A245" i="62"/>
  <c r="A246" i="62"/>
  <c r="A247" i="62"/>
  <c r="A248" i="62"/>
  <c r="A249" i="62"/>
  <c r="A250" i="62"/>
  <c r="A251" i="62"/>
  <c r="A252" i="62"/>
  <c r="A253" i="62"/>
  <c r="A254" i="62"/>
  <c r="A255" i="62"/>
  <c r="A256" i="62"/>
  <c r="A257" i="62"/>
  <c r="A258" i="62"/>
  <c r="A259" i="62"/>
  <c r="A260" i="62"/>
  <c r="A261" i="62"/>
  <c r="A262" i="62"/>
  <c r="A263" i="62"/>
  <c r="A264" i="62"/>
  <c r="A265" i="62"/>
  <c r="A266" i="62"/>
  <c r="A267" i="62"/>
  <c r="A268" i="62"/>
  <c r="A269" i="62"/>
  <c r="A270" i="62"/>
  <c r="A271" i="62"/>
  <c r="A272" i="62"/>
  <c r="A273" i="62"/>
  <c r="A274" i="62"/>
  <c r="A275" i="62"/>
  <c r="A276" i="62"/>
  <c r="A277" i="62"/>
  <c r="A278" i="62"/>
  <c r="A279" i="62"/>
  <c r="A280" i="62"/>
  <c r="A281" i="62"/>
  <c r="A282" i="62"/>
  <c r="A283" i="62"/>
  <c r="A284" i="62"/>
  <c r="A285" i="62"/>
  <c r="A286" i="62"/>
  <c r="A287" i="62"/>
  <c r="A288" i="62"/>
  <c r="A289" i="62"/>
  <c r="A290" i="62"/>
  <c r="A291" i="62"/>
  <c r="A292" i="62"/>
  <c r="A293" i="62"/>
  <c r="A294" i="62"/>
  <c r="A295" i="62"/>
  <c r="A296" i="62"/>
  <c r="A297" i="62"/>
  <c r="A298" i="62"/>
  <c r="A299" i="62"/>
  <c r="A300" i="62"/>
  <c r="A301" i="62"/>
  <c r="A302" i="62"/>
  <c r="A303" i="62"/>
  <c r="A304" i="62"/>
  <c r="A305" i="62"/>
  <c r="A306" i="62"/>
  <c r="A307" i="62"/>
  <c r="A308" i="62"/>
  <c r="A309" i="62"/>
  <c r="A310" i="62"/>
  <c r="A311" i="62"/>
  <c r="A312" i="62"/>
  <c r="A313" i="62"/>
  <c r="A314" i="62"/>
  <c r="A315" i="62"/>
  <c r="A316" i="62"/>
  <c r="A317" i="62"/>
  <c r="A318" i="62"/>
  <c r="A319" i="62"/>
  <c r="A320" i="62"/>
  <c r="A321" i="62"/>
  <c r="A322" i="62"/>
  <c r="A323" i="62"/>
  <c r="A324" i="62"/>
  <c r="A325" i="62"/>
  <c r="A326" i="62"/>
  <c r="A327" i="62"/>
  <c r="A328" i="62"/>
  <c r="A329" i="62"/>
  <c r="A330" i="62"/>
  <c r="A331" i="62"/>
  <c r="A332" i="62"/>
  <c r="A333" i="62"/>
  <c r="A334" i="62"/>
  <c r="A335" i="62"/>
  <c r="A336" i="62"/>
  <c r="A337" i="62"/>
  <c r="A338" i="62"/>
  <c r="A339" i="62"/>
  <c r="A340" i="62"/>
  <c r="A341" i="62"/>
  <c r="A342" i="62"/>
  <c r="A343" i="62"/>
  <c r="A344" i="62"/>
  <c r="A345" i="62"/>
  <c r="A346" i="62"/>
  <c r="A347" i="62"/>
  <c r="A348" i="62"/>
  <c r="A349" i="62"/>
  <c r="A350" i="62"/>
  <c r="A351" i="62"/>
  <c r="A352" i="62"/>
  <c r="A353" i="62"/>
  <c r="A354" i="62"/>
  <c r="A355" i="62"/>
  <c r="A356" i="62"/>
  <c r="A357" i="62"/>
  <c r="A358" i="62"/>
  <c r="A359" i="62"/>
  <c r="A360" i="62"/>
  <c r="A361" i="62"/>
  <c r="A362" i="62"/>
  <c r="A363" i="62"/>
  <c r="A364" i="62"/>
  <c r="A365" i="62"/>
  <c r="A366" i="62"/>
  <c r="A367" i="62"/>
  <c r="A3" i="62"/>
  <c r="G281" i="66" l="1"/>
  <c r="G203" i="66"/>
  <c r="B17" i="63"/>
  <c r="F17" i="63" s="1"/>
  <c r="G325" i="66"/>
  <c r="G278" i="66"/>
  <c r="G201" i="66"/>
  <c r="G85" i="66"/>
  <c r="E85" i="67" s="1"/>
  <c r="G204" i="66"/>
  <c r="B16" i="63"/>
  <c r="F16" i="63" s="1"/>
  <c r="G276" i="66"/>
  <c r="G200" i="66"/>
  <c r="G323" i="66"/>
  <c r="G271" i="66"/>
  <c r="G189" i="66"/>
  <c r="B3" i="63"/>
  <c r="F3" i="63" s="1"/>
  <c r="B13" i="63"/>
  <c r="F13" i="63" s="1"/>
  <c r="G321" i="66"/>
  <c r="G265" i="66"/>
  <c r="G185" i="66"/>
  <c r="G65" i="66"/>
  <c r="E65" i="67" s="1"/>
  <c r="B57" i="63"/>
  <c r="F57" i="63" s="1"/>
  <c r="G264" i="66"/>
  <c r="G184" i="66"/>
  <c r="G64" i="66"/>
  <c r="E64" i="67" s="1"/>
  <c r="B56" i="63"/>
  <c r="F56" i="63" s="1"/>
  <c r="B8" i="63"/>
  <c r="F8" i="63" s="1"/>
  <c r="G305" i="66"/>
  <c r="G261" i="66"/>
  <c r="G183" i="66"/>
  <c r="G63" i="66"/>
  <c r="E63" i="67" s="1"/>
  <c r="B55" i="63"/>
  <c r="F55" i="63" s="1"/>
  <c r="B7" i="63"/>
  <c r="F7" i="63" s="1"/>
  <c r="G304" i="66"/>
  <c r="G251" i="66"/>
  <c r="G181" i="66"/>
  <c r="G45" i="66"/>
  <c r="E45" i="67" s="1"/>
  <c r="B53" i="63"/>
  <c r="F53" i="63" s="1"/>
  <c r="G303" i="66"/>
  <c r="G246" i="66"/>
  <c r="G176" i="66"/>
  <c r="G44" i="66"/>
  <c r="E44" i="67" s="1"/>
  <c r="B50" i="63"/>
  <c r="F50" i="63" s="1"/>
  <c r="G301" i="66"/>
  <c r="G165" i="66"/>
  <c r="G43" i="66"/>
  <c r="E43" i="67" s="1"/>
  <c r="B48" i="63"/>
  <c r="F48" i="63" s="1"/>
  <c r="G300" i="66"/>
  <c r="G164" i="66"/>
  <c r="G25" i="66"/>
  <c r="E25" i="67" s="1"/>
  <c r="G284" i="66"/>
  <c r="B47" i="63"/>
  <c r="F47" i="63" s="1"/>
  <c r="G298" i="66"/>
  <c r="G163" i="66"/>
  <c r="G24" i="66"/>
  <c r="E24" i="67" s="1"/>
  <c r="G296" i="66"/>
  <c r="G241" i="66"/>
  <c r="G161" i="66"/>
  <c r="E161" i="67" s="1"/>
  <c r="G23" i="66"/>
  <c r="E23" i="67" s="1"/>
  <c r="B37" i="63"/>
  <c r="F37" i="63" s="1"/>
  <c r="G295" i="66"/>
  <c r="E295" i="67" s="1"/>
  <c r="G240" i="66"/>
  <c r="G156" i="66"/>
  <c r="E156" i="67" s="1"/>
  <c r="G5" i="66"/>
  <c r="E5" i="67" s="1"/>
  <c r="B36" i="63"/>
  <c r="F36" i="63" s="1"/>
  <c r="G291" i="66"/>
  <c r="G225" i="66"/>
  <c r="G145" i="66"/>
  <c r="E145" i="67" s="1"/>
  <c r="G4" i="66"/>
  <c r="E4" i="67" s="1"/>
  <c r="G224" i="66"/>
  <c r="G144" i="66"/>
  <c r="E144" i="67" s="1"/>
  <c r="G345" i="66"/>
  <c r="G286" i="66"/>
  <c r="G223" i="66"/>
  <c r="G143" i="66"/>
  <c r="E143" i="67" s="1"/>
  <c r="B30" i="63"/>
  <c r="F30" i="63" s="1"/>
  <c r="G344" i="66"/>
  <c r="G140" i="66"/>
  <c r="E140" i="67" s="1"/>
  <c r="G365" i="66"/>
  <c r="G263" i="66"/>
  <c r="G123" i="66"/>
  <c r="E123" i="67" s="1"/>
  <c r="G103" i="66"/>
  <c r="E103" i="67" s="1"/>
  <c r="G83" i="66"/>
  <c r="E83" i="67" s="1"/>
  <c r="G124" i="66"/>
  <c r="E124" i="67" s="1"/>
  <c r="B54" i="63"/>
  <c r="F54" i="63" s="1"/>
  <c r="B34" i="63"/>
  <c r="F34" i="63" s="1"/>
  <c r="B14" i="63"/>
  <c r="F14" i="63" s="1"/>
  <c r="G362" i="66"/>
  <c r="G342" i="66"/>
  <c r="G322" i="66"/>
  <c r="G302" i="66"/>
  <c r="G282" i="66"/>
  <c r="G262" i="66"/>
  <c r="G242" i="66"/>
  <c r="G222" i="66"/>
  <c r="G202" i="66"/>
  <c r="E202" i="67" s="1"/>
  <c r="G182" i="66"/>
  <c r="G162" i="66"/>
  <c r="G142" i="66"/>
  <c r="E142" i="67" s="1"/>
  <c r="G122" i="66"/>
  <c r="E122" i="67" s="1"/>
  <c r="G102" i="66"/>
  <c r="E102" i="67" s="1"/>
  <c r="G82" i="66"/>
  <c r="E82" i="67" s="1"/>
  <c r="G62" i="66"/>
  <c r="E62" i="67" s="1"/>
  <c r="G42" i="66"/>
  <c r="E42" i="67" s="1"/>
  <c r="G22" i="66"/>
  <c r="E22" i="67" s="1"/>
  <c r="G341" i="66"/>
  <c r="G221" i="66"/>
  <c r="G141" i="66"/>
  <c r="E141" i="67" s="1"/>
  <c r="G121" i="66"/>
  <c r="E121" i="67" s="1"/>
  <c r="G101" i="66"/>
  <c r="E101" i="67" s="1"/>
  <c r="G61" i="66"/>
  <c r="E61" i="67" s="1"/>
  <c r="G41" i="66"/>
  <c r="E41" i="67" s="1"/>
  <c r="G21" i="66"/>
  <c r="E21" i="67" s="1"/>
  <c r="B12" i="63"/>
  <c r="F12" i="63" s="1"/>
  <c r="G340" i="66"/>
  <c r="G320" i="66"/>
  <c r="G280" i="66"/>
  <c r="E280" i="67" s="1"/>
  <c r="G260" i="66"/>
  <c r="G220" i="66"/>
  <c r="G180" i="66"/>
  <c r="G160" i="66"/>
  <c r="E160" i="67" s="1"/>
  <c r="G120" i="66"/>
  <c r="E120" i="67" s="1"/>
  <c r="G100" i="66"/>
  <c r="E100" i="67" s="1"/>
  <c r="G80" i="66"/>
  <c r="E80" i="67" s="1"/>
  <c r="G60" i="66"/>
  <c r="E60" i="67" s="1"/>
  <c r="G40" i="66"/>
  <c r="E40" i="67" s="1"/>
  <c r="G20" i="66"/>
  <c r="E20" i="67" s="1"/>
  <c r="B52" i="63"/>
  <c r="F52" i="63" s="1"/>
  <c r="B32" i="63"/>
  <c r="F32" i="63" s="1"/>
  <c r="G360" i="66"/>
  <c r="B51" i="63"/>
  <c r="F51" i="63" s="1"/>
  <c r="B31" i="63"/>
  <c r="F31" i="63" s="1"/>
  <c r="B11" i="63"/>
  <c r="F11" i="63" s="1"/>
  <c r="G359" i="66"/>
  <c r="G339" i="66"/>
  <c r="G319" i="66"/>
  <c r="G299" i="66"/>
  <c r="E299" i="67" s="1"/>
  <c r="G279" i="66"/>
  <c r="E279" i="67" s="1"/>
  <c r="G259" i="66"/>
  <c r="G239" i="66"/>
  <c r="G219" i="66"/>
  <c r="E219" i="67" s="1"/>
  <c r="G199" i="66"/>
  <c r="E199" i="71" s="1"/>
  <c r="G179" i="66"/>
  <c r="E179" i="67" s="1"/>
  <c r="G159" i="66"/>
  <c r="E159" i="67" s="1"/>
  <c r="G139" i="66"/>
  <c r="E139" i="67" s="1"/>
  <c r="G119" i="66"/>
  <c r="E119" i="67" s="1"/>
  <c r="G99" i="66"/>
  <c r="E99" i="67" s="1"/>
  <c r="G79" i="66"/>
  <c r="E79" i="67" s="1"/>
  <c r="G59" i="66"/>
  <c r="E59" i="67" s="1"/>
  <c r="G39" i="66"/>
  <c r="E39" i="67" s="1"/>
  <c r="G19" i="66"/>
  <c r="E19" i="67" s="1"/>
  <c r="G358" i="66"/>
  <c r="G338" i="66"/>
  <c r="G318" i="66"/>
  <c r="E318" i="71" s="1"/>
  <c r="G258" i="66"/>
  <c r="G238" i="66"/>
  <c r="G218" i="66"/>
  <c r="E218" i="67" s="1"/>
  <c r="G198" i="66"/>
  <c r="E198" i="67" s="1"/>
  <c r="G178" i="66"/>
  <c r="G158" i="66"/>
  <c r="E158" i="67" s="1"/>
  <c r="G138" i="66"/>
  <c r="E138" i="67" s="1"/>
  <c r="G118" i="66"/>
  <c r="E118" i="67" s="1"/>
  <c r="G98" i="66"/>
  <c r="E98" i="67" s="1"/>
  <c r="G78" i="66"/>
  <c r="E78" i="67" s="1"/>
  <c r="G58" i="66"/>
  <c r="E58" i="67" s="1"/>
  <c r="G38" i="66"/>
  <c r="E38" i="67" s="1"/>
  <c r="G18" i="66"/>
  <c r="E18" i="67" s="1"/>
  <c r="B29" i="63"/>
  <c r="F29" i="63" s="1"/>
  <c r="B9" i="63"/>
  <c r="F9" i="63" s="1"/>
  <c r="G357" i="66"/>
  <c r="G337" i="66"/>
  <c r="E337" i="67" s="1"/>
  <c r="G317" i="66"/>
  <c r="G297" i="66"/>
  <c r="E297" i="67" s="1"/>
  <c r="G277" i="66"/>
  <c r="G257" i="66"/>
  <c r="G237" i="66"/>
  <c r="G217" i="66"/>
  <c r="E217" i="67" s="1"/>
  <c r="G197" i="66"/>
  <c r="E197" i="67" s="1"/>
  <c r="G177" i="66"/>
  <c r="G157" i="66"/>
  <c r="E157" i="67" s="1"/>
  <c r="G137" i="66"/>
  <c r="E137" i="67" s="1"/>
  <c r="G117" i="66"/>
  <c r="E117" i="67" s="1"/>
  <c r="G97" i="66"/>
  <c r="E97" i="67" s="1"/>
  <c r="G77" i="66"/>
  <c r="E77" i="67" s="1"/>
  <c r="G57" i="66"/>
  <c r="E57" i="67" s="1"/>
  <c r="G37" i="66"/>
  <c r="E37" i="67" s="1"/>
  <c r="G356" i="66"/>
  <c r="G316" i="66"/>
  <c r="E316" i="67" s="1"/>
  <c r="G256" i="66"/>
  <c r="E256" i="67" s="1"/>
  <c r="G216" i="66"/>
  <c r="G196" i="66"/>
  <c r="E196" i="71" s="1"/>
  <c r="G136" i="66"/>
  <c r="E136" i="67" s="1"/>
  <c r="G116" i="66"/>
  <c r="E116" i="67" s="1"/>
  <c r="G96" i="66"/>
  <c r="E96" i="67" s="1"/>
  <c r="G76" i="66"/>
  <c r="E76" i="67" s="1"/>
  <c r="G56" i="66"/>
  <c r="E56" i="67" s="1"/>
  <c r="G36" i="66"/>
  <c r="E36" i="67" s="1"/>
  <c r="G16" i="66"/>
  <c r="E16" i="67" s="1"/>
  <c r="G236" i="66"/>
  <c r="G355" i="66"/>
  <c r="G315" i="66"/>
  <c r="E315" i="67" s="1"/>
  <c r="G275" i="66"/>
  <c r="G255" i="66"/>
  <c r="E255" i="71" s="1"/>
  <c r="G235" i="66"/>
  <c r="G195" i="66"/>
  <c r="E195" i="71" s="1"/>
  <c r="G175" i="66"/>
  <c r="G155" i="66"/>
  <c r="E155" i="67" s="1"/>
  <c r="G135" i="66"/>
  <c r="E135" i="67" s="1"/>
  <c r="G115" i="66"/>
  <c r="E115" i="67" s="1"/>
  <c r="G95" i="66"/>
  <c r="E95" i="67" s="1"/>
  <c r="G75" i="66"/>
  <c r="E75" i="67" s="1"/>
  <c r="G55" i="66"/>
  <c r="E55" i="67" s="1"/>
  <c r="G35" i="66"/>
  <c r="E35" i="67" s="1"/>
  <c r="G15" i="66"/>
  <c r="E15" i="67" s="1"/>
  <c r="G361" i="66"/>
  <c r="B46" i="63"/>
  <c r="F46" i="63" s="1"/>
  <c r="B26" i="63"/>
  <c r="F26" i="63" s="1"/>
  <c r="B6" i="63"/>
  <c r="F6" i="63" s="1"/>
  <c r="G354" i="66"/>
  <c r="G334" i="66"/>
  <c r="G314" i="66"/>
  <c r="G274" i="66"/>
  <c r="E274" i="67" s="1"/>
  <c r="G254" i="66"/>
  <c r="E254" i="67" s="1"/>
  <c r="G234" i="66"/>
  <c r="E234" i="67" s="1"/>
  <c r="G214" i="66"/>
  <c r="E214" i="71" s="1"/>
  <c r="G194" i="66"/>
  <c r="G174" i="66"/>
  <c r="E174" i="71" s="1"/>
  <c r="G154" i="66"/>
  <c r="E154" i="67" s="1"/>
  <c r="G134" i="66"/>
  <c r="E134" i="67" s="1"/>
  <c r="G114" i="66"/>
  <c r="E114" i="67" s="1"/>
  <c r="G94" i="66"/>
  <c r="E94" i="67" s="1"/>
  <c r="G74" i="66"/>
  <c r="E74" i="67" s="1"/>
  <c r="G54" i="66"/>
  <c r="E54" i="67" s="1"/>
  <c r="G34" i="66"/>
  <c r="E34" i="67" s="1"/>
  <c r="G14" i="66"/>
  <c r="E14" i="67" s="1"/>
  <c r="B45" i="63"/>
  <c r="F45" i="63" s="1"/>
  <c r="B25" i="63"/>
  <c r="F25" i="63" s="1"/>
  <c r="B5" i="63"/>
  <c r="F5" i="63" s="1"/>
  <c r="G353" i="66"/>
  <c r="G333" i="66"/>
  <c r="G313" i="66"/>
  <c r="E313" i="71" s="1"/>
  <c r="G293" i="66"/>
  <c r="E293" i="71" s="1"/>
  <c r="G253" i="66"/>
  <c r="E253" i="67" s="1"/>
  <c r="G233" i="66"/>
  <c r="E233" i="71" s="1"/>
  <c r="G213" i="66"/>
  <c r="E213" i="71" s="1"/>
  <c r="G193" i="66"/>
  <c r="G173" i="66"/>
  <c r="E173" i="67" s="1"/>
  <c r="G153" i="66"/>
  <c r="E153" i="67" s="1"/>
  <c r="G133" i="66"/>
  <c r="E133" i="67" s="1"/>
  <c r="G113" i="66"/>
  <c r="E113" i="67" s="1"/>
  <c r="G93" i="66"/>
  <c r="E93" i="67" s="1"/>
  <c r="G73" i="66"/>
  <c r="E73" i="67" s="1"/>
  <c r="G53" i="66"/>
  <c r="E53" i="67" s="1"/>
  <c r="G33" i="66"/>
  <c r="E33" i="67" s="1"/>
  <c r="G13" i="66"/>
  <c r="E13" i="67" s="1"/>
  <c r="B44" i="63"/>
  <c r="F44" i="63" s="1"/>
  <c r="B24" i="63"/>
  <c r="F24" i="63" s="1"/>
  <c r="B4" i="63"/>
  <c r="F4" i="63" s="1"/>
  <c r="G352" i="66"/>
  <c r="G312" i="66"/>
  <c r="G292" i="66"/>
  <c r="E292" i="67" s="1"/>
  <c r="G272" i="66"/>
  <c r="E272" i="71" s="1"/>
  <c r="G252" i="66"/>
  <c r="E252" i="67" s="1"/>
  <c r="G212" i="66"/>
  <c r="E212" i="71" s="1"/>
  <c r="G192" i="66"/>
  <c r="E192" i="71" s="1"/>
  <c r="G172" i="66"/>
  <c r="G152" i="66"/>
  <c r="E152" i="67" s="1"/>
  <c r="G132" i="66"/>
  <c r="E132" i="67" s="1"/>
  <c r="G112" i="66"/>
  <c r="E112" i="67" s="1"/>
  <c r="G92" i="66"/>
  <c r="E92" i="67" s="1"/>
  <c r="G72" i="66"/>
  <c r="E72" i="67" s="1"/>
  <c r="G52" i="66"/>
  <c r="E52" i="67" s="1"/>
  <c r="G32" i="66"/>
  <c r="E32" i="67" s="1"/>
  <c r="B43" i="63"/>
  <c r="F43" i="63" s="1"/>
  <c r="B23" i="63"/>
  <c r="F23" i="63" s="1"/>
  <c r="G351" i="66"/>
  <c r="G331" i="66"/>
  <c r="E331" i="71" s="1"/>
  <c r="G311" i="66"/>
  <c r="E311" i="67" s="1"/>
  <c r="G231" i="66"/>
  <c r="G191" i="66"/>
  <c r="G151" i="66"/>
  <c r="E151" i="67" s="1"/>
  <c r="G131" i="66"/>
  <c r="E131" i="67" s="1"/>
  <c r="G111" i="66"/>
  <c r="E111" i="67" s="1"/>
  <c r="G91" i="66"/>
  <c r="E91" i="67" s="1"/>
  <c r="G71" i="66"/>
  <c r="E71" i="67" s="1"/>
  <c r="G51" i="66"/>
  <c r="E51" i="67" s="1"/>
  <c r="G31" i="66"/>
  <c r="E31" i="67" s="1"/>
  <c r="G11" i="66"/>
  <c r="E11" i="67" s="1"/>
  <c r="B42" i="63"/>
  <c r="F42" i="63" s="1"/>
  <c r="B22" i="63"/>
  <c r="F22" i="63" s="1"/>
  <c r="G350" i="66"/>
  <c r="E350" i="71" s="1"/>
  <c r="G330" i="66"/>
  <c r="G310" i="66"/>
  <c r="G270" i="66"/>
  <c r="G250" i="66"/>
  <c r="G230" i="66"/>
  <c r="G210" i="66"/>
  <c r="G170" i="66"/>
  <c r="E170" i="71" s="1"/>
  <c r="G150" i="66"/>
  <c r="E150" i="67" s="1"/>
  <c r="G130" i="66"/>
  <c r="E130" i="67" s="1"/>
  <c r="G110" i="66"/>
  <c r="E110" i="67" s="1"/>
  <c r="G90" i="66"/>
  <c r="E90" i="67" s="1"/>
  <c r="G50" i="66"/>
  <c r="E50" i="67" s="1"/>
  <c r="G30" i="66"/>
  <c r="E30" i="67" s="1"/>
  <c r="G349" i="66"/>
  <c r="E349" i="71" s="1"/>
  <c r="G329" i="66"/>
  <c r="E329" i="67" s="1"/>
  <c r="G309" i="66"/>
  <c r="E309" i="71" s="1"/>
  <c r="G289" i="66"/>
  <c r="E289" i="67" s="1"/>
  <c r="G269" i="66"/>
  <c r="E269" i="71" s="1"/>
  <c r="G229" i="66"/>
  <c r="G209" i="66"/>
  <c r="G169" i="66"/>
  <c r="E169" i="71" s="1"/>
  <c r="G129" i="66"/>
  <c r="E129" i="67" s="1"/>
  <c r="G109" i="66"/>
  <c r="E109" i="67" s="1"/>
  <c r="G89" i="66"/>
  <c r="E89" i="67" s="1"/>
  <c r="G69" i="66"/>
  <c r="E69" i="67" s="1"/>
  <c r="G49" i="66"/>
  <c r="E49" i="67" s="1"/>
  <c r="G29" i="66"/>
  <c r="E29" i="67" s="1"/>
  <c r="G9" i="66"/>
  <c r="E9" i="67" s="1"/>
  <c r="G328" i="66"/>
  <c r="G288" i="66"/>
  <c r="E288" i="71" s="1"/>
  <c r="G248" i="66"/>
  <c r="E248" i="71" s="1"/>
  <c r="G228" i="66"/>
  <c r="E228" i="67" s="1"/>
  <c r="G188" i="66"/>
  <c r="E188" i="67" s="1"/>
  <c r="G168" i="66"/>
  <c r="E168" i="71" s="1"/>
  <c r="G148" i="66"/>
  <c r="E148" i="67" s="1"/>
  <c r="G128" i="66"/>
  <c r="E128" i="67" s="1"/>
  <c r="G108" i="66"/>
  <c r="E108" i="67" s="1"/>
  <c r="G88" i="66"/>
  <c r="E88" i="67" s="1"/>
  <c r="G28" i="66"/>
  <c r="E28" i="67" s="1"/>
  <c r="B60" i="63"/>
  <c r="F60" i="63" s="1"/>
  <c r="G347" i="66"/>
  <c r="E347" i="71" s="1"/>
  <c r="G207" i="66"/>
  <c r="E207" i="71" s="1"/>
  <c r="G187" i="66"/>
  <c r="G107" i="66"/>
  <c r="E107" i="67" s="1"/>
  <c r="G87" i="66"/>
  <c r="E87" i="67" s="1"/>
  <c r="G7" i="66"/>
  <c r="E7" i="67" s="1"/>
  <c r="B18" i="63"/>
  <c r="F18" i="63" s="1"/>
  <c r="G126" i="66"/>
  <c r="E126" i="67" s="1"/>
  <c r="E265" i="71"/>
  <c r="E265" i="67"/>
  <c r="E362" i="71"/>
  <c r="E362" i="67"/>
  <c r="E342" i="67"/>
  <c r="E342" i="71"/>
  <c r="E322" i="67"/>
  <c r="E322" i="71"/>
  <c r="E302" i="71"/>
  <c r="E302" i="67"/>
  <c r="E282" i="71"/>
  <c r="E282" i="67"/>
  <c r="E262" i="71"/>
  <c r="E262" i="67"/>
  <c r="E242" i="71"/>
  <c r="E242" i="67"/>
  <c r="E222" i="71"/>
  <c r="E222" i="67"/>
  <c r="E202" i="71"/>
  <c r="E182" i="67"/>
  <c r="E182" i="71"/>
  <c r="E162" i="67"/>
  <c r="E162" i="71"/>
  <c r="E205" i="67"/>
  <c r="E205" i="71"/>
  <c r="E284" i="71"/>
  <c r="E284" i="67"/>
  <c r="E359" i="67"/>
  <c r="E359" i="71"/>
  <c r="E259" i="67"/>
  <c r="E259" i="71"/>
  <c r="E239" i="67"/>
  <c r="E239" i="71"/>
  <c r="E245" i="71"/>
  <c r="E245" i="67"/>
  <c r="E324" i="71"/>
  <c r="E324" i="67"/>
  <c r="E263" i="71"/>
  <c r="E263" i="67"/>
  <c r="E221" i="67"/>
  <c r="E221" i="71"/>
  <c r="E360" i="71"/>
  <c r="E360" i="67"/>
  <c r="E200" i="67"/>
  <c r="E200" i="71"/>
  <c r="E358" i="67"/>
  <c r="E358" i="71"/>
  <c r="E338" i="67"/>
  <c r="E338" i="71"/>
  <c r="E318" i="67"/>
  <c r="E298" i="67"/>
  <c r="E298" i="71"/>
  <c r="E278" i="67"/>
  <c r="E278" i="71"/>
  <c r="E258" i="67"/>
  <c r="E258" i="71"/>
  <c r="E238" i="67"/>
  <c r="E238" i="71"/>
  <c r="E198" i="71"/>
  <c r="E178" i="67"/>
  <c r="E178" i="71"/>
  <c r="E325" i="71"/>
  <c r="E325" i="67"/>
  <c r="E261" i="71"/>
  <c r="E261" i="67"/>
  <c r="E300" i="67"/>
  <c r="E300" i="71"/>
  <c r="E357" i="71"/>
  <c r="E357" i="67"/>
  <c r="E337" i="71"/>
  <c r="E317" i="71"/>
  <c r="E317" i="67"/>
  <c r="E297" i="71"/>
  <c r="E277" i="71"/>
  <c r="E277" i="67"/>
  <c r="E257" i="71"/>
  <c r="E257" i="67"/>
  <c r="E237" i="71"/>
  <c r="E237" i="67"/>
  <c r="E177" i="71"/>
  <c r="E177" i="67"/>
  <c r="E244" i="71"/>
  <c r="E244" i="67"/>
  <c r="E164" i="67"/>
  <c r="E164" i="71"/>
  <c r="E283" i="67"/>
  <c r="E283" i="71"/>
  <c r="E203" i="67"/>
  <c r="E203" i="71"/>
  <c r="E361" i="67"/>
  <c r="E361" i="71"/>
  <c r="E201" i="71"/>
  <c r="E201" i="67"/>
  <c r="E356" i="71"/>
  <c r="E356" i="67"/>
  <c r="E336" i="71"/>
  <c r="E336" i="67"/>
  <c r="E316" i="71"/>
  <c r="E296" i="71"/>
  <c r="E296" i="67"/>
  <c r="E276" i="71"/>
  <c r="E276" i="67"/>
  <c r="E236" i="71"/>
  <c r="E236" i="67"/>
  <c r="E216" i="71"/>
  <c r="E216" i="67"/>
  <c r="E176" i="71"/>
  <c r="E176" i="67"/>
  <c r="E305" i="67"/>
  <c r="E305" i="71"/>
  <c r="E264" i="71"/>
  <c r="E264" i="67"/>
  <c r="E303" i="71"/>
  <c r="E303" i="67"/>
  <c r="E281" i="71"/>
  <c r="E281" i="67"/>
  <c r="E240" i="67"/>
  <c r="E240" i="71"/>
  <c r="E355" i="67"/>
  <c r="E355" i="71"/>
  <c r="E315" i="71"/>
  <c r="E275" i="67"/>
  <c r="E275" i="71"/>
  <c r="E8" i="71"/>
  <c r="E235" i="71"/>
  <c r="E235" i="67"/>
  <c r="E215" i="71"/>
  <c r="E215" i="67"/>
  <c r="E175" i="67"/>
  <c r="E175" i="71"/>
  <c r="E285" i="67"/>
  <c r="E285" i="71"/>
  <c r="E243" i="67"/>
  <c r="E243" i="71"/>
  <c r="E183" i="67"/>
  <c r="E183" i="71"/>
  <c r="E341" i="67"/>
  <c r="E341" i="71"/>
  <c r="E181" i="67"/>
  <c r="E181" i="71"/>
  <c r="E335" i="71"/>
  <c r="E335" i="67"/>
  <c r="E354" i="67"/>
  <c r="E354" i="71"/>
  <c r="E334" i="71"/>
  <c r="E334" i="67"/>
  <c r="E314" i="71"/>
  <c r="E314" i="67"/>
  <c r="E294" i="71"/>
  <c r="E294" i="67"/>
  <c r="E194" i="71"/>
  <c r="E194" i="67"/>
  <c r="E185" i="67"/>
  <c r="E185" i="71"/>
  <c r="E184" i="67"/>
  <c r="E184" i="71"/>
  <c r="E353" i="67"/>
  <c r="E353" i="71"/>
  <c r="E273" i="67"/>
  <c r="E273" i="71"/>
  <c r="E193" i="71"/>
  <c r="E193" i="67"/>
  <c r="E365" i="67"/>
  <c r="E365" i="71"/>
  <c r="E344" i="67"/>
  <c r="E344" i="71"/>
  <c r="E363" i="67"/>
  <c r="E363" i="71"/>
  <c r="E301" i="67"/>
  <c r="E301" i="71"/>
  <c r="E260" i="67"/>
  <c r="E260" i="71"/>
  <c r="E339" i="67"/>
  <c r="E339" i="71"/>
  <c r="E332" i="67"/>
  <c r="E332" i="71"/>
  <c r="E312" i="71"/>
  <c r="E312" i="67"/>
  <c r="E232" i="67"/>
  <c r="E232" i="71"/>
  <c r="E172" i="67"/>
  <c r="E172" i="71"/>
  <c r="E163" i="67"/>
  <c r="E163" i="71"/>
  <c r="E321" i="67"/>
  <c r="E321" i="71"/>
  <c r="E333" i="71"/>
  <c r="E333" i="67"/>
  <c r="E271" i="71"/>
  <c r="E271" i="67"/>
  <c r="E231" i="67"/>
  <c r="E231" i="71"/>
  <c r="E191" i="71"/>
  <c r="E191" i="67"/>
  <c r="E171" i="71"/>
  <c r="E171" i="67"/>
  <c r="E345" i="71"/>
  <c r="E345" i="67"/>
  <c r="E304" i="67"/>
  <c r="E304" i="71"/>
  <c r="E223" i="71"/>
  <c r="E223" i="67"/>
  <c r="E220" i="67"/>
  <c r="E220" i="71"/>
  <c r="E352" i="71"/>
  <c r="E352" i="67"/>
  <c r="E351" i="67"/>
  <c r="E351" i="71"/>
  <c r="E330" i="71"/>
  <c r="E330" i="67"/>
  <c r="E270" i="71"/>
  <c r="E270" i="67"/>
  <c r="E210" i="67"/>
  <c r="E210" i="71"/>
  <c r="E224" i="71"/>
  <c r="E224" i="67"/>
  <c r="E343" i="67"/>
  <c r="E343" i="71"/>
  <c r="E320" i="67"/>
  <c r="E320" i="71"/>
  <c r="E319" i="67"/>
  <c r="E319" i="71"/>
  <c r="E291" i="71"/>
  <c r="E291" i="67"/>
  <c r="E251" i="67"/>
  <c r="E251" i="71"/>
  <c r="E211" i="71"/>
  <c r="E211" i="67"/>
  <c r="E310" i="71"/>
  <c r="E310" i="67"/>
  <c r="E290" i="71"/>
  <c r="E290" i="67"/>
  <c r="E250" i="67"/>
  <c r="E250" i="71"/>
  <c r="E230" i="67"/>
  <c r="E230" i="71"/>
  <c r="E190" i="71"/>
  <c r="E190" i="67"/>
  <c r="E249" i="67"/>
  <c r="E249" i="71"/>
  <c r="E229" i="67"/>
  <c r="E229" i="71"/>
  <c r="E209" i="67"/>
  <c r="E209" i="71"/>
  <c r="E189" i="71"/>
  <c r="E189" i="67"/>
  <c r="E165" i="67"/>
  <c r="E165" i="71"/>
  <c r="E308" i="71"/>
  <c r="E308" i="67"/>
  <c r="E268" i="71"/>
  <c r="E268" i="67"/>
  <c r="E208" i="67"/>
  <c r="E208" i="71"/>
  <c r="E225" i="71"/>
  <c r="E225" i="67"/>
  <c r="E364" i="67"/>
  <c r="E364" i="71"/>
  <c r="E204" i="71"/>
  <c r="E204" i="67"/>
  <c r="E323" i="71"/>
  <c r="E323" i="67"/>
  <c r="E241" i="71"/>
  <c r="E241" i="67"/>
  <c r="E340" i="67"/>
  <c r="E340" i="71"/>
  <c r="E180" i="67"/>
  <c r="E180" i="71"/>
  <c r="E348" i="71"/>
  <c r="E348" i="67"/>
  <c r="E328" i="67"/>
  <c r="E328" i="71"/>
  <c r="E327" i="71"/>
  <c r="E327" i="67"/>
  <c r="E307" i="71"/>
  <c r="E307" i="67"/>
  <c r="E287" i="71"/>
  <c r="E287" i="67"/>
  <c r="E267" i="71"/>
  <c r="E267" i="67"/>
  <c r="E247" i="71"/>
  <c r="E247" i="67"/>
  <c r="E227" i="71"/>
  <c r="E227" i="67"/>
  <c r="E207" i="67"/>
  <c r="E187" i="71"/>
  <c r="E187" i="67"/>
  <c r="E167" i="71"/>
  <c r="E167" i="67"/>
  <c r="E346" i="71"/>
  <c r="E346" i="67"/>
  <c r="E326" i="71"/>
  <c r="E326" i="67"/>
  <c r="E306" i="71"/>
  <c r="E306" i="67"/>
  <c r="E286" i="71"/>
  <c r="E286" i="67"/>
  <c r="E266" i="71"/>
  <c r="E266" i="67"/>
  <c r="E246" i="71"/>
  <c r="E246" i="67"/>
  <c r="E226" i="71"/>
  <c r="E226" i="67"/>
  <c r="E206" i="71"/>
  <c r="E206" i="67"/>
  <c r="E186" i="71"/>
  <c r="E186" i="67"/>
  <c r="E166" i="71"/>
  <c r="E166" i="67"/>
  <c r="C67" i="60"/>
  <c r="C68" i="60"/>
  <c r="C4" i="49"/>
  <c r="C3" i="49"/>
  <c r="C109" i="56"/>
  <c r="C108" i="56"/>
  <c r="C107" i="56"/>
  <c r="C106" i="56"/>
  <c r="C48" i="56"/>
  <c r="C37" i="56"/>
  <c r="C26" i="56"/>
  <c r="C164" i="60"/>
  <c r="C165" i="60"/>
  <c r="C166" i="60"/>
  <c r="C167" i="60"/>
  <c r="C168" i="60"/>
  <c r="C169" i="60"/>
  <c r="C170" i="60"/>
  <c r="C171" i="60"/>
  <c r="C172" i="60"/>
  <c r="C173" i="60"/>
  <c r="C174" i="60"/>
  <c r="C163" i="60"/>
  <c r="C162" i="60"/>
  <c r="C33" i="60"/>
  <c r="C155" i="60"/>
  <c r="C154" i="60"/>
  <c r="C151" i="60"/>
  <c r="C150" i="60"/>
  <c r="C140" i="60"/>
  <c r="C141" i="60"/>
  <c r="C142" i="60"/>
  <c r="E256" i="71" l="1"/>
  <c r="E174" i="67"/>
  <c r="E192" i="67"/>
  <c r="E173" i="71"/>
  <c r="E234" i="71"/>
  <c r="E349" i="67"/>
  <c r="E274" i="71"/>
  <c r="E272" i="67"/>
  <c r="E213" i="67"/>
  <c r="E199" i="67"/>
  <c r="E195" i="67"/>
  <c r="E233" i="67"/>
  <c r="E269" i="67"/>
  <c r="E168" i="67"/>
  <c r="E212" i="67"/>
  <c r="E214" i="67"/>
  <c r="E169" i="67"/>
  <c r="E350" i="67"/>
  <c r="E289" i="71"/>
  <c r="E293" i="67"/>
  <c r="E248" i="67"/>
  <c r="E309" i="67"/>
  <c r="E219" i="71"/>
  <c r="E188" i="71"/>
  <c r="E228" i="71"/>
  <c r="E295" i="71"/>
  <c r="E196" i="67"/>
  <c r="E279" i="71"/>
  <c r="E179" i="71"/>
  <c r="E288" i="67"/>
  <c r="E252" i="71"/>
  <c r="E329" i="71"/>
  <c r="E255" i="67"/>
  <c r="E197" i="71"/>
  <c r="E331" i="67"/>
  <c r="E217" i="71"/>
  <c r="E292" i="71"/>
  <c r="E280" i="71"/>
  <c r="E170" i="67"/>
  <c r="E311" i="71"/>
  <c r="E347" i="67"/>
  <c r="E313" i="67"/>
  <c r="E299" i="71"/>
  <c r="E218" i="71"/>
  <c r="E253" i="71"/>
  <c r="E254" i="71"/>
  <c r="C5" i="60"/>
  <c r="C4" i="56" l="1"/>
  <c r="C139" i="60" l="1"/>
  <c r="C138" i="60"/>
  <c r="C134" i="60"/>
  <c r="C133" i="60"/>
  <c r="C21" i="60" l="1"/>
  <c r="C98" i="60"/>
  <c r="C99" i="60"/>
  <c r="C100" i="60"/>
  <c r="C97" i="60"/>
  <c r="C85" i="60"/>
  <c r="C86" i="60"/>
  <c r="C87" i="60"/>
  <c r="C88" i="60"/>
  <c r="C89" i="60"/>
  <c r="C84" i="60"/>
  <c r="C62" i="60"/>
  <c r="C63" i="60"/>
  <c r="C64" i="60"/>
  <c r="C65" i="60"/>
  <c r="C66" i="60"/>
  <c r="C31" i="60"/>
  <c r="C32" i="60"/>
  <c r="C34" i="60"/>
  <c r="C35" i="60"/>
  <c r="C36" i="60"/>
  <c r="C37" i="60"/>
  <c r="C128" i="60" l="1"/>
  <c r="C119" i="60"/>
  <c r="C129" i="60"/>
  <c r="C127" i="60"/>
  <c r="C122" i="60"/>
  <c r="C123" i="60"/>
  <c r="C120" i="60"/>
  <c r="C121" i="60"/>
  <c r="C118" i="60"/>
  <c r="C113" i="60"/>
  <c r="C111" i="60"/>
  <c r="C105" i="56"/>
  <c r="C104" i="56"/>
  <c r="C15" i="56"/>
  <c r="C41" i="60" l="1"/>
  <c r="C42" i="60"/>
  <c r="C43" i="60"/>
  <c r="C44" i="60"/>
  <c r="C45" i="60"/>
  <c r="C46" i="60"/>
  <c r="C47" i="60"/>
  <c r="C48" i="60"/>
  <c r="C40" i="60"/>
  <c r="C28" i="60"/>
  <c r="C29" i="60"/>
  <c r="C30" i="60"/>
  <c r="C23" i="60"/>
  <c r="C24" i="60"/>
  <c r="C25" i="60"/>
  <c r="C22" i="60"/>
  <c r="C17" i="60"/>
  <c r="C16" i="60"/>
  <c r="C10" i="60"/>
  <c r="C11" i="60"/>
  <c r="C12" i="60"/>
  <c r="C9" i="60"/>
  <c r="C4" i="60"/>
  <c r="C3" i="60"/>
  <c r="C92" i="56" l="1"/>
  <c r="C81" i="56"/>
  <c r="C70" i="56"/>
  <c r="C59" i="56"/>
  <c r="B7" i="56" l="1"/>
  <c r="B8" i="56"/>
  <c r="B9" i="56"/>
  <c r="B10" i="56"/>
  <c r="B11" i="56"/>
  <c r="B12" i="56"/>
  <c r="C16" i="56"/>
  <c r="C27" i="56" s="1"/>
  <c r="C38" i="56" s="1"/>
  <c r="C49" i="56" s="1"/>
  <c r="C17" i="56"/>
  <c r="C28" i="56" s="1"/>
  <c r="C39" i="56" s="1"/>
  <c r="C50" i="56" s="1"/>
  <c r="B18" i="56"/>
  <c r="C18" i="56"/>
  <c r="C29" i="56" s="1"/>
  <c r="C40" i="56" s="1"/>
  <c r="C51" i="56" s="1"/>
  <c r="B19" i="56"/>
  <c r="C19" i="56"/>
  <c r="C30" i="56" s="1"/>
  <c r="C41" i="56" s="1"/>
  <c r="C52" i="56" s="1"/>
  <c r="B20" i="56"/>
  <c r="C20" i="56"/>
  <c r="C31" i="56" s="1"/>
  <c r="C42" i="56" s="1"/>
  <c r="C53" i="56" s="1"/>
  <c r="B21" i="56"/>
  <c r="C21" i="56"/>
  <c r="C32" i="56" s="1"/>
  <c r="C43" i="56" s="1"/>
  <c r="C54" i="56" s="1"/>
  <c r="B22" i="56"/>
  <c r="C22" i="56"/>
  <c r="C33" i="56" s="1"/>
  <c r="C44" i="56" s="1"/>
  <c r="C55" i="56" s="1"/>
  <c r="B23" i="56"/>
  <c r="C23" i="56"/>
  <c r="C34" i="56" s="1"/>
  <c r="C45" i="56" s="1"/>
  <c r="C56" i="56" s="1"/>
  <c r="C24" i="56"/>
  <c r="C35" i="56" s="1"/>
  <c r="C46" i="56" s="1"/>
  <c r="C57" i="56" s="1"/>
  <c r="B29" i="56"/>
  <c r="B30" i="56"/>
  <c r="B31" i="56"/>
  <c r="B32" i="56"/>
  <c r="B33" i="56"/>
  <c r="B34" i="56"/>
  <c r="B40" i="56"/>
  <c r="B41" i="56"/>
  <c r="B42" i="56"/>
  <c r="B43" i="56"/>
  <c r="B44" i="56"/>
  <c r="B45" i="56"/>
  <c r="B51" i="56"/>
  <c r="B52" i="56"/>
  <c r="B53" i="56"/>
  <c r="B54" i="56"/>
  <c r="B55" i="56"/>
  <c r="B56" i="56"/>
  <c r="B60" i="56"/>
  <c r="B61" i="56"/>
  <c r="B62" i="56"/>
  <c r="B63" i="56"/>
  <c r="B64" i="56"/>
  <c r="B65" i="56"/>
  <c r="B66" i="56"/>
  <c r="B67" i="56"/>
  <c r="B68" i="56"/>
  <c r="B71" i="56"/>
  <c r="B72" i="56"/>
  <c r="B73" i="56"/>
  <c r="B74" i="56"/>
  <c r="B75" i="56"/>
  <c r="B76" i="56"/>
  <c r="B77" i="56"/>
  <c r="B78" i="56"/>
  <c r="B79" i="56"/>
  <c r="B82" i="56"/>
  <c r="B83" i="56"/>
  <c r="B84" i="56"/>
  <c r="B85" i="56"/>
  <c r="B86" i="56"/>
  <c r="B87" i="56"/>
  <c r="B88" i="56"/>
  <c r="B89" i="56"/>
  <c r="B90" i="56"/>
  <c r="B93" i="56"/>
  <c r="B94" i="56"/>
  <c r="B95" i="56"/>
  <c r="B96" i="56"/>
  <c r="B97" i="56"/>
  <c r="B98" i="56"/>
  <c r="B99" i="56"/>
  <c r="B100" i="56"/>
  <c r="B101" i="56"/>
  <c r="B110" i="56"/>
  <c r="C110" i="56"/>
  <c r="B111" i="56"/>
  <c r="C111" i="56"/>
  <c r="B112" i="56"/>
  <c r="C112" i="56"/>
  <c r="B114" i="56"/>
  <c r="C114" i="56"/>
  <c r="B115" i="56"/>
  <c r="C115" i="56"/>
  <c r="B116" i="56"/>
  <c r="C116" i="56"/>
  <c r="B117" i="56"/>
  <c r="C117" i="56"/>
  <c r="B118" i="56"/>
  <c r="C118" i="56"/>
  <c r="B119" i="56"/>
  <c r="C119" i="56"/>
  <c r="B120" i="56"/>
  <c r="C120" i="56"/>
  <c r="B121" i="56"/>
  <c r="C121" i="56"/>
  <c r="B122" i="56"/>
  <c r="C122" i="56"/>
  <c r="C124" i="56"/>
  <c r="C125" i="56"/>
  <c r="C67" i="56" l="1"/>
  <c r="C89" i="56" s="1"/>
  <c r="C78" i="56"/>
  <c r="C100" i="56" s="1"/>
  <c r="C74" i="56"/>
  <c r="C96" i="56" s="1"/>
  <c r="C63" i="56"/>
  <c r="C85" i="56" s="1"/>
  <c r="C64" i="56"/>
  <c r="C86" i="56" s="1"/>
  <c r="C75" i="56"/>
  <c r="C97" i="56" s="1"/>
  <c r="C65" i="56"/>
  <c r="C87" i="56" s="1"/>
  <c r="C76" i="56"/>
  <c r="C98" i="56" s="1"/>
  <c r="C61" i="56"/>
  <c r="C83" i="56" s="1"/>
  <c r="C72" i="56"/>
  <c r="C94" i="56" s="1"/>
  <c r="C68" i="56"/>
  <c r="C90" i="56" s="1"/>
  <c r="C79" i="56"/>
  <c r="C101" i="56" s="1"/>
  <c r="C60" i="56"/>
  <c r="C82" i="56" s="1"/>
  <c r="C71" i="56"/>
  <c r="C93" i="56" s="1"/>
  <c r="C62" i="56"/>
  <c r="C84" i="56" s="1"/>
  <c r="C73" i="56"/>
  <c r="C95" i="56" s="1"/>
  <c r="C66" i="56"/>
  <c r="C88" i="56" s="1"/>
  <c r="C77" i="56"/>
  <c r="C99" i="56" s="1"/>
  <c r="E30" i="46"/>
  <c r="E31" i="46"/>
  <c r="E32" i="46"/>
  <c r="E33" i="46"/>
  <c r="E29" i="46"/>
  <c r="C30" i="46"/>
  <c r="C31" i="46"/>
  <c r="C32" i="46"/>
  <c r="C33" i="46"/>
  <c r="C29" i="46"/>
  <c r="E19" i="46"/>
  <c r="E20" i="46"/>
  <c r="E21" i="46"/>
  <c r="E22" i="46"/>
  <c r="E23" i="46"/>
  <c r="E24" i="46"/>
  <c r="E18" i="46"/>
  <c r="C19" i="46"/>
  <c r="C20" i="46"/>
  <c r="C21" i="46"/>
  <c r="C22" i="46"/>
  <c r="C23" i="46"/>
  <c r="C24" i="46"/>
  <c r="C18" i="46"/>
  <c r="E4" i="46"/>
  <c r="E5" i="46"/>
  <c r="E6" i="46"/>
  <c r="E7" i="46"/>
  <c r="E8" i="46"/>
  <c r="E9" i="46"/>
  <c r="E10" i="46"/>
  <c r="E11" i="46"/>
  <c r="E12" i="46"/>
  <c r="E13" i="46"/>
  <c r="E3" i="46"/>
  <c r="C3" i="46"/>
  <c r="C13" i="46"/>
  <c r="C4" i="46"/>
  <c r="C5" i="46"/>
  <c r="C6" i="46"/>
  <c r="C7" i="46"/>
  <c r="C8" i="46"/>
  <c r="C9" i="46"/>
  <c r="C10" i="46"/>
  <c r="C11" i="46"/>
  <c r="C12" i="46"/>
  <c r="C214" i="49"/>
  <c r="E214" i="49"/>
  <c r="H214" i="49"/>
  <c r="J214" i="49"/>
  <c r="L214" i="49"/>
  <c r="C215" i="49"/>
  <c r="E215" i="49"/>
  <c r="H215" i="49"/>
  <c r="J215" i="49"/>
  <c r="L215" i="49"/>
  <c r="C216" i="49"/>
  <c r="E216" i="49"/>
  <c r="H216" i="49"/>
  <c r="J216" i="49"/>
  <c r="L216" i="49"/>
  <c r="C217" i="49"/>
  <c r="E217" i="49"/>
  <c r="H217" i="49"/>
  <c r="J217" i="49"/>
  <c r="L217" i="49"/>
  <c r="C218" i="49"/>
  <c r="E218" i="49"/>
  <c r="H218" i="49"/>
  <c r="J218" i="49"/>
  <c r="L218" i="49"/>
  <c r="C219" i="49"/>
  <c r="E219" i="49"/>
  <c r="H219" i="49"/>
  <c r="J219" i="49"/>
  <c r="L219" i="49"/>
  <c r="C220" i="49"/>
  <c r="E220" i="49"/>
  <c r="H220" i="49"/>
  <c r="J220" i="49"/>
  <c r="L220" i="49"/>
  <c r="C221" i="49"/>
  <c r="E221" i="49"/>
  <c r="H221" i="49"/>
  <c r="J221" i="49"/>
  <c r="L221" i="49"/>
  <c r="C222" i="49"/>
  <c r="E222" i="49"/>
  <c r="H222" i="49"/>
  <c r="J222" i="49"/>
  <c r="L222" i="49"/>
  <c r="C223" i="49"/>
  <c r="E223" i="49"/>
  <c r="H223" i="49"/>
  <c r="J223" i="49"/>
  <c r="L223" i="49"/>
  <c r="C194" i="49"/>
  <c r="E194" i="49"/>
  <c r="H194" i="49"/>
  <c r="J194" i="49"/>
  <c r="L194" i="49"/>
  <c r="C195" i="49"/>
  <c r="E195" i="49"/>
  <c r="H195" i="49"/>
  <c r="J195" i="49"/>
  <c r="L195" i="49"/>
  <c r="C196" i="49"/>
  <c r="E196" i="49"/>
  <c r="H196" i="49"/>
  <c r="J196" i="49"/>
  <c r="L196" i="49"/>
  <c r="C197" i="49"/>
  <c r="E197" i="49"/>
  <c r="H197" i="49"/>
  <c r="J197" i="49"/>
  <c r="L197" i="49"/>
  <c r="C198" i="49"/>
  <c r="E198" i="49"/>
  <c r="H198" i="49"/>
  <c r="J198" i="49"/>
  <c r="L198" i="49"/>
  <c r="C199" i="49"/>
  <c r="E199" i="49"/>
  <c r="H199" i="49"/>
  <c r="J199" i="49"/>
  <c r="L199" i="49"/>
  <c r="C200" i="49"/>
  <c r="E200" i="49"/>
  <c r="H200" i="49"/>
  <c r="J200" i="49"/>
  <c r="L200" i="49"/>
  <c r="C201" i="49"/>
  <c r="E201" i="49"/>
  <c r="H201" i="49"/>
  <c r="J201" i="49"/>
  <c r="L201" i="49"/>
  <c r="C202" i="49"/>
  <c r="E202" i="49"/>
  <c r="H202" i="49"/>
  <c r="J202" i="49"/>
  <c r="L202" i="49"/>
  <c r="C203" i="49"/>
  <c r="E203" i="49"/>
  <c r="H203" i="49"/>
  <c r="J203" i="49"/>
  <c r="L203" i="49"/>
  <c r="C204" i="49"/>
  <c r="E204" i="49"/>
  <c r="H204" i="49"/>
  <c r="J204" i="49"/>
  <c r="L204" i="49"/>
  <c r="C205" i="49"/>
  <c r="E205" i="49"/>
  <c r="H205" i="49"/>
  <c r="J205" i="49"/>
  <c r="L205" i="49"/>
  <c r="C206" i="49"/>
  <c r="E206" i="49"/>
  <c r="H206" i="49"/>
  <c r="J206" i="49"/>
  <c r="L206" i="49"/>
  <c r="C207" i="49"/>
  <c r="E207" i="49"/>
  <c r="H207" i="49"/>
  <c r="J207" i="49"/>
  <c r="L207" i="49"/>
  <c r="C208" i="49"/>
  <c r="E208" i="49"/>
  <c r="H208" i="49"/>
  <c r="J208" i="49"/>
  <c r="L208" i="49"/>
  <c r="C209" i="49"/>
  <c r="E209" i="49"/>
  <c r="H209" i="49"/>
  <c r="J209" i="49"/>
  <c r="L209" i="49"/>
  <c r="C210" i="49"/>
  <c r="E210" i="49"/>
  <c r="H210" i="49"/>
  <c r="J210" i="49"/>
  <c r="L210" i="49"/>
  <c r="C211" i="49"/>
  <c r="E211" i="49"/>
  <c r="H211" i="49"/>
  <c r="J211" i="49"/>
  <c r="L211" i="49"/>
  <c r="C212" i="49"/>
  <c r="E212" i="49"/>
  <c r="H212" i="49"/>
  <c r="J212" i="49"/>
  <c r="L212" i="49"/>
  <c r="C213" i="49"/>
  <c r="E213" i="49"/>
  <c r="H213" i="49"/>
  <c r="J213" i="49"/>
  <c r="L213" i="49"/>
  <c r="C167" i="49"/>
  <c r="E167" i="49"/>
  <c r="H167" i="49"/>
  <c r="J167" i="49"/>
  <c r="L167" i="49"/>
  <c r="C168" i="49"/>
  <c r="E168" i="49"/>
  <c r="H168" i="49"/>
  <c r="J168" i="49"/>
  <c r="L168" i="49"/>
  <c r="C169" i="49"/>
  <c r="E169" i="49"/>
  <c r="H169" i="49"/>
  <c r="J169" i="49"/>
  <c r="L169" i="49"/>
  <c r="C170" i="49"/>
  <c r="E170" i="49"/>
  <c r="H170" i="49"/>
  <c r="J170" i="49"/>
  <c r="L170" i="49"/>
  <c r="C171" i="49"/>
  <c r="E171" i="49"/>
  <c r="H171" i="49"/>
  <c r="J171" i="49"/>
  <c r="L171" i="49"/>
  <c r="C172" i="49"/>
  <c r="E172" i="49"/>
  <c r="H172" i="49"/>
  <c r="J172" i="49"/>
  <c r="L172" i="49"/>
  <c r="C173" i="49"/>
  <c r="E173" i="49"/>
  <c r="H173" i="49"/>
  <c r="J173" i="49"/>
  <c r="L173" i="49"/>
  <c r="C174" i="49"/>
  <c r="E174" i="49"/>
  <c r="H174" i="49"/>
  <c r="J174" i="49"/>
  <c r="L174" i="49"/>
  <c r="C175" i="49"/>
  <c r="E175" i="49"/>
  <c r="H175" i="49"/>
  <c r="J175" i="49"/>
  <c r="L175" i="49"/>
  <c r="C176" i="49"/>
  <c r="E176" i="49"/>
  <c r="H176" i="49"/>
  <c r="J176" i="49"/>
  <c r="L176" i="49"/>
  <c r="C177" i="49"/>
  <c r="E177" i="49"/>
  <c r="H177" i="49"/>
  <c r="J177" i="49"/>
  <c r="L177" i="49"/>
  <c r="C178" i="49"/>
  <c r="E178" i="49"/>
  <c r="H178" i="49"/>
  <c r="J178" i="49"/>
  <c r="L178" i="49"/>
  <c r="C179" i="49"/>
  <c r="E179" i="49"/>
  <c r="H179" i="49"/>
  <c r="J179" i="49"/>
  <c r="L179" i="49"/>
  <c r="C180" i="49"/>
  <c r="E180" i="49"/>
  <c r="H180" i="49"/>
  <c r="J180" i="49"/>
  <c r="L180" i="49"/>
  <c r="C181" i="49"/>
  <c r="E181" i="49"/>
  <c r="H181" i="49"/>
  <c r="J181" i="49"/>
  <c r="L181" i="49"/>
  <c r="C182" i="49"/>
  <c r="E182" i="49"/>
  <c r="H182" i="49"/>
  <c r="J182" i="49"/>
  <c r="L182" i="49"/>
  <c r="C183" i="49"/>
  <c r="E183" i="49"/>
  <c r="H183" i="49"/>
  <c r="J183" i="49"/>
  <c r="L183" i="49"/>
  <c r="C184" i="49"/>
  <c r="E184" i="49"/>
  <c r="H184" i="49"/>
  <c r="J184" i="49"/>
  <c r="L184" i="49"/>
  <c r="C185" i="49"/>
  <c r="E185" i="49"/>
  <c r="H185" i="49"/>
  <c r="J185" i="49"/>
  <c r="L185" i="49"/>
  <c r="C186" i="49"/>
  <c r="E186" i="49"/>
  <c r="H186" i="49"/>
  <c r="J186" i="49"/>
  <c r="L186" i="49"/>
  <c r="C187" i="49"/>
  <c r="E187" i="49"/>
  <c r="H187" i="49"/>
  <c r="J187" i="49"/>
  <c r="L187" i="49"/>
  <c r="C188" i="49"/>
  <c r="E188" i="49"/>
  <c r="H188" i="49"/>
  <c r="J188" i="49"/>
  <c r="L188" i="49"/>
  <c r="C189" i="49"/>
  <c r="E189" i="49"/>
  <c r="H189" i="49"/>
  <c r="J189" i="49"/>
  <c r="L189" i="49"/>
  <c r="C190" i="49"/>
  <c r="E190" i="49"/>
  <c r="H190" i="49"/>
  <c r="J190" i="49"/>
  <c r="L190" i="49"/>
  <c r="C191" i="49"/>
  <c r="E191" i="49"/>
  <c r="H191" i="49"/>
  <c r="J191" i="49"/>
  <c r="L191" i="49"/>
  <c r="C192" i="49"/>
  <c r="E192" i="49"/>
  <c r="H192" i="49"/>
  <c r="J192" i="49"/>
  <c r="L192" i="49"/>
  <c r="C193" i="49"/>
  <c r="E193" i="49"/>
  <c r="H193" i="49"/>
  <c r="J193" i="49"/>
  <c r="L193" i="49"/>
  <c r="C106" i="49"/>
  <c r="E106" i="49"/>
  <c r="H106" i="49"/>
  <c r="J106" i="49"/>
  <c r="L106" i="49"/>
  <c r="C107" i="49"/>
  <c r="E107" i="49"/>
  <c r="H107" i="49"/>
  <c r="J107" i="49"/>
  <c r="L107" i="49"/>
  <c r="C108" i="49"/>
  <c r="E108" i="49"/>
  <c r="H108" i="49"/>
  <c r="J108" i="49"/>
  <c r="L108" i="49"/>
  <c r="C109" i="49"/>
  <c r="E109" i="49"/>
  <c r="H109" i="49"/>
  <c r="J109" i="49"/>
  <c r="L109" i="49"/>
  <c r="C110" i="49"/>
  <c r="E110" i="49"/>
  <c r="H110" i="49"/>
  <c r="J110" i="49"/>
  <c r="L110" i="49"/>
  <c r="C111" i="49"/>
  <c r="E111" i="49"/>
  <c r="H111" i="49"/>
  <c r="J111" i="49"/>
  <c r="L111" i="49"/>
  <c r="C112" i="49"/>
  <c r="E112" i="49"/>
  <c r="H112" i="49"/>
  <c r="J112" i="49"/>
  <c r="L112" i="49"/>
  <c r="C113" i="49"/>
  <c r="E113" i="49"/>
  <c r="H113" i="49"/>
  <c r="J113" i="49"/>
  <c r="L113" i="49"/>
  <c r="C114" i="49"/>
  <c r="E114" i="49"/>
  <c r="H114" i="49"/>
  <c r="J114" i="49"/>
  <c r="L114" i="49"/>
  <c r="C115" i="49"/>
  <c r="E115" i="49"/>
  <c r="H115" i="49"/>
  <c r="J115" i="49"/>
  <c r="L115" i="49"/>
  <c r="C116" i="49"/>
  <c r="E116" i="49"/>
  <c r="H116" i="49"/>
  <c r="J116" i="49"/>
  <c r="L116" i="49"/>
  <c r="C117" i="49"/>
  <c r="E117" i="49"/>
  <c r="H117" i="49"/>
  <c r="J117" i="49"/>
  <c r="L117" i="49"/>
  <c r="C118" i="49"/>
  <c r="E118" i="49"/>
  <c r="H118" i="49"/>
  <c r="J118" i="49"/>
  <c r="L118" i="49"/>
  <c r="C125" i="49"/>
  <c r="E125" i="49"/>
  <c r="H125" i="49"/>
  <c r="J125" i="49"/>
  <c r="L125" i="49"/>
  <c r="C126" i="49"/>
  <c r="E126" i="49"/>
  <c r="H126" i="49"/>
  <c r="J126" i="49"/>
  <c r="L126" i="49"/>
  <c r="C127" i="49"/>
  <c r="E127" i="49"/>
  <c r="H127" i="49"/>
  <c r="J127" i="49"/>
  <c r="L127" i="49"/>
  <c r="C128" i="49"/>
  <c r="E128" i="49"/>
  <c r="H128" i="49"/>
  <c r="J128" i="49"/>
  <c r="L128" i="49"/>
  <c r="C129" i="49"/>
  <c r="E129" i="49"/>
  <c r="H129" i="49"/>
  <c r="J129" i="49"/>
  <c r="L129" i="49"/>
  <c r="C130" i="49"/>
  <c r="E130" i="49"/>
  <c r="H130" i="49"/>
  <c r="J130" i="49"/>
  <c r="L130" i="49"/>
  <c r="C131" i="49"/>
  <c r="E131" i="49"/>
  <c r="H131" i="49"/>
  <c r="J131" i="49"/>
  <c r="L131" i="49"/>
  <c r="C132" i="49"/>
  <c r="E132" i="49"/>
  <c r="H132" i="49"/>
  <c r="J132" i="49"/>
  <c r="L132" i="49"/>
  <c r="C133" i="49"/>
  <c r="E133" i="49"/>
  <c r="H133" i="49"/>
  <c r="J133" i="49"/>
  <c r="L133" i="49"/>
  <c r="C134" i="49"/>
  <c r="E134" i="49"/>
  <c r="H134" i="49"/>
  <c r="J134" i="49"/>
  <c r="L134" i="49"/>
  <c r="C135" i="49"/>
  <c r="E135" i="49"/>
  <c r="H135" i="49"/>
  <c r="J135" i="49"/>
  <c r="L135" i="49"/>
  <c r="C136" i="49"/>
  <c r="E136" i="49"/>
  <c r="H136" i="49"/>
  <c r="J136" i="49"/>
  <c r="L136" i="49"/>
  <c r="C137" i="49"/>
  <c r="E137" i="49"/>
  <c r="H137" i="49"/>
  <c r="J137" i="49"/>
  <c r="L137" i="49"/>
  <c r="C138" i="49"/>
  <c r="E138" i="49"/>
  <c r="H138" i="49"/>
  <c r="J138" i="49"/>
  <c r="L138" i="49"/>
  <c r="C139" i="49"/>
  <c r="E139" i="49"/>
  <c r="H139" i="49"/>
  <c r="J139" i="49"/>
  <c r="L139" i="49"/>
  <c r="C140" i="49"/>
  <c r="E140" i="49"/>
  <c r="H140" i="49"/>
  <c r="J140" i="49"/>
  <c r="L140" i="49"/>
  <c r="C141" i="49"/>
  <c r="E141" i="49"/>
  <c r="H141" i="49"/>
  <c r="J141" i="49"/>
  <c r="L141" i="49"/>
  <c r="C142" i="49"/>
  <c r="E142" i="49"/>
  <c r="H142" i="49"/>
  <c r="J142" i="49"/>
  <c r="L142" i="49"/>
  <c r="C143" i="49"/>
  <c r="E143" i="49"/>
  <c r="H143" i="49"/>
  <c r="J143" i="49"/>
  <c r="L143" i="49"/>
  <c r="C144" i="49"/>
  <c r="E144" i="49"/>
  <c r="H144" i="49"/>
  <c r="J144" i="49"/>
  <c r="L144" i="49"/>
  <c r="C145" i="49"/>
  <c r="E145" i="49"/>
  <c r="H145" i="49"/>
  <c r="J145" i="49"/>
  <c r="L145" i="49"/>
  <c r="C146" i="49"/>
  <c r="E146" i="49"/>
  <c r="H146" i="49"/>
  <c r="J146" i="49"/>
  <c r="L146" i="49"/>
  <c r="C147" i="49"/>
  <c r="E147" i="49"/>
  <c r="H147" i="49"/>
  <c r="J147" i="49"/>
  <c r="L147" i="49"/>
  <c r="C148" i="49"/>
  <c r="E148" i="49"/>
  <c r="H148" i="49"/>
  <c r="J148" i="49"/>
  <c r="L148" i="49"/>
  <c r="C149" i="49"/>
  <c r="E149" i="49"/>
  <c r="H149" i="49"/>
  <c r="J149" i="49"/>
  <c r="L149" i="49"/>
  <c r="C150" i="49"/>
  <c r="E150" i="49"/>
  <c r="H150" i="49"/>
  <c r="J150" i="49"/>
  <c r="L150" i="49"/>
  <c r="C151" i="49"/>
  <c r="E151" i="49"/>
  <c r="H151" i="49"/>
  <c r="J151" i="49"/>
  <c r="L151" i="49"/>
  <c r="C152" i="49"/>
  <c r="E152" i="49"/>
  <c r="H152" i="49"/>
  <c r="J152" i="49"/>
  <c r="L152" i="49"/>
  <c r="C153" i="49"/>
  <c r="E153" i="49"/>
  <c r="H153" i="49"/>
  <c r="J153" i="49"/>
  <c r="L153" i="49"/>
  <c r="C154" i="49"/>
  <c r="E154" i="49"/>
  <c r="H154" i="49"/>
  <c r="J154" i="49"/>
  <c r="L154" i="49"/>
  <c r="C155" i="49"/>
  <c r="E155" i="49"/>
  <c r="H155" i="49"/>
  <c r="J155" i="49"/>
  <c r="L155" i="49"/>
  <c r="C156" i="49"/>
  <c r="E156" i="49"/>
  <c r="H156" i="49"/>
  <c r="J156" i="49"/>
  <c r="L156" i="49"/>
  <c r="C157" i="49"/>
  <c r="E157" i="49"/>
  <c r="H157" i="49"/>
  <c r="J157" i="49"/>
  <c r="L157" i="49"/>
  <c r="C158" i="49"/>
  <c r="E158" i="49"/>
  <c r="H158" i="49"/>
  <c r="J158" i="49"/>
  <c r="L158" i="49"/>
  <c r="C159" i="49"/>
  <c r="E159" i="49"/>
  <c r="H159" i="49"/>
  <c r="J159" i="49"/>
  <c r="L159" i="49"/>
  <c r="C160" i="49"/>
  <c r="E160" i="49"/>
  <c r="H160" i="49"/>
  <c r="J160" i="49"/>
  <c r="L160" i="49"/>
  <c r="C161" i="49"/>
  <c r="E161" i="49"/>
  <c r="H161" i="49"/>
  <c r="J161" i="49"/>
  <c r="L161" i="49"/>
  <c r="C162" i="49"/>
  <c r="E162" i="49"/>
  <c r="H162" i="49"/>
  <c r="J162" i="49"/>
  <c r="L162" i="49"/>
  <c r="C163" i="49"/>
  <c r="E163" i="49"/>
  <c r="H163" i="49"/>
  <c r="J163" i="49"/>
  <c r="L163" i="49"/>
  <c r="C164" i="49"/>
  <c r="E164" i="49"/>
  <c r="H164" i="49"/>
  <c r="J164" i="49"/>
  <c r="L164" i="49"/>
  <c r="C165" i="49"/>
  <c r="E165" i="49"/>
  <c r="H165" i="49"/>
  <c r="J165" i="49"/>
  <c r="L165" i="49"/>
  <c r="C166" i="49"/>
  <c r="E166" i="49"/>
  <c r="H166" i="49"/>
  <c r="J166" i="49"/>
  <c r="L166" i="49"/>
  <c r="L105" i="49"/>
  <c r="J105" i="49"/>
  <c r="H105" i="49"/>
  <c r="E105" i="49"/>
  <c r="C105" i="49"/>
  <c r="L71" i="49"/>
  <c r="L72" i="49"/>
  <c r="L73" i="49"/>
  <c r="L74" i="49"/>
  <c r="L75" i="49"/>
  <c r="L76" i="49"/>
  <c r="L77" i="49"/>
  <c r="L78" i="49"/>
  <c r="L79" i="49"/>
  <c r="L80" i="49"/>
  <c r="L81" i="49"/>
  <c r="L82" i="49"/>
  <c r="L83" i="49"/>
  <c r="L84" i="49"/>
  <c r="L85" i="49"/>
  <c r="L86" i="49"/>
  <c r="L87" i="49"/>
  <c r="L88" i="49"/>
  <c r="L89" i="49"/>
  <c r="L90" i="49"/>
  <c r="L91" i="49"/>
  <c r="L92" i="49"/>
  <c r="L93" i="49"/>
  <c r="L94" i="49"/>
  <c r="L95" i="49"/>
  <c r="L96" i="49"/>
  <c r="L97" i="49"/>
  <c r="L98" i="49"/>
  <c r="L99" i="49"/>
  <c r="J71" i="49"/>
  <c r="J72" i="49"/>
  <c r="J73" i="49"/>
  <c r="J74" i="49"/>
  <c r="J75" i="49"/>
  <c r="J76" i="49"/>
  <c r="J77" i="49"/>
  <c r="J78" i="49"/>
  <c r="J79" i="49"/>
  <c r="J80" i="49"/>
  <c r="J81" i="49"/>
  <c r="J82" i="49"/>
  <c r="J83" i="49"/>
  <c r="J84" i="49"/>
  <c r="J85" i="49"/>
  <c r="J86" i="49"/>
  <c r="J87" i="49"/>
  <c r="J88" i="49"/>
  <c r="J89" i="49"/>
  <c r="J90" i="49"/>
  <c r="J91" i="49"/>
  <c r="J92" i="49"/>
  <c r="J93" i="49"/>
  <c r="J94" i="49"/>
  <c r="J95" i="49"/>
  <c r="J96" i="49"/>
  <c r="J97" i="49"/>
  <c r="J98" i="49"/>
  <c r="J99" i="49"/>
  <c r="H71" i="49"/>
  <c r="H72" i="49"/>
  <c r="H73" i="49"/>
  <c r="H74" i="49"/>
  <c r="H75" i="49"/>
  <c r="H76" i="49"/>
  <c r="H77" i="49"/>
  <c r="H78" i="49"/>
  <c r="H79" i="49"/>
  <c r="H80" i="49"/>
  <c r="H81" i="49"/>
  <c r="H82" i="49"/>
  <c r="H83" i="49"/>
  <c r="H84" i="49"/>
  <c r="H85" i="49"/>
  <c r="H86" i="49"/>
  <c r="H87" i="49"/>
  <c r="H88" i="49"/>
  <c r="H89" i="49"/>
  <c r="H90" i="49"/>
  <c r="H91" i="49"/>
  <c r="H92" i="49"/>
  <c r="H93" i="49"/>
  <c r="H94" i="49"/>
  <c r="H95" i="49"/>
  <c r="H96" i="49"/>
  <c r="H97" i="49"/>
  <c r="H98" i="49"/>
  <c r="H99" i="49"/>
  <c r="E71" i="49"/>
  <c r="E72" i="49"/>
  <c r="E73" i="49"/>
  <c r="E74" i="49"/>
  <c r="E75" i="49"/>
  <c r="E76" i="49"/>
  <c r="E77" i="49"/>
  <c r="E78" i="49"/>
  <c r="E79" i="49"/>
  <c r="E80" i="49"/>
  <c r="E81" i="49"/>
  <c r="E82" i="49"/>
  <c r="E83" i="49"/>
  <c r="E84" i="49"/>
  <c r="E85" i="49"/>
  <c r="E86" i="49"/>
  <c r="E87" i="49"/>
  <c r="E88" i="49"/>
  <c r="E89" i="49"/>
  <c r="E90" i="49"/>
  <c r="E91" i="49"/>
  <c r="E92" i="49"/>
  <c r="E93" i="49"/>
  <c r="E94" i="49"/>
  <c r="E95" i="49"/>
  <c r="E96" i="49"/>
  <c r="E97" i="49"/>
  <c r="E98" i="49"/>
  <c r="E99" i="49"/>
  <c r="C95" i="49"/>
  <c r="C96" i="49"/>
  <c r="C97" i="49"/>
  <c r="C98" i="49"/>
  <c r="C99" i="49"/>
  <c r="C71" i="49"/>
  <c r="C72" i="49"/>
  <c r="C73" i="49"/>
  <c r="C74" i="49"/>
  <c r="C75" i="49"/>
  <c r="N75" i="49" s="1"/>
  <c r="C76" i="49"/>
  <c r="N76" i="49" s="1"/>
  <c r="C77" i="49"/>
  <c r="C78" i="49"/>
  <c r="C79" i="49"/>
  <c r="C80" i="49"/>
  <c r="N80" i="49" s="1"/>
  <c r="C81" i="49"/>
  <c r="N81" i="49" s="1"/>
  <c r="C82" i="49"/>
  <c r="C83" i="49"/>
  <c r="C84" i="49"/>
  <c r="C85" i="49"/>
  <c r="C86" i="49"/>
  <c r="C87" i="49"/>
  <c r="N87" i="49" s="1"/>
  <c r="C88" i="49"/>
  <c r="N88" i="49" s="1"/>
  <c r="C89" i="49"/>
  <c r="C90" i="49"/>
  <c r="C91" i="49"/>
  <c r="C92" i="49"/>
  <c r="N92" i="49" s="1"/>
  <c r="C93" i="49"/>
  <c r="N93" i="49" s="1"/>
  <c r="C94" i="49"/>
  <c r="H51" i="49"/>
  <c r="C65" i="47"/>
  <c r="C66" i="47"/>
  <c r="C67" i="47"/>
  <c r="C68" i="47"/>
  <c r="C69" i="47"/>
  <c r="C70" i="47"/>
  <c r="C71" i="47"/>
  <c r="C72" i="47"/>
  <c r="C73" i="47"/>
  <c r="C74" i="47"/>
  <c r="C75" i="47"/>
  <c r="C76" i="47"/>
  <c r="C77" i="47"/>
  <c r="C78" i="47"/>
  <c r="C79" i="47"/>
  <c r="C80" i="47"/>
  <c r="C81" i="47"/>
  <c r="C82" i="47"/>
  <c r="E82" i="47"/>
  <c r="E74" i="47"/>
  <c r="E75" i="47"/>
  <c r="E76" i="47"/>
  <c r="E77" i="47"/>
  <c r="E78" i="47"/>
  <c r="E79" i="47"/>
  <c r="E80" i="47"/>
  <c r="E81" i="47"/>
  <c r="E70" i="47"/>
  <c r="E71" i="47"/>
  <c r="E72" i="47"/>
  <c r="E73" i="47"/>
  <c r="E65" i="47"/>
  <c r="E66" i="47"/>
  <c r="E67" i="47"/>
  <c r="E68" i="47"/>
  <c r="E69" i="47"/>
  <c r="E28" i="47"/>
  <c r="E29" i="47"/>
  <c r="E30" i="47"/>
  <c r="E31" i="47"/>
  <c r="E32" i="47"/>
  <c r="E33" i="47"/>
  <c r="E34" i="47"/>
  <c r="E35" i="47"/>
  <c r="E36" i="47"/>
  <c r="E37" i="47"/>
  <c r="E38" i="47"/>
  <c r="E39" i="47"/>
  <c r="E40" i="47"/>
  <c r="E41" i="47"/>
  <c r="E42" i="47"/>
  <c r="E43" i="47"/>
  <c r="E44" i="47"/>
  <c r="E45" i="47"/>
  <c r="E46" i="47"/>
  <c r="E47" i="47"/>
  <c r="E48" i="47"/>
  <c r="E49" i="47"/>
  <c r="E50" i="47"/>
  <c r="E51" i="47"/>
  <c r="E52" i="47"/>
  <c r="E53" i="47"/>
  <c r="E54" i="47"/>
  <c r="E55" i="47"/>
  <c r="E56" i="47"/>
  <c r="E57" i="47"/>
  <c r="E58" i="47"/>
  <c r="E59" i="47"/>
  <c r="E60" i="47"/>
  <c r="E61" i="47"/>
  <c r="E62" i="47"/>
  <c r="E63" i="47"/>
  <c r="E64" i="47"/>
  <c r="C28" i="47"/>
  <c r="C29" i="47"/>
  <c r="C30" i="47"/>
  <c r="C31" i="47"/>
  <c r="C32" i="47"/>
  <c r="C33" i="47"/>
  <c r="C34" i="47"/>
  <c r="C35" i="47"/>
  <c r="C36" i="47"/>
  <c r="C37" i="47"/>
  <c r="C38" i="47"/>
  <c r="C39" i="47"/>
  <c r="C40" i="47"/>
  <c r="C41" i="47"/>
  <c r="C42" i="47"/>
  <c r="C43" i="47"/>
  <c r="C44" i="47"/>
  <c r="C45" i="47"/>
  <c r="C46" i="47"/>
  <c r="C47" i="47"/>
  <c r="C48" i="47"/>
  <c r="C49" i="47"/>
  <c r="C50" i="47"/>
  <c r="C51" i="47"/>
  <c r="C52" i="47"/>
  <c r="C53" i="47"/>
  <c r="C54" i="47"/>
  <c r="C55" i="47"/>
  <c r="C56" i="47"/>
  <c r="C57" i="47"/>
  <c r="C58" i="47"/>
  <c r="C59" i="47"/>
  <c r="C60" i="47"/>
  <c r="C61" i="47"/>
  <c r="C62" i="47"/>
  <c r="C63" i="47"/>
  <c r="C64" i="47"/>
  <c r="E20" i="47"/>
  <c r="E21" i="47"/>
  <c r="E22" i="47"/>
  <c r="E23" i="47"/>
  <c r="E24" i="47"/>
  <c r="E25" i="47"/>
  <c r="E26" i="47"/>
  <c r="E27" i="47"/>
  <c r="E19" i="47"/>
  <c r="C20" i="47"/>
  <c r="C21" i="47"/>
  <c r="C22" i="47"/>
  <c r="C23" i="47"/>
  <c r="C24" i="47"/>
  <c r="C25" i="47"/>
  <c r="C26" i="47"/>
  <c r="C27" i="47"/>
  <c r="C19" i="47"/>
  <c r="E4" i="47"/>
  <c r="E5" i="47"/>
  <c r="E6" i="47"/>
  <c r="E7" i="47"/>
  <c r="E8" i="47"/>
  <c r="E9" i="47"/>
  <c r="E10" i="47"/>
  <c r="E11" i="47"/>
  <c r="E12" i="47"/>
  <c r="E13" i="47"/>
  <c r="E14" i="47"/>
  <c r="E15" i="47"/>
  <c r="E16" i="47"/>
  <c r="E3" i="47"/>
  <c r="C4" i="47"/>
  <c r="C5" i="47"/>
  <c r="C6" i="47"/>
  <c r="C7" i="47"/>
  <c r="C8" i="47"/>
  <c r="C9" i="47"/>
  <c r="C10" i="47"/>
  <c r="C11" i="47"/>
  <c r="C12" i="47"/>
  <c r="C13" i="47"/>
  <c r="C14" i="47"/>
  <c r="C15" i="47"/>
  <c r="C16" i="47"/>
  <c r="C3" i="47"/>
  <c r="N85" i="49" l="1"/>
  <c r="N73" i="49"/>
  <c r="N84" i="49"/>
  <c r="N72" i="49"/>
  <c r="N86" i="49"/>
  <c r="N83" i="49"/>
  <c r="N71" i="49"/>
  <c r="N94" i="49"/>
  <c r="N82" i="49"/>
  <c r="N99" i="49"/>
  <c r="N98" i="49"/>
  <c r="N97" i="49"/>
  <c r="N91" i="49"/>
  <c r="N79" i="49"/>
  <c r="N96" i="49"/>
  <c r="N74" i="49"/>
  <c r="N90" i="49"/>
  <c r="N78" i="49"/>
  <c r="N95" i="49"/>
  <c r="N89" i="49"/>
  <c r="N77" i="49"/>
  <c r="H70" i="47"/>
  <c r="N216" i="49"/>
  <c r="N220" i="49"/>
  <c r="H78" i="47"/>
  <c r="H67" i="47"/>
  <c r="G29" i="46"/>
  <c r="H73" i="47"/>
  <c r="H81" i="47"/>
  <c r="H65" i="47"/>
  <c r="H68" i="47"/>
  <c r="H75" i="47"/>
  <c r="H74" i="47"/>
  <c r="H82" i="47"/>
  <c r="H77" i="47"/>
  <c r="H69" i="47"/>
  <c r="H66" i="47"/>
  <c r="H76" i="47"/>
  <c r="G32" i="46"/>
  <c r="H80" i="47"/>
  <c r="H72" i="47"/>
  <c r="H79" i="47"/>
  <c r="H71" i="47"/>
  <c r="G31" i="46"/>
  <c r="G24" i="46"/>
  <c r="G33" i="46"/>
  <c r="G30" i="46"/>
  <c r="N201" i="49"/>
  <c r="N178" i="49"/>
  <c r="N186" i="49"/>
  <c r="N209" i="49"/>
  <c r="N170" i="49"/>
  <c r="N176" i="49"/>
  <c r="N218" i="49"/>
  <c r="N169" i="49"/>
  <c r="N182" i="49"/>
  <c r="N205" i="49"/>
  <c r="N200" i="49"/>
  <c r="N190" i="49"/>
  <c r="N174" i="49"/>
  <c r="N197" i="49"/>
  <c r="N213" i="49"/>
  <c r="N211" i="49"/>
  <c r="N221" i="49"/>
  <c r="N167" i="49"/>
  <c r="N204" i="49"/>
  <c r="N217" i="49"/>
  <c r="N191" i="49"/>
  <c r="N188" i="49"/>
  <c r="N179" i="49"/>
  <c r="N177" i="49"/>
  <c r="N212" i="49"/>
  <c r="N194" i="49"/>
  <c r="N189" i="49"/>
  <c r="N168" i="49"/>
  <c r="N206" i="49"/>
  <c r="N203" i="49"/>
  <c r="N222" i="49"/>
  <c r="N215" i="49"/>
  <c r="N180" i="49"/>
  <c r="N171" i="49"/>
  <c r="N219" i="49"/>
  <c r="N192" i="49"/>
  <c r="N183" i="49"/>
  <c r="N181" i="49"/>
  <c r="N198" i="49"/>
  <c r="N195" i="49"/>
  <c r="N193" i="49"/>
  <c r="N172" i="49"/>
  <c r="N210" i="49"/>
  <c r="N207" i="49"/>
  <c r="N196" i="49"/>
  <c r="N223" i="49"/>
  <c r="N184" i="49"/>
  <c r="N175" i="49"/>
  <c r="N173" i="49"/>
  <c r="N208" i="49"/>
  <c r="N214" i="49"/>
  <c r="N187" i="49"/>
  <c r="N185" i="49"/>
  <c r="N202" i="49"/>
  <c r="N199" i="49"/>
  <c r="N131" i="49"/>
  <c r="N109" i="49"/>
  <c r="N166" i="49"/>
  <c r="N150" i="49"/>
  <c r="N134" i="49"/>
  <c r="N106" i="49"/>
  <c r="N143" i="49"/>
  <c r="N135" i="49"/>
  <c r="N132" i="49"/>
  <c r="N146" i="49"/>
  <c r="N141" i="49"/>
  <c r="N138" i="49"/>
  <c r="N118" i="49"/>
  <c r="N163" i="49"/>
  <c r="N147" i="49"/>
  <c r="N127" i="49"/>
  <c r="N161" i="49"/>
  <c r="N158" i="49"/>
  <c r="N130" i="49"/>
  <c r="N113" i="49"/>
  <c r="N110" i="49"/>
  <c r="N164" i="49"/>
  <c r="N139" i="49"/>
  <c r="N145" i="49"/>
  <c r="N142" i="49"/>
  <c r="N159" i="49"/>
  <c r="N151" i="49"/>
  <c r="N148" i="49"/>
  <c r="N114" i="49"/>
  <c r="N155" i="49"/>
  <c r="N162" i="49"/>
  <c r="N157" i="49"/>
  <c r="N154" i="49"/>
  <c r="N129" i="49"/>
  <c r="N126" i="49"/>
  <c r="N117" i="49"/>
  <c r="N165" i="49"/>
  <c r="N111" i="49"/>
  <c r="N108" i="49"/>
  <c r="N107" i="49"/>
  <c r="N149" i="49"/>
  <c r="N105" i="49"/>
  <c r="N156" i="49"/>
  <c r="N153" i="49"/>
  <c r="N140" i="49"/>
  <c r="N137" i="49"/>
  <c r="N152" i="49"/>
  <c r="N136" i="49"/>
  <c r="N133" i="49"/>
  <c r="N115" i="49"/>
  <c r="N112" i="49"/>
  <c r="N144" i="49"/>
  <c r="N128" i="49"/>
  <c r="N125" i="49"/>
  <c r="N160" i="49"/>
  <c r="N116" i="49"/>
  <c r="G5" i="46"/>
  <c r="C126" i="56" l="1"/>
  <c r="C127" i="56"/>
  <c r="C128" i="56"/>
  <c r="C129" i="56"/>
  <c r="C130" i="56"/>
  <c r="C131" i="56"/>
  <c r="C132" i="56"/>
  <c r="C68" i="49" l="1"/>
  <c r="E68" i="49"/>
  <c r="H68" i="49"/>
  <c r="J68" i="49"/>
  <c r="L68" i="49"/>
  <c r="C69" i="49"/>
  <c r="E69" i="49"/>
  <c r="H69" i="49"/>
  <c r="J69" i="49"/>
  <c r="L69" i="49"/>
  <c r="C70" i="49"/>
  <c r="E70" i="49"/>
  <c r="H70" i="49"/>
  <c r="J70" i="49"/>
  <c r="L70" i="49"/>
  <c r="C62" i="49"/>
  <c r="E62" i="49"/>
  <c r="H62" i="49"/>
  <c r="J62" i="49"/>
  <c r="L62" i="49"/>
  <c r="C63" i="49"/>
  <c r="E63" i="49"/>
  <c r="H63" i="49"/>
  <c r="J63" i="49"/>
  <c r="L63" i="49"/>
  <c r="C64" i="49"/>
  <c r="E64" i="49"/>
  <c r="H64" i="49"/>
  <c r="J64" i="49"/>
  <c r="L64" i="49"/>
  <c r="C65" i="49"/>
  <c r="E65" i="49"/>
  <c r="H65" i="49"/>
  <c r="J65" i="49"/>
  <c r="L65" i="49"/>
  <c r="C66" i="49"/>
  <c r="E66" i="49"/>
  <c r="H66" i="49"/>
  <c r="J66" i="49"/>
  <c r="L66" i="49"/>
  <c r="C67" i="49"/>
  <c r="E67" i="49"/>
  <c r="H67" i="49"/>
  <c r="J67" i="49"/>
  <c r="L67" i="49"/>
  <c r="C51" i="49"/>
  <c r="E51" i="49"/>
  <c r="J51" i="49"/>
  <c r="C52" i="49"/>
  <c r="E52" i="49"/>
  <c r="H52" i="49"/>
  <c r="J52" i="49"/>
  <c r="C53" i="49"/>
  <c r="E53" i="49"/>
  <c r="H53" i="49"/>
  <c r="J53" i="49"/>
  <c r="C54" i="49"/>
  <c r="E54" i="49"/>
  <c r="H54" i="49"/>
  <c r="J54" i="49"/>
  <c r="C55" i="49"/>
  <c r="E55" i="49"/>
  <c r="H55" i="49"/>
  <c r="J55" i="49"/>
  <c r="C56" i="49"/>
  <c r="E56" i="49"/>
  <c r="H56" i="49"/>
  <c r="J56" i="49"/>
  <c r="L56" i="49"/>
  <c r="C57" i="49"/>
  <c r="E57" i="49"/>
  <c r="H57" i="49"/>
  <c r="J57" i="49"/>
  <c r="L57" i="49"/>
  <c r="C58" i="49"/>
  <c r="E58" i="49"/>
  <c r="H58" i="49"/>
  <c r="J58" i="49"/>
  <c r="L58" i="49"/>
  <c r="C59" i="49"/>
  <c r="E59" i="49"/>
  <c r="H59" i="49"/>
  <c r="J59" i="49"/>
  <c r="L59" i="49"/>
  <c r="C60" i="49"/>
  <c r="E60" i="49"/>
  <c r="H60" i="49"/>
  <c r="J60" i="49"/>
  <c r="L60" i="49"/>
  <c r="C61" i="49"/>
  <c r="E61" i="49"/>
  <c r="H61" i="49"/>
  <c r="J61" i="49"/>
  <c r="L61" i="49"/>
  <c r="C44" i="49"/>
  <c r="E44" i="49"/>
  <c r="H44" i="49"/>
  <c r="J44" i="49"/>
  <c r="C45" i="49"/>
  <c r="E45" i="49"/>
  <c r="H45" i="49"/>
  <c r="J45" i="49"/>
  <c r="C46" i="49"/>
  <c r="E46" i="49"/>
  <c r="H46" i="49"/>
  <c r="J46" i="49"/>
  <c r="C47" i="49"/>
  <c r="E47" i="49"/>
  <c r="H47" i="49"/>
  <c r="J47" i="49"/>
  <c r="C48" i="49"/>
  <c r="E48" i="49"/>
  <c r="H48" i="49"/>
  <c r="J48" i="49"/>
  <c r="C49" i="49"/>
  <c r="E49" i="49"/>
  <c r="H49" i="49"/>
  <c r="J49" i="49"/>
  <c r="C50" i="49"/>
  <c r="E50" i="49"/>
  <c r="H50" i="49"/>
  <c r="J50" i="49"/>
  <c r="N66" i="49" l="1"/>
  <c r="N58" i="49"/>
  <c r="N70" i="49"/>
  <c r="N63" i="49"/>
  <c r="N59" i="49"/>
  <c r="N57" i="49"/>
  <c r="N65" i="49"/>
  <c r="N61" i="49"/>
  <c r="N69" i="49"/>
  <c r="N56" i="49"/>
  <c r="N67" i="49"/>
  <c r="N62" i="49"/>
  <c r="N64" i="49"/>
  <c r="N60" i="49"/>
  <c r="N68" i="49"/>
  <c r="C43" i="49"/>
  <c r="C42" i="49"/>
  <c r="C41" i="49"/>
  <c r="C40" i="49"/>
  <c r="C39" i="49"/>
  <c r="C38" i="49"/>
  <c r="C37" i="49"/>
  <c r="C36" i="49"/>
  <c r="C35" i="49"/>
  <c r="C34" i="49"/>
  <c r="C33" i="49"/>
  <c r="C32" i="49"/>
  <c r="C31" i="49"/>
  <c r="C30" i="49"/>
  <c r="C29" i="49"/>
  <c r="C28" i="49"/>
  <c r="C27" i="49"/>
  <c r="C26" i="49"/>
  <c r="C25" i="49"/>
  <c r="C24" i="49"/>
  <c r="C23" i="49"/>
  <c r="C22" i="49"/>
  <c r="C21" i="49"/>
  <c r="C20" i="49"/>
  <c r="C19" i="49"/>
  <c r="C18" i="49"/>
  <c r="C17" i="49"/>
  <c r="C16" i="49"/>
  <c r="C15" i="49"/>
  <c r="C14" i="49"/>
  <c r="C13" i="49"/>
  <c r="C10" i="49"/>
  <c r="C9" i="49"/>
  <c r="C8" i="49"/>
  <c r="C7" i="49"/>
  <c r="C5" i="49"/>
  <c r="J43" i="49"/>
  <c r="H43" i="49"/>
  <c r="E43" i="49"/>
  <c r="J42" i="49"/>
  <c r="H42" i="49"/>
  <c r="E42" i="49"/>
  <c r="J41" i="49"/>
  <c r="H41" i="49"/>
  <c r="E41" i="49"/>
  <c r="J40" i="49"/>
  <c r="H40" i="49"/>
  <c r="E40" i="49"/>
  <c r="L41" i="49" l="1"/>
  <c r="N41" i="49" s="1"/>
  <c r="E4" i="49" l="1"/>
  <c r="H4" i="49"/>
  <c r="J4" i="49"/>
  <c r="E5" i="49"/>
  <c r="H5" i="49"/>
  <c r="J5" i="49"/>
  <c r="E6" i="49"/>
  <c r="H6" i="49"/>
  <c r="J6" i="49"/>
  <c r="E7" i="49"/>
  <c r="H7" i="49"/>
  <c r="J7" i="49"/>
  <c r="E8" i="49"/>
  <c r="H8" i="49"/>
  <c r="J8" i="49"/>
  <c r="E9" i="49"/>
  <c r="H9" i="49"/>
  <c r="J9" i="49"/>
  <c r="E10" i="49"/>
  <c r="H10" i="49"/>
  <c r="J10" i="49"/>
  <c r="E13" i="49"/>
  <c r="H13" i="49"/>
  <c r="J13" i="49"/>
  <c r="E14" i="49"/>
  <c r="H14" i="49"/>
  <c r="J14" i="49"/>
  <c r="E15" i="49"/>
  <c r="H15" i="49"/>
  <c r="J15" i="49"/>
  <c r="E16" i="49"/>
  <c r="H16" i="49"/>
  <c r="J16" i="49"/>
  <c r="E17" i="49"/>
  <c r="H17" i="49"/>
  <c r="J17" i="49"/>
  <c r="E18" i="49"/>
  <c r="H18" i="49"/>
  <c r="J18" i="49"/>
  <c r="E19" i="49"/>
  <c r="H19" i="49"/>
  <c r="J19" i="49"/>
  <c r="E20" i="49"/>
  <c r="H20" i="49"/>
  <c r="J20" i="49"/>
  <c r="E21" i="49"/>
  <c r="H21" i="49"/>
  <c r="J21" i="49"/>
  <c r="E22" i="49"/>
  <c r="H22" i="49"/>
  <c r="J22" i="49"/>
  <c r="E23" i="49"/>
  <c r="H23" i="49"/>
  <c r="J23" i="49"/>
  <c r="E24" i="49"/>
  <c r="H24" i="49"/>
  <c r="J24" i="49"/>
  <c r="E25" i="49"/>
  <c r="H25" i="49"/>
  <c r="J25" i="49"/>
  <c r="E26" i="49"/>
  <c r="H26" i="49"/>
  <c r="J26" i="49"/>
  <c r="E27" i="49"/>
  <c r="H27" i="49"/>
  <c r="J27" i="49"/>
  <c r="E28" i="49"/>
  <c r="H28" i="49"/>
  <c r="J28" i="49"/>
  <c r="E29" i="49"/>
  <c r="H29" i="49"/>
  <c r="J29" i="49"/>
  <c r="E30" i="49"/>
  <c r="H30" i="49"/>
  <c r="J30" i="49"/>
  <c r="E31" i="49"/>
  <c r="H31" i="49"/>
  <c r="J31" i="49"/>
  <c r="E32" i="49"/>
  <c r="H32" i="49"/>
  <c r="J32" i="49"/>
  <c r="E33" i="49"/>
  <c r="H33" i="49"/>
  <c r="J33" i="49"/>
  <c r="E34" i="49"/>
  <c r="H34" i="49"/>
  <c r="J34" i="49"/>
  <c r="E35" i="49"/>
  <c r="H35" i="49"/>
  <c r="J35" i="49"/>
  <c r="E36" i="49"/>
  <c r="H36" i="49"/>
  <c r="J36" i="49"/>
  <c r="E37" i="49"/>
  <c r="H37" i="49"/>
  <c r="J37" i="49"/>
  <c r="E38" i="49"/>
  <c r="H38" i="49"/>
  <c r="J38" i="49"/>
  <c r="E39" i="49"/>
  <c r="H39" i="49"/>
  <c r="J39" i="49"/>
  <c r="L45" i="49" l="1"/>
  <c r="N45" i="49" s="1"/>
  <c r="L19" i="49" l="1"/>
  <c r="N19" i="49" s="1"/>
  <c r="L27" i="49"/>
  <c r="N27" i="49" s="1"/>
  <c r="E3" i="49"/>
  <c r="H3" i="49"/>
  <c r="J3" i="49"/>
  <c r="L53" i="49"/>
  <c r="N53" i="49" s="1"/>
  <c r="L51" i="49"/>
  <c r="N51" i="49" s="1"/>
  <c r="L47" i="49"/>
  <c r="N47" i="49" s="1"/>
  <c r="L42" i="49"/>
  <c r="N42" i="49" s="1"/>
  <c r="L54" i="49"/>
  <c r="N54" i="49" s="1"/>
  <c r="L52" i="49"/>
  <c r="N52" i="49" s="1"/>
  <c r="L55" i="49"/>
  <c r="N55" i="49" s="1"/>
  <c r="L48" i="49"/>
  <c r="N48" i="49" s="1"/>
  <c r="L46" i="49"/>
  <c r="N46" i="49" s="1"/>
  <c r="L50" i="49"/>
  <c r="N50" i="49" s="1"/>
  <c r="L49" i="49"/>
  <c r="N49" i="49" s="1"/>
  <c r="L28" i="49"/>
  <c r="N28" i="49" s="1"/>
  <c r="H4" i="47"/>
  <c r="H5" i="47"/>
  <c r="H6" i="47"/>
  <c r="H7" i="47"/>
  <c r="H8" i="47"/>
  <c r="H9" i="47"/>
  <c r="H10" i="47"/>
  <c r="H11" i="47"/>
  <c r="H12" i="47"/>
  <c r="H13" i="47"/>
  <c r="H14" i="47"/>
  <c r="H15" i="47"/>
  <c r="H16" i="47"/>
  <c r="H19" i="47"/>
  <c r="H20" i="47"/>
  <c r="H21" i="47"/>
  <c r="H22" i="47"/>
  <c r="H23" i="47"/>
  <c r="H24" i="47"/>
  <c r="H25" i="47"/>
  <c r="H26" i="47"/>
  <c r="H27" i="47"/>
  <c r="H28" i="47"/>
  <c r="H29" i="47"/>
  <c r="H30" i="47"/>
  <c r="H31" i="47"/>
  <c r="H32" i="47"/>
  <c r="H33" i="47"/>
  <c r="H34" i="47"/>
  <c r="H35" i="47"/>
  <c r="H36" i="47"/>
  <c r="H37" i="47"/>
  <c r="H38" i="47"/>
  <c r="H39" i="47"/>
  <c r="H40" i="47"/>
  <c r="H41" i="47"/>
  <c r="H42" i="47"/>
  <c r="H43" i="47"/>
  <c r="H44" i="47"/>
  <c r="H45" i="47"/>
  <c r="H46" i="47"/>
  <c r="H47" i="47"/>
  <c r="H48" i="47"/>
  <c r="H49" i="47"/>
  <c r="H50" i="47"/>
  <c r="H51" i="47"/>
  <c r="H52" i="47"/>
  <c r="H53" i="47"/>
  <c r="H54" i="47"/>
  <c r="H55" i="47"/>
  <c r="H56" i="47"/>
  <c r="H57" i="47"/>
  <c r="H58" i="47"/>
  <c r="H59" i="47"/>
  <c r="H60" i="47"/>
  <c r="H61" i="47"/>
  <c r="H62" i="47"/>
  <c r="H63" i="47"/>
  <c r="H64" i="47"/>
  <c r="L17" i="49" l="1"/>
  <c r="N17" i="49" s="1"/>
  <c r="L44" i="49"/>
  <c r="N44" i="49" s="1"/>
  <c r="L39" i="49"/>
  <c r="N39" i="49" s="1"/>
  <c r="L43" i="49"/>
  <c r="N43" i="49" s="1"/>
  <c r="L40" i="49"/>
  <c r="N40" i="49" s="1"/>
  <c r="L6" i="49"/>
  <c r="N6" i="49" s="1"/>
  <c r="L32" i="49"/>
  <c r="N32" i="49" s="1"/>
  <c r="L22" i="49"/>
  <c r="N22" i="49" s="1"/>
  <c r="L31" i="49"/>
  <c r="N31" i="49" s="1"/>
  <c r="L34" i="49"/>
  <c r="N34" i="49" s="1"/>
  <c r="L33" i="49"/>
  <c r="N33" i="49" s="1"/>
  <c r="L37" i="49"/>
  <c r="N37" i="49" s="1"/>
  <c r="L36" i="49"/>
  <c r="N36" i="49" s="1"/>
  <c r="L24" i="49"/>
  <c r="N24" i="49" s="1"/>
  <c r="L16" i="49"/>
  <c r="N16" i="49" s="1"/>
  <c r="L30" i="49"/>
  <c r="N30" i="49" s="1"/>
  <c r="L38" i="49"/>
  <c r="N38" i="49" s="1"/>
  <c r="L21" i="49"/>
  <c r="N21" i="49" s="1"/>
  <c r="L25" i="49"/>
  <c r="N25" i="49" s="1"/>
  <c r="L5" i="49"/>
  <c r="N5" i="49" s="1"/>
  <c r="L35" i="49"/>
  <c r="N35" i="49" s="1"/>
  <c r="L20" i="49"/>
  <c r="N20" i="49" s="1"/>
  <c r="L26" i="49"/>
  <c r="N26" i="49" s="1"/>
  <c r="L23" i="49"/>
  <c r="N23" i="49" s="1"/>
  <c r="L13" i="49"/>
  <c r="N13" i="49" s="1"/>
  <c r="L9" i="49"/>
  <c r="N9" i="49" s="1"/>
  <c r="N11" i="49"/>
  <c r="L15" i="49"/>
  <c r="N15" i="49" s="1"/>
  <c r="L29" i="49"/>
  <c r="N29" i="49" s="1"/>
  <c r="L18" i="49"/>
  <c r="N18" i="49" s="1"/>
  <c r="L10" i="49"/>
  <c r="N10" i="49" s="1"/>
  <c r="L7" i="49"/>
  <c r="N7" i="49" s="1"/>
  <c r="L14" i="49"/>
  <c r="N14" i="49" s="1"/>
  <c r="L4" i="49"/>
  <c r="N4" i="49" s="1"/>
  <c r="L3" i="49"/>
  <c r="N3" i="49" s="1"/>
  <c r="L8" i="49"/>
  <c r="N8" i="49" s="1"/>
  <c r="H3" i="47"/>
  <c r="G10" i="46" l="1"/>
  <c r="G8" i="46"/>
  <c r="G21" i="46"/>
  <c r="G20" i="46"/>
  <c r="G3" i="46"/>
  <c r="G18" i="46"/>
  <c r="G9" i="46"/>
  <c r="G7" i="46"/>
  <c r="G6" i="46"/>
  <c r="G4" i="46"/>
  <c r="G11" i="46"/>
  <c r="G12" i="46"/>
  <c r="G13" i="46"/>
  <c r="G23" i="46"/>
  <c r="G22" i="46"/>
  <c r="G19" i="46"/>
  <c r="D4" i="1" l="1"/>
  <c r="D5" i="1"/>
  <c r="D6" i="1"/>
  <c r="D7" i="1"/>
  <c r="D8" i="1"/>
  <c r="D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tc={AD418AAC-3F7F-42EE-8754-5C281642949D}</author>
  </authors>
  <commentList>
    <comment ref="D5" authorId="0" shapeId="0" xr:uid="{AD418AAC-3F7F-42EE-8754-5C281642949D}">
      <text>
        <t>[Threaded comment]
Your version of Excel allows you to read this threaded comment; however, any edits to it will get removed if the file is opened in a newer version of Excel. Learn more: https://go.microsoft.com/fwlink/?linkid=870924
Comment:
    Possibility to remove this question?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tc={1B03BE28-2E84-424B-A356-C84B26F6C71B}</author>
  </authors>
  <commentList>
    <comment ref="D6" authorId="0" shapeId="0" xr:uid="{1B03BE28-2E84-424B-A356-C84B26F6C71B}">
      <text>
        <t>[Threaded comment]
Your version of Excel allows you to read this threaded comment; however, any edits to it will get removed if the file is opened in a newer version of Excel. Learn more: https://go.microsoft.com/fwlink/?linkid=870924
Comment:
    Not common in Cameroon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tc={F6BD94D9-F21E-4FF9-BC83-EA0B18DAB009}</author>
  </authors>
  <commentList>
    <comment ref="C10" authorId="0" shapeId="0" xr:uid="{F6BD94D9-F21E-4FF9-BC83-EA0B18DAB009}">
      <text>
        <t xml:space="preserve">[Threaded comment]
Your version of Excel allows you to read this threaded comment; however, any edits to it will get removed if the file is opened in a newer version of Excel. Learn more: https://go.microsoft.com/fwlink/?linkid=870924
Comment:
    Segment :
Grossiste: 
Semi-grossite: 
Detaillant: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tc={4E32BE03-BF40-46F7-9BA8-4A562579D4FB}</author>
    <author>tc={8F81114F-6F44-431E-B964-3F9821BE8E61}</author>
    <author>tc={7996AB23-BCC7-4CC3-85AA-56FC4BD145E5}</author>
  </authors>
  <commentList>
    <comment ref="C11" authorId="0" shapeId="0" xr:uid="{4E32BE03-BF40-46F7-9BA8-4A562579D4FB}">
      <text>
        <t>[Threaded comment]
Your version of Excel allows you to read this threaded comment; however, any edits to it will get removed if the file is opened in a newer version of Excel. Learn more: https://go.microsoft.com/fwlink/?linkid=870924
Comment:
    Ask the question in pack</t>
      </text>
    </comment>
    <comment ref="C15" authorId="1" shapeId="0" xr:uid="{8F81114F-6F44-431E-B964-3F9821BE8E61}">
      <text>
        <t>[Threaded comment]
Your version of Excel allows you to read this threaded comment; however, any edits to it will get removed if the file is opened in a newer version of Excel. Learn more: https://go.microsoft.com/fwlink/?linkid=870924
Comment:
    Change the question in therme of day not in week
And Add a question on the number of work days</t>
      </text>
    </comment>
    <comment ref="C17" authorId="2" shapeId="0" xr:uid="{7996AB23-BCC7-4CC3-85AA-56FC4BD145E5}">
      <text>
        <t>[Threaded comment]
Your version of Excel allows you to read this threaded comment; however, any edits to it will get removed if the file is opened in a newer version of Excel. Learn more: https://go.microsoft.com/fwlink/?linkid=870924
Comment:
    Reword - among the packs you sell by day how many are sold in packs and how many are sold in sticks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tc={3468F245-E765-4D80-A81D-7106AC9B30C3}</author>
  </authors>
  <commentList>
    <comment ref="C23" authorId="0" shapeId="0" xr:uid="{69B7AB50-03C5-4681-A89E-B5F907AC4876}">
      <text>
        <r>
          <rPr>
            <sz val="11"/>
            <color rgb="FF000000"/>
            <rFont val="Calibri"/>
            <family val="2"/>
          </rPr>
          <t>Amare:
Needs Clarification</t>
        </r>
      </text>
    </comment>
    <comment ref="C31" authorId="1" shapeId="0" xr:uid="{3468F245-E765-4D80-A81D-7106AC9B30C3}">
      <text>
        <t>[Threaded comment]
Your version of Excel allows you to read this threaded comment; however, any edits to it will get removed if the file is opened in a newer version of Excel. Learn more: https://go.microsoft.com/fwlink/?linkid=870924
Comment:
    Sub distributor &amp; Wholesaler : monthly or every 2 week
Sub Wholesaler : twice a week
Retailer : every day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tc={64F20855-9124-495C-AD96-8397A849F882}</author>
    <author>tc={D809F280-B334-475D-A127-4FE36427B050}</author>
    <author>tc={38C38028-21AE-4A99-8C33-7551A0EE1642}</author>
    <author>tc={0BC2B693-F550-424A-B4AA-739D9EAE5411}</author>
  </authors>
  <commentList>
    <comment ref="C3" authorId="0" shapeId="0" xr:uid="{64F20855-9124-495C-AD96-8397A849F882}">
      <text>
        <t>[Threaded comment]
Your version of Excel allows you to read this threaded comment; however, any edits to it will get removed if the file is opened in a newer version of Excel. Learn more: https://go.microsoft.com/fwlink/?linkid=870924
Comment:
    Please check and update the list adding the arabic translation</t>
      </text>
    </comment>
    <comment ref="C4" authorId="1" shapeId="0" xr:uid="{D809F280-B334-475D-A127-4FE36427B050}">
      <text>
        <t>[Threaded comment]
Your version of Excel allows you to read this threaded comment; however, any edits to it will get removed if the file is opened in a newer version of Excel. Learn more: https://go.microsoft.com/fwlink/?linkid=870924
Comment:
    Please check and update the list adding the arabic translation</t>
      </text>
    </comment>
    <comment ref="C103" authorId="2" shapeId="0" xr:uid="{38C38028-21AE-4A99-8C33-7551A0EE1642}">
      <text>
        <t xml:space="preserve">[Threaded comment]
Your version of Excel allows you to read this threaded comment; however, any edits to it will get removed if the file is opened in a newer version of Excel. Learn more: https://go.microsoft.com/fwlink/?linkid=870924
Comment:
    The question is in </t>
      </text>
    </comment>
    <comment ref="D104" authorId="3" shapeId="0" xr:uid="{0BC2B693-F550-424A-B4AA-739D9EAE5411}">
      <text>
        <t>[Threaded comment]
Your version of Excel allows you to read this threaded comment; however, any edits to it will get removed if the file is opened in a newer version of Excel. Learn more: https://go.microsoft.com/fwlink/?linkid=870924
Comment:
    Weekly frequency instead of monthly</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tc={38B6A8C4-7FB4-4382-A36A-621BB8E81729}</author>
    <author>tc={048BE937-FDF3-4887-B0DA-A3EF6B4F0F7F}</author>
  </authors>
  <commentList>
    <comment ref="E64" authorId="0" shapeId="0" xr:uid="{38B6A8C4-7FB4-4382-A36A-621BB8E81729}">
      <text>
        <t>[Threaded comment]
Your version of Excel allows you to read this threaded comment; however, any edits to it will get removed if the file is opened in a newer version of Excel. Learn more: https://go.microsoft.com/fwlink/?linkid=870924
Comment:
    They don't make a difference between both</t>
      </text>
    </comment>
    <comment ref="G137" authorId="1" shapeId="0" xr:uid="{048BE937-FDF3-4887-B0DA-A3EF6B4F0F7F}">
      <text>
        <t>[Threaded comment]
Your version of Excel allows you to read this threaded comment; however, any edits to it will get removed if the file is opened in a newer version of Excel. Learn more: https://go.microsoft.com/fwlink/?linkid=870924
Comment:
    Boutique
Kiosque
Tablier
Convenience (Supermarche, station service)</t>
      </text>
    </comment>
  </commentList>
</comments>
</file>

<file path=xl/sharedStrings.xml><?xml version="1.0" encoding="utf-8"?>
<sst xmlns="http://schemas.openxmlformats.org/spreadsheetml/2006/main" count="13217" uniqueCount="3201">
  <si>
    <t xml:space="preserve">Created </t>
  </si>
  <si>
    <t>Last Reviewed JTI</t>
  </si>
  <si>
    <t>Last Reviewed CSD</t>
  </si>
  <si>
    <t>1. This is a working document stored in the cloud for JTI-NBE core questionnaire for the Trade Census</t>
  </si>
  <si>
    <t>2. All latest changes, agreements will be captured and tracked in this central document</t>
  </si>
  <si>
    <t>3. This will be the base for the programing of the core questionnaire</t>
  </si>
  <si>
    <t>The template is divided in sections that you will find back in the questionnaire. Color Coding Bellow.</t>
  </si>
  <si>
    <t>In every section there are columns for questions /  comments / observation at then end (CSD/Dev Team) Cells highlighted in yellow require attention / answer</t>
  </si>
  <si>
    <t>System or instructions sections</t>
  </si>
  <si>
    <t>Survey Sections</t>
  </si>
  <si>
    <t>Tables of lists, SKU, market customizable sections</t>
  </si>
  <si>
    <t>System rules (Anomalies, Rejections, Field Back Checks…)</t>
  </si>
  <si>
    <t xml:space="preserve">Current  Template Used for </t>
  </si>
  <si>
    <t>Qualitative follow-up questionnaire for Consummer &amp; Custommer Insight &amp; Distributor Deep Dive</t>
  </si>
  <si>
    <t xml:space="preserve">Overall Open Topics / Questions </t>
  </si>
  <si>
    <t>For specific questions on survey areas please use the specified column for this in the relevant section</t>
  </si>
  <si>
    <t>Question</t>
  </si>
  <si>
    <t>Status</t>
  </si>
  <si>
    <t>Response</t>
  </si>
  <si>
    <t xml:space="preserve">QUESTIONS </t>
  </si>
  <si>
    <t>ID</t>
  </si>
  <si>
    <t>Visibility rule</t>
  </si>
  <si>
    <t>QUESTION WORDING EN</t>
  </si>
  <si>
    <t>Reporting LABEL</t>
  </si>
  <si>
    <t>ANSWER TYPE</t>
  </si>
  <si>
    <t>ANSWER OPTIONS</t>
  </si>
  <si>
    <t>NOTES SYSTEM</t>
  </si>
  <si>
    <t xml:space="preserve">NOTES REPORTING </t>
  </si>
  <si>
    <t>CSD</t>
  </si>
  <si>
    <t>Dev-team</t>
  </si>
  <si>
    <t>Section</t>
  </si>
  <si>
    <t>P-10</t>
  </si>
  <si>
    <t>Surname</t>
  </si>
  <si>
    <t>TEXT</t>
  </si>
  <si>
    <t>Automatic</t>
  </si>
  <si>
    <t>From the back office setup</t>
  </si>
  <si>
    <t>P-20</t>
  </si>
  <si>
    <t>Name</t>
  </si>
  <si>
    <t>Use in Field Management Dashboard</t>
  </si>
  <si>
    <t>P-30</t>
  </si>
  <si>
    <t>Enumerator Code</t>
  </si>
  <si>
    <t>NUMERIC</t>
  </si>
  <si>
    <t>P-40</t>
  </si>
  <si>
    <t>Supervisor Code</t>
  </si>
  <si>
    <t>P-50</t>
  </si>
  <si>
    <t>Date</t>
  </si>
  <si>
    <t>System - Automatic</t>
  </si>
  <si>
    <t>P-60</t>
  </si>
  <si>
    <t>Telephone number</t>
  </si>
  <si>
    <t>P-70</t>
  </si>
  <si>
    <t>Time stamp START Interview</t>
  </si>
  <si>
    <t>P-70 Interview Start</t>
  </si>
  <si>
    <t>Important for measurement of quality of work</t>
  </si>
  <si>
    <t>Observation</t>
  </si>
  <si>
    <t>Included in JSON</t>
  </si>
  <si>
    <t>Needs to be modified in JSON</t>
  </si>
  <si>
    <t>Area</t>
  </si>
  <si>
    <t>A-10</t>
  </si>
  <si>
    <t>Province is asked in the next section, this question should ask for the city</t>
  </si>
  <si>
    <t>YES</t>
  </si>
  <si>
    <t>NO</t>
  </si>
  <si>
    <t xml:space="preserve">A-20 </t>
  </si>
  <si>
    <t>A-30</t>
  </si>
  <si>
    <t>Used to say Barangay, now Kecamatan, which is the administrative division name for Inodnesia</t>
  </si>
  <si>
    <t>Need to move quesiton O-30 to this section</t>
  </si>
  <si>
    <t>Outlet Details</t>
  </si>
  <si>
    <t>O-10</t>
  </si>
  <si>
    <t>O-20</t>
  </si>
  <si>
    <t>O-30</t>
  </si>
  <si>
    <t>Falls in their scope of work</t>
  </si>
  <si>
    <t>O-40</t>
  </si>
  <si>
    <t>O-50</t>
  </si>
  <si>
    <t>Evaluate how important or if the enumerated area its valid in Indonesia</t>
  </si>
  <si>
    <t>MAYBE</t>
  </si>
  <si>
    <t>O-60</t>
  </si>
  <si>
    <t>O-70</t>
  </si>
  <si>
    <t>Asks for the complete address of the Outlet, unnecessary, all the info required is asked question by question</t>
  </si>
  <si>
    <t>O-80</t>
  </si>
  <si>
    <t>Included in their scope, but asked in the area part</t>
  </si>
  <si>
    <t>No ID yet</t>
  </si>
  <si>
    <t>RT/RW (Rukun Warga=Village, RT=Neighborhoods?) reffering to a more detailed description of the administrative areas of Indonesia, unnecessary</t>
  </si>
  <si>
    <t>Number, reffers to phone number? not sure what they mean by that, unncessary</t>
  </si>
  <si>
    <t>Postal Code not in scope, unnecessary</t>
  </si>
  <si>
    <t>O-90</t>
  </si>
  <si>
    <t>Additional comment</t>
  </si>
  <si>
    <t>"Insert outlet's phone number (1. Landline first before mobile)" Guess he reffers to ask for two phone numbers, not sure why?, unnecessary, maybe just ask for one or the other</t>
  </si>
  <si>
    <t>Interview Start</t>
  </si>
  <si>
    <t>I-10</t>
  </si>
  <si>
    <t xml:space="preserve">I-20 </t>
  </si>
  <si>
    <t>Changed the order of questions? First giving the I-40 Should ask for the person who's being interviewed</t>
  </si>
  <si>
    <t xml:space="preserve">I-30 </t>
  </si>
  <si>
    <t>Changed the order of questions? Here should be the introduction</t>
  </si>
  <si>
    <t>I-31</t>
  </si>
  <si>
    <t>Missing this part of the intro, check the part of the company's name</t>
  </si>
  <si>
    <t xml:space="preserve">I-40 </t>
  </si>
  <si>
    <t xml:space="preserve">Missing </t>
  </si>
  <si>
    <t>I-50</t>
  </si>
  <si>
    <t>Hidden previously, might need to be change to "liquour" so it falls in scope</t>
  </si>
  <si>
    <t>I-60</t>
  </si>
  <si>
    <t>Hidden previously, falls in scope</t>
  </si>
  <si>
    <t>I-70</t>
  </si>
  <si>
    <t>I-80</t>
  </si>
  <si>
    <t>I-90</t>
  </si>
  <si>
    <t>Erased by user</t>
  </si>
  <si>
    <t>I-100</t>
  </si>
  <si>
    <t>Falls in their scope of work, but need to verify the classification</t>
  </si>
  <si>
    <t>I-110</t>
  </si>
  <si>
    <t>Hidden before, but might be unnecessary as already asked in Outlet details</t>
  </si>
  <si>
    <t>I-120</t>
  </si>
  <si>
    <t>Hidden before</t>
  </si>
  <si>
    <t>I-130</t>
  </si>
  <si>
    <t>I-131</t>
  </si>
  <si>
    <t>I-132</t>
  </si>
  <si>
    <t>I-133</t>
  </si>
  <si>
    <t>I-137</t>
  </si>
  <si>
    <t>I-138</t>
  </si>
  <si>
    <t>I-139</t>
  </si>
  <si>
    <t>(Retail)Marketing</t>
  </si>
  <si>
    <t>M-1</t>
  </si>
  <si>
    <t xml:space="preserve">M-101 </t>
  </si>
  <si>
    <t>Moved from one section to the next</t>
  </si>
  <si>
    <t>M-10</t>
  </si>
  <si>
    <t>M-20</t>
  </si>
  <si>
    <t>Falls into scope, needs to be added</t>
  </si>
  <si>
    <t>M-21</t>
  </si>
  <si>
    <t>Need to be reviewed</t>
  </si>
  <si>
    <t>M-22</t>
  </si>
  <si>
    <t>Falls into scope, but list of brands of FRIDGES needs to be established</t>
  </si>
  <si>
    <t>M-23</t>
  </si>
  <si>
    <t>Not into scope, might be unnecessary</t>
  </si>
  <si>
    <t xml:space="preserve">M-30 </t>
  </si>
  <si>
    <t>Changed the wording… but same thing asked</t>
  </si>
  <si>
    <t>M-31</t>
  </si>
  <si>
    <t>Falls into scope, but feels unnecessary</t>
  </si>
  <si>
    <t>M-40</t>
  </si>
  <si>
    <t>Taken out for previous surveys</t>
  </si>
  <si>
    <t>M-50</t>
  </si>
  <si>
    <t>M-60</t>
  </si>
  <si>
    <t>M-71</t>
  </si>
  <si>
    <t>M-72</t>
  </si>
  <si>
    <t>Not in scope, not necessary</t>
  </si>
  <si>
    <t>M-80</t>
  </si>
  <si>
    <t>M-90</t>
  </si>
  <si>
    <t>M-100</t>
  </si>
  <si>
    <t>Wholesaler page gone… wont be included?</t>
  </si>
  <si>
    <t xml:space="preserve">Volume &amp; Price </t>
  </si>
  <si>
    <t>V-10</t>
  </si>
  <si>
    <t>Used to say soft drinks (non-alcoholic in JSON), but carbonate its the wording used in their scope</t>
  </si>
  <si>
    <t>V-20</t>
  </si>
  <si>
    <t>Used to say international spirits (spirits JSON), but changed to liquour as in scope</t>
  </si>
  <si>
    <t>V-21</t>
  </si>
  <si>
    <t>V-50</t>
  </si>
  <si>
    <t>V-60</t>
  </si>
  <si>
    <t>V-61</t>
  </si>
  <si>
    <t>V-80</t>
  </si>
  <si>
    <t>V-81</t>
  </si>
  <si>
    <t>V-90</t>
  </si>
  <si>
    <t>V-91</t>
  </si>
  <si>
    <t>Distribution</t>
  </si>
  <si>
    <t>D-5</t>
  </si>
  <si>
    <t>Not included in the excel files, but appears on JSON, in scope</t>
  </si>
  <si>
    <t>D-6</t>
  </si>
  <si>
    <t>D-10</t>
  </si>
  <si>
    <t>Need to mention the brand of beer</t>
  </si>
  <si>
    <t>D-11</t>
  </si>
  <si>
    <t>D-12</t>
  </si>
  <si>
    <t>Unnecessary, already asked</t>
  </si>
  <si>
    <t>D-13</t>
  </si>
  <si>
    <t xml:space="preserve">D-20 to D-41 </t>
  </si>
  <si>
    <t>Missing, reffer to different brands of soft drinks, might</t>
  </si>
  <si>
    <t xml:space="preserve">D-50 </t>
  </si>
  <si>
    <t>Wording different to JSON, need to align</t>
  </si>
  <si>
    <t>D-55</t>
  </si>
  <si>
    <t>Appears only in JSON, not in scope</t>
  </si>
  <si>
    <t>D-60</t>
  </si>
  <si>
    <t>Falls in scope</t>
  </si>
  <si>
    <t>D-65</t>
  </si>
  <si>
    <t>Only appears on JSON, not in scope</t>
  </si>
  <si>
    <t>D-70</t>
  </si>
  <si>
    <t>Previously hidden, Not in scope or JSON, need to discuss its inclusion</t>
  </si>
  <si>
    <t>D-75</t>
  </si>
  <si>
    <t>D-80</t>
  </si>
  <si>
    <t>D-90</t>
  </si>
  <si>
    <t>Changed wording to place an order instead of delivered</t>
  </si>
  <si>
    <t>D-100</t>
  </si>
  <si>
    <t>D-106</t>
  </si>
  <si>
    <t>Unnecessary, already asked later by sales rep depending on company name</t>
  </si>
  <si>
    <t>D-107 onwards</t>
  </si>
  <si>
    <t>Questions fall in scope, but need to align name of distributors and amount of different names to be included</t>
  </si>
  <si>
    <t>End</t>
  </si>
  <si>
    <t>E-10</t>
  </si>
  <si>
    <t>E-20</t>
  </si>
  <si>
    <t>E-21</t>
  </si>
  <si>
    <t>E-22</t>
  </si>
  <si>
    <t>E-40</t>
  </si>
  <si>
    <t>E-50</t>
  </si>
  <si>
    <t>E-60</t>
  </si>
  <si>
    <t>E-70</t>
  </si>
  <si>
    <t>E-85</t>
  </si>
  <si>
    <t>These questions were moved to the Interview start and outlet details</t>
  </si>
  <si>
    <t>E-90</t>
  </si>
  <si>
    <t>E-110</t>
  </si>
  <si>
    <t>Question fields</t>
  </si>
  <si>
    <t>Answer fields</t>
  </si>
  <si>
    <t>Backoffice</t>
  </si>
  <si>
    <t xml:space="preserve">Comments </t>
  </si>
  <si>
    <t>QUESTION WORDING FRENCH</t>
  </si>
  <si>
    <t>Wording change</t>
  </si>
  <si>
    <t>Question Priority  1 Keep 0 Discuss -1 remove ?</t>
  </si>
  <si>
    <t>Visible ENUMERATOR</t>
  </si>
  <si>
    <t>VISIBLE BC</t>
  </si>
  <si>
    <t>PREFILLED FOR BC</t>
  </si>
  <si>
    <t>___</t>
  </si>
  <si>
    <t>Dans quelle region se trouve le point de vente ?</t>
  </si>
  <si>
    <t>A-10 Region</t>
  </si>
  <si>
    <t>SINGLE SELECTION</t>
  </si>
  <si>
    <t>What region are you located?</t>
  </si>
  <si>
    <t>Region</t>
  </si>
  <si>
    <t>Yes</t>
  </si>
  <si>
    <t>A-20</t>
  </si>
  <si>
    <t>What prefecture are you located?</t>
  </si>
  <si>
    <t>Dans quel département se trouve le point de vente ?</t>
  </si>
  <si>
    <t>A-20 Prefecture</t>
  </si>
  <si>
    <t xml:space="preserve">Prefecture </t>
  </si>
  <si>
    <t>What sub-prefecture/commune are you located?</t>
  </si>
  <si>
    <t>Dans quelle commune se trouve le point de vente ?</t>
  </si>
  <si>
    <t>A-30 Sub-prefecture/Commune</t>
  </si>
  <si>
    <t>Sub-prefecture/Commune</t>
  </si>
  <si>
    <t>A-40</t>
  </si>
  <si>
    <t>What quartier are you located?</t>
  </si>
  <si>
    <t>Dans quel quartier se trouve le point de vente ?</t>
  </si>
  <si>
    <t>A-40 Suburb</t>
  </si>
  <si>
    <t>Store Location Type</t>
  </si>
  <si>
    <t>A-50</t>
  </si>
  <si>
    <t>What is the block code?</t>
  </si>
  <si>
    <t>A-50 Block</t>
  </si>
  <si>
    <t>Open text field</t>
  </si>
  <si>
    <t>A-60</t>
  </si>
  <si>
    <t>What is the sub-block code?</t>
  </si>
  <si>
    <t>A-60 Subbolck</t>
  </si>
  <si>
    <t>A-70</t>
  </si>
  <si>
    <t>What is the Zip Code (Code postal)?</t>
  </si>
  <si>
    <t>A-70 Zipcode</t>
  </si>
  <si>
    <t>GPS location of outlet</t>
  </si>
  <si>
    <t>Coordonnées GPS du point de vente</t>
  </si>
  <si>
    <t>O-10 GPS</t>
  </si>
  <si>
    <t>SYSTEM</t>
  </si>
  <si>
    <t>Device automatically captures</t>
  </si>
  <si>
    <t>What is the address/landmark point that identifies the outlet? (e.g. NEAR THIS... NEXT TO... BEHIND THIS...)</t>
  </si>
  <si>
    <t>Quel est l'adresse / le point de repere du point de vente ? (A côté de …, après …, derrière ….)</t>
  </si>
  <si>
    <t>O-40 Landmark</t>
  </si>
  <si>
    <t>Open verbatim field</t>
  </si>
  <si>
    <t>O-41</t>
  </si>
  <si>
    <t>What is the Street Name?</t>
  </si>
  <si>
    <t>Quel est le nom de la rue où se trouve le point de vente ?</t>
  </si>
  <si>
    <t>O-41 Street</t>
  </si>
  <si>
    <t>O-42</t>
  </si>
  <si>
    <t xml:space="preserve">What is the Building No? </t>
  </si>
  <si>
    <t>Quel est le numéro du batiment où se trouve le point de vente ?</t>
  </si>
  <si>
    <t>O-42 Bldg no</t>
  </si>
  <si>
    <t>O-43</t>
  </si>
  <si>
    <t xml:space="preserve">What is the Shop No? </t>
  </si>
  <si>
    <t>Quel est le numéro du point de vente ?</t>
  </si>
  <si>
    <t>O-43 Shop no</t>
  </si>
  <si>
    <t>What is the Enumerated Area you are in?</t>
  </si>
  <si>
    <t>O-50 EA</t>
  </si>
  <si>
    <t>What is the name of the outlet? </t>
  </si>
  <si>
    <t>Quel est le Nom du point de vente ?</t>
  </si>
  <si>
    <t>O-60 Outlet Name</t>
  </si>
  <si>
    <t>O-61</t>
  </si>
  <si>
    <t>What other name is this outlet known by?</t>
  </si>
  <si>
    <t>Quel autre Nom designe le point de vente ?</t>
  </si>
  <si>
    <t>O-61 Addional Name</t>
  </si>
  <si>
    <t xml:space="preserve">  </t>
  </si>
  <si>
    <t>Find the most senior person available (Manager or Owner)</t>
  </si>
  <si>
    <t>Trouver la personne la plus expérimentée disponible (gérant ou propriétaire)</t>
  </si>
  <si>
    <t>I-10 Note</t>
  </si>
  <si>
    <t>NOTE</t>
  </si>
  <si>
    <t>No</t>
  </si>
  <si>
    <t>I-20</t>
  </si>
  <si>
    <t>Who are you speaking to?</t>
  </si>
  <si>
    <t>A qui parlez-vous ?</t>
  </si>
  <si>
    <t>I-20 Interviewee Role</t>
  </si>
  <si>
    <t>Interviewee Roles</t>
  </si>
  <si>
    <t>I-30</t>
  </si>
  <si>
    <t>INTRODUCTION: My name is .… Our company is operating a Trade Census. The objective is to better understand the tobacco market to eventually improve service to you as point of sale.</t>
  </si>
  <si>
    <t>INTRODUCTION : Je m'appelle .… Notre société procède à un recensement commercial. L'objectif est de mieux comprendre le marché du tabac pour éventuellement améliorer le service qui vous est offert en tant que point de vente.</t>
  </si>
  <si>
    <t>I-30 Note</t>
  </si>
  <si>
    <t>A colleague of mine has recently visited you to conduct a Trade Census, and to insure we have quality information I am checking that we have correctly captured the information about your point of sale. I will be asking you a select number of questions for quality purposes.</t>
  </si>
  <si>
    <t>Un de mes collègues vous a récemment rendu visite pour effectuer un recensement commercial, et pour nous assurer que nous avons des informations de qualité, je vérifie que nous avons correctement saisi les informations sur votre point de vente. Je vais vous poser un certain nombre de questions à des fins de qualité.</t>
  </si>
  <si>
    <t>I-31 Note</t>
  </si>
  <si>
    <t xml:space="preserve">Yes </t>
  </si>
  <si>
    <t>I-40</t>
  </si>
  <si>
    <t>Would you have a few minutes available to answer some questions about your business? This should not take long.</t>
  </si>
  <si>
    <t>Auriez-vous quelques minutes à disposition pour répondre à quelques questions sur votre entreprise ? Cela ne devrait pas prendre longtemps.</t>
  </si>
  <si>
    <t>I-40 Survey Compleness</t>
  </si>
  <si>
    <t>Continue Survey</t>
  </si>
  <si>
    <t>NEW PAGE</t>
  </si>
  <si>
    <t>Are most (over 50%) of your sales to:</t>
  </si>
  <si>
    <t>Dans la plupart des cas (plus de 50 %) de vos ventes sont :</t>
  </si>
  <si>
    <t>I-130 Segment</t>
  </si>
  <si>
    <t>Segment Options</t>
  </si>
  <si>
    <t>I-134</t>
  </si>
  <si>
    <t xml:space="preserve">Do you sell Cigarettes ? </t>
  </si>
  <si>
    <t>I-134 Sell Cigarette</t>
  </si>
  <si>
    <t>Yes/No</t>
  </si>
  <si>
    <t>If no, go to end section</t>
  </si>
  <si>
    <t>I-130 = "SEG1"</t>
  </si>
  <si>
    <t>Select the retailer channel</t>
  </si>
  <si>
    <t>Selectionnez le canal du détaillant</t>
  </si>
  <si>
    <t>I-131 Retailer Channel</t>
  </si>
  <si>
    <t>Retailer Channels</t>
  </si>
  <si>
    <t>I-130 = 2 (OFF TRADE)</t>
  </si>
  <si>
    <t>Select the Off-Trade channel</t>
  </si>
  <si>
    <t>I-132 OFF Channel</t>
  </si>
  <si>
    <t>OFF Channels</t>
  </si>
  <si>
    <t>Select the wholesaler channel</t>
  </si>
  <si>
    <t>Selectionnez le type du grossiste</t>
  </si>
  <si>
    <t>I-133 Wholesaler Channel</t>
  </si>
  <si>
    <t>Wholesaler Channels</t>
  </si>
  <si>
    <t>I-1351</t>
  </si>
  <si>
    <t>Are you also distributing to other retailer ?</t>
  </si>
  <si>
    <t>Vendez-vous aux autres points de vente  ?</t>
  </si>
  <si>
    <t>I-1351 Outlet Retailer</t>
  </si>
  <si>
    <t>I-1352</t>
  </si>
  <si>
    <t>Are you also distributing to consumers?</t>
  </si>
  <si>
    <t>Vendez-vous aux consommateurs ?</t>
  </si>
  <si>
    <t>I-135 Outlet Consumer</t>
  </si>
  <si>
    <t>I-136</t>
  </si>
  <si>
    <t>Do you sell more in sticks, packs or bundle ?</t>
  </si>
  <si>
    <t>Vendez vous plus en tiges, en paquets ou en cartouches ?</t>
  </si>
  <si>
    <t>I-136 Sell other Outlets</t>
  </si>
  <si>
    <t>PT</t>
  </si>
  <si>
    <t>I-401</t>
  </si>
  <si>
    <t xml:space="preserve">Is the outlet part of a chain? </t>
  </si>
  <si>
    <t xml:space="preserve">هل المحل جزء من سلسلة؟ </t>
  </si>
  <si>
    <t>I-402</t>
  </si>
  <si>
    <t xml:space="preserve">What chain does the outlet belong to? </t>
  </si>
  <si>
    <t xml:space="preserve">واش هي  السلسلة الي تابع ليها المحل؟ </t>
  </si>
  <si>
    <t>I-403</t>
  </si>
  <si>
    <t>What is the chain code?</t>
  </si>
  <si>
    <t>واش هو  رمز السلسلة؟</t>
  </si>
  <si>
    <t>I-404</t>
  </si>
  <si>
    <t>What is the chain size  (# of outlets  belong to this chain)?</t>
  </si>
  <si>
    <t>واش هو حجم السلسلة (عدد المحلات اللي تابعة إلى هذه السلسلة)؟</t>
  </si>
  <si>
    <t>I-405</t>
  </si>
  <si>
    <t>Does the outlet belong to Group/Group Owenrship?</t>
  </si>
  <si>
    <t>هل ينتمي المحل إلى مجموعة / مجموعة شركاء؟</t>
  </si>
  <si>
    <t>Visibility</t>
  </si>
  <si>
    <t>QUESTION WORDING ARABIC</t>
  </si>
  <si>
    <t>VISIBLE IF ON-TRADE</t>
  </si>
  <si>
    <t>VISIBLE IF OFF-TRADE</t>
  </si>
  <si>
    <t>VISIBLE IF RTM</t>
  </si>
  <si>
    <t>I-40 = "CO-1"</t>
  </si>
  <si>
    <t>V-12</t>
  </si>
  <si>
    <t>Do you sell Soft Drinks?</t>
  </si>
  <si>
    <t>V-13</t>
  </si>
  <si>
    <t>Do you sell Beer?</t>
  </si>
  <si>
    <t>V-14</t>
  </si>
  <si>
    <t>Do you sell Spirits or Wines?</t>
  </si>
  <si>
    <t>Do you sell shisha?</t>
  </si>
  <si>
    <t xml:space="preserve">Vendez-vous la shisha ? </t>
  </si>
  <si>
    <t>V-10 Shisha</t>
  </si>
  <si>
    <t>Do you sell evapes?</t>
  </si>
  <si>
    <t xml:space="preserve">Vendez-vous des vapoteurs ? </t>
  </si>
  <si>
    <t>V-20 evapes</t>
  </si>
  <si>
    <t>V-30</t>
  </si>
  <si>
    <t>Do you sell electronic cigarettes?</t>
  </si>
  <si>
    <t>Vendez-vous des cigarettes electroniques ?</t>
  </si>
  <si>
    <t>V-30 E-cigarettes</t>
  </si>
  <si>
    <t xml:space="preserve">On an average week how much do you sell cigarettes (Tobacco) ?  </t>
  </si>
  <si>
    <t>Pendant une semaine normale combien vendez-vous de cigarettes (en Paquets ou en Cartouches) ?</t>
  </si>
  <si>
    <t>V-150 Category</t>
  </si>
  <si>
    <t>MULTIPLE NUMERICAL FIELDS</t>
  </si>
  <si>
    <t>Options: see Categories list</t>
  </si>
  <si>
    <t>I-130 = 1</t>
  </si>
  <si>
    <t>Price per pack/bundle</t>
  </si>
  <si>
    <t>Prix par pack/bundle</t>
  </si>
  <si>
    <t>V-20 Note</t>
  </si>
  <si>
    <t>I-130 = 2</t>
  </si>
  <si>
    <t>Price per bundle/carton</t>
  </si>
  <si>
    <t>Prix par bundle/carton</t>
  </si>
  <si>
    <t>V-21 Note</t>
  </si>
  <si>
    <t>On a normal day, how much do you sell for each cigarette (in packs or cartons)?</t>
  </si>
  <si>
    <t>Pendant une journée  normale, combien vendez vous chacune des cigarettes  (En Paquets  ou en Cartouches) ?</t>
  </si>
  <si>
    <t>V-60 Volume SKU</t>
  </si>
  <si>
    <t>See Categories SKUs lists</t>
  </si>
  <si>
    <t>On an average week, how much do you sell in sticks  ?</t>
  </si>
  <si>
    <t>Pendant une semaine normale combien de sticks vendez vous ?</t>
  </si>
  <si>
    <t>V-61 Sticks Sold</t>
  </si>
  <si>
    <t>V-62</t>
  </si>
  <si>
    <t>On an average week, how much do you sell in packs  ?</t>
  </si>
  <si>
    <t>Pendant une semaine normale combien de paquets vendez vous ?</t>
  </si>
  <si>
    <t>V-62 Packs Sold</t>
  </si>
  <si>
    <t>V-70</t>
  </si>
  <si>
    <t>On an average week how much do you sell of the following Shishas?</t>
  </si>
  <si>
    <t>Pendant une semaine normale, combien vendez vous chacune des shisha ?</t>
  </si>
  <si>
    <t>V-70 Shishas</t>
  </si>
  <si>
    <t>How much stock of cigarette do you have ?</t>
  </si>
  <si>
    <t>On an average day how much do you sell of the following Cigarettes ( in pack)?</t>
  </si>
  <si>
    <t>I-40 = "CO-1" and I-130 = "SEG-2"</t>
  </si>
  <si>
    <t>W-10</t>
  </si>
  <si>
    <t>Who are your customers?</t>
  </si>
  <si>
    <t>Qui sont vos clients ?</t>
  </si>
  <si>
    <t>W-10 WHS Customers</t>
  </si>
  <si>
    <t>MULTIPLE SELECTION</t>
  </si>
  <si>
    <t>Whosailer Customer</t>
  </si>
  <si>
    <t>W-20</t>
  </si>
  <si>
    <t>W-10 e-or ["WCU-1", "WCU-2", "WCU-3", "WCU-4", "WCU-5"]</t>
  </si>
  <si>
    <t>How many retailers do you service?</t>
  </si>
  <si>
    <t>Combien de points de vente/détaillants servez-vous ?</t>
  </si>
  <si>
    <t>W-20 Num Retailers</t>
  </si>
  <si>
    <t>Open numeric field</t>
  </si>
  <si>
    <t>W-30</t>
  </si>
  <si>
    <t>W-10 e ["WCU-6"]</t>
  </si>
  <si>
    <t>How many sub wholesalers do you service?</t>
  </si>
  <si>
    <t>Combien de semi-grossiste servez-vous ?</t>
  </si>
  <si>
    <t>W-30 Num SubWHS</t>
  </si>
  <si>
    <t>W-40</t>
  </si>
  <si>
    <t>W-10 = 3</t>
  </si>
  <si>
    <t>How many other type of clients do you service?</t>
  </si>
  <si>
    <t>W-41</t>
  </si>
  <si>
    <t>Do you have an updated overview/list of your customers and their accounts?</t>
  </si>
  <si>
    <t>W-41 Consumer List</t>
  </si>
  <si>
    <t>W-50</t>
  </si>
  <si>
    <t>What are the top retailer types / channels you service? Choose from a maximum of 3.</t>
  </si>
  <si>
    <t>W-50 Top Retailers</t>
  </si>
  <si>
    <t>MULTIPLE SELECTION (max 3)</t>
  </si>
  <si>
    <t>Customers Wholesalers</t>
  </si>
  <si>
    <t>W-60</t>
  </si>
  <si>
    <t>Do you help with any supplier activations/ promotions?</t>
  </si>
  <si>
    <t>W-70</t>
  </si>
  <si>
    <t>Do you have a sales/delivery team?</t>
  </si>
  <si>
    <t>Avez-vous une équipe de vente / livraison ?</t>
  </si>
  <si>
    <t>W-70 Sales Team</t>
  </si>
  <si>
    <t>W-80</t>
  </si>
  <si>
    <t>Does your sales team work with a routing/journey plan?</t>
  </si>
  <si>
    <t>W-80 Route Plan</t>
  </si>
  <si>
    <t>W-90</t>
  </si>
  <si>
    <t>What are the responsibilities of the sales team?</t>
  </si>
  <si>
    <t>W-90 ST Responsibility</t>
  </si>
  <si>
    <t>MULTIPLE SELECTION (min 1, max 3)</t>
  </si>
  <si>
    <t>See Sales Team Responsibility List</t>
  </si>
  <si>
    <t>W-100</t>
  </si>
  <si>
    <t>Do you incentivise your sales reps?</t>
  </si>
  <si>
    <t>W-100 SR Incentives</t>
  </si>
  <si>
    <t>W-110</t>
  </si>
  <si>
    <t>How many people work for your business?</t>
  </si>
  <si>
    <t>Combien de personnes travaillent pour votre entreprise ?</t>
  </si>
  <si>
    <t>W-110 Num Employees</t>
  </si>
  <si>
    <t>W-120</t>
  </si>
  <si>
    <t>W-110 is &gt; 0</t>
  </si>
  <si>
    <t>How many people accross the departments? </t>
  </si>
  <si>
    <t>See Departments List</t>
  </si>
  <si>
    <t>W-130</t>
  </si>
  <si>
    <t>Do you offer credit terms?</t>
  </si>
  <si>
    <t>W-130 Credit Terms</t>
  </si>
  <si>
    <t>W-131</t>
  </si>
  <si>
    <t>W-130 = Yes</t>
  </si>
  <si>
    <t>What type of credit do you offer?</t>
  </si>
  <si>
    <t>W-131 Type of Credit</t>
  </si>
  <si>
    <t>See Type of Credit List</t>
  </si>
  <si>
    <t>W-132</t>
  </si>
  <si>
    <t>W-131 = 2</t>
  </si>
  <si>
    <t>How long is the credit in weeks?</t>
  </si>
  <si>
    <t>W-132 Credit Length</t>
  </si>
  <si>
    <t>W-133</t>
  </si>
  <si>
    <t>W-131 = 1</t>
  </si>
  <si>
    <t>What's the minimum value of invoices open for credit?</t>
  </si>
  <si>
    <t>W-133 Num Invoices</t>
  </si>
  <si>
    <t>W-140</t>
  </si>
  <si>
    <t>How do you take the majority of your orders? Choose a maximum of 2.</t>
  </si>
  <si>
    <t>W-140 Order Methods</t>
  </si>
  <si>
    <t>MULTIPLE SELECTION (min 1, max 2)</t>
  </si>
  <si>
    <t>See Order Methods List</t>
  </si>
  <si>
    <t>W-141</t>
  </si>
  <si>
    <t>I-133 = 1</t>
  </si>
  <si>
    <t>How much of your sales are for consumer at retail price or for retailers at wholesale price?</t>
  </si>
  <si>
    <t>W-141 Selling Mode</t>
  </si>
  <si>
    <t>Selling Mode</t>
  </si>
  <si>
    <t>W-142</t>
  </si>
  <si>
    <t>Do you deliver to your clients?</t>
  </si>
  <si>
    <t>W-142 Client Delivery</t>
  </si>
  <si>
    <t>W-143</t>
  </si>
  <si>
    <t>W-142 = Yes</t>
  </si>
  <si>
    <t>How are your cigarettes delivered to your customers?</t>
  </si>
  <si>
    <t>W-143 Delivery Methods</t>
  </si>
  <si>
    <t>Delivery Mode</t>
  </si>
  <si>
    <t>W-150</t>
  </si>
  <si>
    <t>Do you have a forecast in place for your sales?</t>
  </si>
  <si>
    <t>W-160</t>
  </si>
  <si>
    <t>How often do you buy per week (inbound stock)? Enter a number between 0 and 7</t>
  </si>
  <si>
    <t>À quelle fréquence achetez-vous par semaine (stock entrant) ? Entrez un nombre entre 0 et 7.</t>
  </si>
  <si>
    <t>W-160 Purchase Frequency</t>
  </si>
  <si>
    <t>Numeric field 0 to 7</t>
  </si>
  <si>
    <t>W-170</t>
  </si>
  <si>
    <t>Do you measure and register your stock?</t>
  </si>
  <si>
    <t>W-170 Stock Measurement</t>
  </si>
  <si>
    <t>W-180</t>
  </si>
  <si>
    <t>How many trucks do you have?</t>
  </si>
  <si>
    <t>W-190</t>
  </si>
  <si>
    <t>How many vehicles do you have?</t>
  </si>
  <si>
    <t>Combien de véhicules de livraison avez-vous (Tricycle, moto, vehicules, ...)?</t>
  </si>
  <si>
    <t>W-190 Num Vehicles</t>
  </si>
  <si>
    <t>W-200</t>
  </si>
  <si>
    <t>Do you use a computer for your business?</t>
  </si>
  <si>
    <t>W-200 Computers</t>
  </si>
  <si>
    <t>W-205</t>
  </si>
  <si>
    <t>Do you use a smartphone for your business?</t>
  </si>
  <si>
    <t>Utilisez-vous un smartphone pour gérer votre point de vente ?</t>
  </si>
  <si>
    <t xml:space="preserve">W-205 smartphone </t>
  </si>
  <si>
    <t>W-210</t>
  </si>
  <si>
    <t>Do you have internet?</t>
  </si>
  <si>
    <t>W-210 Internet</t>
  </si>
  <si>
    <t>W-220</t>
  </si>
  <si>
    <t>Do you have all-day power?</t>
  </si>
  <si>
    <t>W-220 Power</t>
  </si>
  <si>
    <t>W-250</t>
  </si>
  <si>
    <t>What's the most important thing your supplier should provide you?</t>
  </si>
  <si>
    <t>Quelle est la chose la plus importante que votre fournisseur devrait vous fournir ? (Maximum 3)</t>
  </si>
  <si>
    <t>W-250 Supplier Support</t>
  </si>
  <si>
    <t>Supplier Support</t>
  </si>
  <si>
    <t>W-260</t>
  </si>
  <si>
    <t>Which brands of fridges are present in the outlet</t>
  </si>
  <si>
    <t>W-260 W Cooler Available</t>
  </si>
  <si>
    <t>MULITPLE SELECTION (allow to insert numbers)</t>
  </si>
  <si>
    <t>See Visibility Brands List</t>
  </si>
  <si>
    <t>W-280</t>
  </si>
  <si>
    <t>Do you provide credit to your clients?</t>
  </si>
  <si>
    <t>W-290</t>
  </si>
  <si>
    <t>How many retail clients buy at least once a month from you?</t>
  </si>
  <si>
    <t>W-300</t>
  </si>
  <si>
    <t>Which beer brand has the most visible branding outside of the outlet with signage ?</t>
  </si>
  <si>
    <t>M-30 Most Visible Brand Outside</t>
  </si>
  <si>
    <t>Does the outlet have a checkout?</t>
  </si>
  <si>
    <t>M-10=Yes</t>
  </si>
  <si>
    <t>How many of the following type of checkout do you have?</t>
  </si>
  <si>
    <t>Type Of Fridges</t>
  </si>
  <si>
    <t>I-40 = "CO-1" and I-130 ! "SEG-2"</t>
  </si>
  <si>
    <t>M-24</t>
  </si>
  <si>
    <t xml:space="preserve">On average, how many customers buy cigarettes from your outlet in a day? </t>
  </si>
  <si>
    <t>En moyenne, combien de clients achètent les cigarettes chez vous par jour ?</t>
  </si>
  <si>
    <t>M-24 Customers</t>
  </si>
  <si>
    <t>NUMERICAL</t>
  </si>
  <si>
    <t>Open Numeric Field</t>
  </si>
  <si>
    <t>M-30</t>
  </si>
  <si>
    <t>Which brand is the MOST visible in the outlet (outside/ inside) ?</t>
  </si>
  <si>
    <t>Quelle marque de cigarette est la PLUS visible dans le point de vente (extérieur/ intérieur) ?</t>
  </si>
  <si>
    <t xml:space="preserve">M-30 Most Visible Brand </t>
  </si>
  <si>
    <t>Visibility Brands</t>
  </si>
  <si>
    <t xml:space="preserve">Which brand has the MOST visible from inside the outlet? </t>
  </si>
  <si>
    <t>M-30 Most Visible Brand Inside</t>
  </si>
  <si>
    <t>Does the outlet owner accept visibility items?</t>
  </si>
  <si>
    <t>M-50 Display Sign Accepted</t>
  </si>
  <si>
    <t>M-42</t>
  </si>
  <si>
    <t>Is there already a display sign present? Select the type of sign present</t>
  </si>
  <si>
    <t xml:space="preserve">MULTIPLE SELECTION </t>
  </si>
  <si>
    <t>Dealer Sign</t>
  </si>
  <si>
    <t>M-43</t>
  </si>
  <si>
    <t xml:space="preserve">Are pack being displayed ? </t>
  </si>
  <si>
    <t xml:space="preserve">Les packs de cigarettes sont-ils visibles ?  </t>
  </si>
  <si>
    <t>M-43 Pack Displayed</t>
  </si>
  <si>
    <t>M-44</t>
  </si>
  <si>
    <t>Select the brands that have a wall unit display present</t>
  </si>
  <si>
    <t xml:space="preserve">Sélectionnez les marques visibles sur le présentoir à cigarettes encastré dans le mur </t>
  </si>
  <si>
    <t>M-44 Wall Display</t>
  </si>
  <si>
    <t>M-45</t>
  </si>
  <si>
    <t>Select the brands that have an overhead dispaly present</t>
  </si>
  <si>
    <t xml:space="preserve">Sélectionnez les marques visibles sur le présentoir à cigarettes suspendu </t>
  </si>
  <si>
    <t>M-45 Overhead Display</t>
  </si>
  <si>
    <t>M-46</t>
  </si>
  <si>
    <t>Select the brands that have an standing display present</t>
  </si>
  <si>
    <t xml:space="preserve">Sélectionnez les marques visibles sur le présentoir à cigarettes sur pied </t>
  </si>
  <si>
    <t>M-46 Standingl Display</t>
  </si>
  <si>
    <t>M-48</t>
  </si>
  <si>
    <t>M-42=5</t>
  </si>
  <si>
    <t>Select the brands that have a wall painting present</t>
  </si>
  <si>
    <t>M-49</t>
  </si>
  <si>
    <t>M-42=6</t>
  </si>
  <si>
    <t>Select the brands that have a free standing display sign present</t>
  </si>
  <si>
    <t>Which of the following brands are present (listed) in the outlet?</t>
  </si>
  <si>
    <t>What are your busiest times of day? (Maximum 2 responses)</t>
  </si>
  <si>
    <t>Time Of The Day</t>
  </si>
  <si>
    <t>Main gender of consumers</t>
  </si>
  <si>
    <t>Consumer Gender</t>
  </si>
  <si>
    <t>Main age of consumers</t>
  </si>
  <si>
    <t>Consumer Age</t>
  </si>
  <si>
    <t>Check if following items are present in the outlet (premium indicators)</t>
  </si>
  <si>
    <t>Premium Indicators</t>
  </si>
  <si>
    <t>M-116</t>
  </si>
  <si>
    <t>What 2 brands from the following list are the most important to you and your consumers?</t>
  </si>
  <si>
    <t>MULTIPLE SELECTION (min 2, max 2)</t>
  </si>
  <si>
    <t>M-117</t>
  </si>
  <si>
    <t xml:space="preserve">What is the year of this outlet's establishment? </t>
  </si>
  <si>
    <t>M-118</t>
  </si>
  <si>
    <t xml:space="preserve">What is the number of full time employees? </t>
  </si>
  <si>
    <t>Combien d'employés à temps plein avez-vous dans votre point de vente ?</t>
  </si>
  <si>
    <t>M-119</t>
  </si>
  <si>
    <t xml:space="preserve">Is there a storage room available? </t>
  </si>
  <si>
    <t xml:space="preserve">Avez-vous un endroit de stockage de la cigarette ?  </t>
  </si>
  <si>
    <t>M-119 Storage Room</t>
  </si>
  <si>
    <t>M-120</t>
  </si>
  <si>
    <t xml:space="preserve">What is the size of the storage room (in m2)? </t>
  </si>
  <si>
    <t>Quelle est la superficie de la pièce de stockage (en m2) ?</t>
  </si>
  <si>
    <t>M-120 Storage Size</t>
  </si>
  <si>
    <t>M-121</t>
  </si>
  <si>
    <t>How many days do you work per week?</t>
  </si>
  <si>
    <t xml:space="preserve">Combien de jours travaillez - vous par semaine ? </t>
  </si>
  <si>
    <t>M-121 Number Work Days</t>
  </si>
  <si>
    <t>Min</t>
  </si>
  <si>
    <t>Max</t>
  </si>
  <si>
    <t>The following set of questions will be asked for a minimum of two breweries/companies and a maximum of 9 breweries/companies, please identify the breweries/companies for which you would like to ask the distribution section of the questionnaire, the first brewery is set as an example, we recommend to choose a mix of 5 breweries and 5 soft drink producers</t>
  </si>
  <si>
    <t>Où vous approvisionnez-vous principalement en cigarettes JTI?</t>
  </si>
  <si>
    <t>D-10 BAT Sourcing</t>
  </si>
  <si>
    <t>cigarettes Sources</t>
  </si>
  <si>
    <t>D-10 ! ["SOUR-1"]</t>
  </si>
  <si>
    <t>How do you make the majority of your orders?</t>
  </si>
  <si>
    <t>Comment faites-vous HABITUELLEMENT votre commande ?</t>
  </si>
  <si>
    <t>D-11 Order Methods</t>
  </si>
  <si>
    <t>Orders Methods</t>
  </si>
  <si>
    <t>How often do you buy, get delivered per week?</t>
  </si>
  <si>
    <t>A quelle fréquence achetez-vous/vous faites-vous livrer par semaine ?</t>
  </si>
  <si>
    <t>D-12 Purchase Frequency</t>
  </si>
  <si>
    <t>Are you happy with the order quantity and/or frequency?</t>
  </si>
  <si>
    <t>D-14</t>
  </si>
  <si>
    <t>What is the minimum quantity to order to get delivered by a supplier/wholesaler or distributor?</t>
  </si>
  <si>
    <t>D-15</t>
  </si>
  <si>
    <t>What are your payment conditions?</t>
  </si>
  <si>
    <t>Payment Condition</t>
  </si>
  <si>
    <t>D-16</t>
  </si>
  <si>
    <t>What type of credit do you get?</t>
  </si>
  <si>
    <t>Type of Credit</t>
  </si>
  <si>
    <t>D-17</t>
  </si>
  <si>
    <t>What is the maximum number of open invoices allowed?</t>
  </si>
  <si>
    <t>D-18</t>
  </si>
  <si>
    <t>Numeric field 0 to 52</t>
  </si>
  <si>
    <t>D-19</t>
  </si>
  <si>
    <t>D-10 =-or ["SOUR-4", "SOUR-5"]</t>
  </si>
  <si>
    <t>What is the name of your official Wholesaler/Distributor?</t>
  </si>
  <si>
    <t>Quel est le nom de votre principal fournisseur pour les produits  ?</t>
  </si>
  <si>
    <t>D-19 BAT WHS</t>
  </si>
  <si>
    <t>Text box</t>
  </si>
  <si>
    <t>D-20</t>
  </si>
  <si>
    <t>Où vous approvisionnez-vous principalement en cigarettes BAT?</t>
  </si>
  <si>
    <t>D-10 PMI Sourcing</t>
  </si>
  <si>
    <t>D-21</t>
  </si>
  <si>
    <t>D-20 ! ["SOUR-1"]</t>
  </si>
  <si>
    <t>D-22</t>
  </si>
  <si>
    <t>D-23</t>
  </si>
  <si>
    <t>D-24</t>
  </si>
  <si>
    <t>D-25</t>
  </si>
  <si>
    <t>D-26</t>
  </si>
  <si>
    <t>D-27</t>
  </si>
  <si>
    <t>D-28</t>
  </si>
  <si>
    <t>D-29</t>
  </si>
  <si>
    <t>D-20 =-or ["SOUR-4", "SOUR-5"]</t>
  </si>
  <si>
    <t>D-19 PMI WHS</t>
  </si>
  <si>
    <t>Wholesalers/Distributors</t>
  </si>
  <si>
    <t>D-30</t>
  </si>
  <si>
    <t>Où vous approvisionnez-vous principalement en cigarettes PMI ?</t>
  </si>
  <si>
    <t>D-10 JTI Sourcing</t>
  </si>
  <si>
    <t>D-31</t>
  </si>
  <si>
    <t>D-30 ! ["SOUR-1"]</t>
  </si>
  <si>
    <t>D-32</t>
  </si>
  <si>
    <t>D-33</t>
  </si>
  <si>
    <t>D-34</t>
  </si>
  <si>
    <t>D-35</t>
  </si>
  <si>
    <t>D-36</t>
  </si>
  <si>
    <t>D-37</t>
  </si>
  <si>
    <t>D-38</t>
  </si>
  <si>
    <t>D-39</t>
  </si>
  <si>
    <t>D-30 =-or ["SOUR-4", "SOUR-5"]</t>
  </si>
  <si>
    <t>D-19 JTI WHS</t>
  </si>
  <si>
    <t>D-40</t>
  </si>
  <si>
    <t>Où vous approvisionnez-vous principalement en cigarettes Oriental ?</t>
  </si>
  <si>
    <t>D-10 ITG Sourcing</t>
  </si>
  <si>
    <t>D-41</t>
  </si>
  <si>
    <t>D-40 ! ["SOUR-1"]</t>
  </si>
  <si>
    <t>D-42</t>
  </si>
  <si>
    <t>D-43</t>
  </si>
  <si>
    <t>D-44</t>
  </si>
  <si>
    <t>D-45</t>
  </si>
  <si>
    <t>D-46</t>
  </si>
  <si>
    <t>D-47</t>
  </si>
  <si>
    <t>D-48</t>
  </si>
  <si>
    <t>D-49</t>
  </si>
  <si>
    <t>D-40 =-or ["SOUR-4", "SOUR-5"]</t>
  </si>
  <si>
    <t>D-19 ITG WHS</t>
  </si>
  <si>
    <t>D-50</t>
  </si>
  <si>
    <t>Où vous approvisionnez-vous principalement en cigarettes KT&amp; G?</t>
  </si>
  <si>
    <t>D-10 SNTA Sourcing</t>
  </si>
  <si>
    <t>D-51</t>
  </si>
  <si>
    <t>D-50 ! ["SOUR-1"]</t>
  </si>
  <si>
    <t>D-52</t>
  </si>
  <si>
    <t>D-53</t>
  </si>
  <si>
    <t>D-54</t>
  </si>
  <si>
    <t>D-56</t>
  </si>
  <si>
    <t>D-57</t>
  </si>
  <si>
    <t>D-58</t>
  </si>
  <si>
    <t>D-59</t>
  </si>
  <si>
    <t>D-50 =-or ["SOUR-4", "SOUR-5"]</t>
  </si>
  <si>
    <t>D-19 SNTA WHS</t>
  </si>
  <si>
    <t>D-61</t>
  </si>
  <si>
    <t>D-62</t>
  </si>
  <si>
    <t>D-63</t>
  </si>
  <si>
    <t>D-64</t>
  </si>
  <si>
    <t>D-66</t>
  </si>
  <si>
    <t>D-67</t>
  </si>
  <si>
    <t>D-68</t>
  </si>
  <si>
    <t>D-69</t>
  </si>
  <si>
    <t>D-71</t>
  </si>
  <si>
    <t>D-72</t>
  </si>
  <si>
    <t>D-73</t>
  </si>
  <si>
    <t>D-74</t>
  </si>
  <si>
    <t>D-76</t>
  </si>
  <si>
    <t>D-77</t>
  </si>
  <si>
    <t>D-78</t>
  </si>
  <si>
    <t>D-79</t>
  </si>
  <si>
    <t>D-81</t>
  </si>
  <si>
    <t>D-82</t>
  </si>
  <si>
    <t>D-83</t>
  </si>
  <si>
    <t>JTI</t>
  </si>
  <si>
    <t>D-84</t>
  </si>
  <si>
    <t>BAT</t>
  </si>
  <si>
    <t>D-85</t>
  </si>
  <si>
    <t>PMI</t>
  </si>
  <si>
    <t>D-86</t>
  </si>
  <si>
    <t>Oriental</t>
  </si>
  <si>
    <t>D-87</t>
  </si>
  <si>
    <t>KT&amp;G</t>
  </si>
  <si>
    <t>D-88</t>
  </si>
  <si>
    <t>Other</t>
  </si>
  <si>
    <t>D-89</t>
  </si>
  <si>
    <t>D-91</t>
  </si>
  <si>
    <t>D-92</t>
  </si>
  <si>
    <t>D-93</t>
  </si>
  <si>
    <t>D-94</t>
  </si>
  <si>
    <t>D-95</t>
  </si>
  <si>
    <t>D-96</t>
  </si>
  <si>
    <t>D-97</t>
  </si>
  <si>
    <t>D-98</t>
  </si>
  <si>
    <t>D-99</t>
  </si>
  <si>
    <t>Which Sales Reps or merchandiser visit you regularly?</t>
  </si>
  <si>
    <t>Quels commerciaux vous rendent visite régulièrement ?</t>
  </si>
  <si>
    <t>D-100 SR Visit</t>
  </si>
  <si>
    <t>Chage by company</t>
  </si>
  <si>
    <t>D-101</t>
  </si>
  <si>
    <t>D-100 ! ["SR-1"]</t>
  </si>
  <si>
    <t>Combien de fois par mois le délégué Commercial vous visite-t-il ?</t>
  </si>
  <si>
    <t>D-101 BAT Visit Frequency</t>
  </si>
  <si>
    <t>Visit Frequency</t>
  </si>
  <si>
    <t>D-102</t>
  </si>
  <si>
    <t>D-100 ! ["SR-2"]</t>
  </si>
  <si>
    <t>D-102 PMI Frequency</t>
  </si>
  <si>
    <t>D-103</t>
  </si>
  <si>
    <t>D-100 ! ["SR-3"]</t>
  </si>
  <si>
    <t>D-103 JTI Visit Frequency</t>
  </si>
  <si>
    <t>D-104</t>
  </si>
  <si>
    <t>D-100 ! ["SR-4"]</t>
  </si>
  <si>
    <t>D-104 ITG Frequency</t>
  </si>
  <si>
    <t>D-105</t>
  </si>
  <si>
    <t>D-100 ! ["SR-5"]</t>
  </si>
  <si>
    <t>D-105 SNTA Visit Frequency</t>
  </si>
  <si>
    <t>D-100 ! ["SR-6"]</t>
  </si>
  <si>
    <t>D-106 Other Frequency</t>
  </si>
  <si>
    <t>D-107</t>
  </si>
  <si>
    <t>D-108</t>
  </si>
  <si>
    <t>D-109</t>
  </si>
  <si>
    <t>D-200</t>
  </si>
  <si>
    <t>Suppliers Sourcing</t>
  </si>
  <si>
    <t>D-201</t>
  </si>
  <si>
    <t>D-202</t>
  </si>
  <si>
    <t>D-203</t>
  </si>
  <si>
    <t>D-204</t>
  </si>
  <si>
    <t>D-205</t>
  </si>
  <si>
    <t>D-206</t>
  </si>
  <si>
    <t>D-207</t>
  </si>
  <si>
    <t>D-208</t>
  </si>
  <si>
    <t>D-300</t>
  </si>
  <si>
    <t>Satisfaction Rating</t>
  </si>
  <si>
    <t>D-301</t>
  </si>
  <si>
    <t>D-302</t>
  </si>
  <si>
    <t>D-303</t>
  </si>
  <si>
    <t>D-304</t>
  </si>
  <si>
    <t>D-305</t>
  </si>
  <si>
    <t>D-306</t>
  </si>
  <si>
    <t>D-307</t>
  </si>
  <si>
    <t>D-308</t>
  </si>
  <si>
    <t>I-40 = "Yes"</t>
  </si>
  <si>
    <t>Note - INTERVIEWER READ THE FOLLOWING TO OWNER/MANAGER:
Thank you for participating in our survey. In the coming days, you may be contacted by my supervisor to assess the quality of my work and to answer any questions you may have with respect to this interview.</t>
  </si>
  <si>
    <t xml:space="preserve">Note - ENUMERATEUR LIRE CE QUI SUIT AU PROPRIÉTAIRE/GÉRANT :
Merci pour votre participation à notre sondage. Dans les prochains jours, vous serez peut-être contacté par mon superviseur afin d'évaluer la qualité de mon travail, de répondre à toutes vos questions concernant cet entretien et vérifier que j'ai correctement saisi les informations sur votre point de vente. </t>
  </si>
  <si>
    <t>1. NEXT</t>
  </si>
  <si>
    <t xml:space="preserve">May I take a picture of the outside and inside of your outlet? </t>
  </si>
  <si>
    <t>Puis-je prendre une photo de l'intérieur et de l'extérieur de votre point de vente ?</t>
  </si>
  <si>
    <t>Take a picture of the inside</t>
  </si>
  <si>
    <t>Prendre une photo de l'intérieur</t>
  </si>
  <si>
    <t>PHOTOGRAPH</t>
  </si>
  <si>
    <t>Take a picture of the outside</t>
  </si>
  <si>
    <t>Prendre une photo de l'extérieur</t>
  </si>
  <si>
    <t>E-23</t>
  </si>
  <si>
    <t>Take a picture of the menu</t>
  </si>
  <si>
    <t>E-24</t>
  </si>
  <si>
    <t>Take a picture of POSM</t>
  </si>
  <si>
    <t>E-25</t>
  </si>
  <si>
    <t>Take a picture of draught beer</t>
  </si>
  <si>
    <t>E-26</t>
  </si>
  <si>
    <t>Take a picture of chiller</t>
  </si>
  <si>
    <t>E-27</t>
  </si>
  <si>
    <t xml:space="preserve">Take a picture of the serial number on fridge 1 </t>
  </si>
  <si>
    <t>E-28</t>
  </si>
  <si>
    <t>Take a picture of the serial number on fridge 2</t>
  </si>
  <si>
    <t>E-29</t>
  </si>
  <si>
    <t>Take a picture of the serial number on fridge 3</t>
  </si>
  <si>
    <t>E-30</t>
  </si>
  <si>
    <t>What would you say is the outlet quality?</t>
  </si>
  <si>
    <t>I hereby certify that this interview has been carried out by me according to the instructions I received.</t>
  </si>
  <si>
    <t>Je certifie par la présente que cet entretien a été réalisé par mes soins conformément aux instructions que j'ai reçues.</t>
  </si>
  <si>
    <t>0-10 = 0</t>
  </si>
  <si>
    <t>GPS Location of Outlet</t>
  </si>
  <si>
    <t>Device captures automatically.</t>
  </si>
  <si>
    <t>May I confirm your telephone number? This way my managers may contact you to check that I have correctly captured the information about your business.</t>
  </si>
  <si>
    <t xml:space="preserve">Puis-je confirmer votre numéro de téléphone ? De cette façon, mes responsables peuvent vous contacter pour vérifier que j'ai correctement saisi les informations sur votre entreprise. </t>
  </si>
  <si>
    <t>E-111</t>
  </si>
  <si>
    <t>Do you have an additional telephone number just in case? (DON'T INSERT COUNTRYCODE)</t>
  </si>
  <si>
    <t>Avez-vous un numéro de téléphone supplémentaire au cas où ? (NE PAS INSÉRER LE CODE DE PAYS)</t>
  </si>
  <si>
    <t>E-112</t>
  </si>
  <si>
    <t>May I confirm your name and surname?</t>
  </si>
  <si>
    <t>Puis-je confirmer votre nom et prénom?</t>
  </si>
  <si>
    <t>E-112 Interviewee Name</t>
  </si>
  <si>
    <t>E-113</t>
  </si>
  <si>
    <t>What is the manager/owner's name?</t>
  </si>
  <si>
    <t>Quel est le nom du gerant/propriétaire ?</t>
  </si>
  <si>
    <t>E-113 Manager Name</t>
  </si>
  <si>
    <t>General Comments</t>
  </si>
  <si>
    <t>Commentaires</t>
  </si>
  <si>
    <t>Open Verbatim Field</t>
  </si>
  <si>
    <t>Time stamp END Interview</t>
  </si>
  <si>
    <t>Horodatage de fin d'entretien</t>
  </si>
  <si>
    <t>DATE &amp; TIME</t>
  </si>
  <si>
    <t>SEQ ID</t>
  </si>
  <si>
    <t>Name -Reporting</t>
  </si>
  <si>
    <t>Name - App</t>
  </si>
  <si>
    <t>CAM1</t>
  </si>
  <si>
    <t>Adamaoua</t>
  </si>
  <si>
    <t>CAM2</t>
  </si>
  <si>
    <t>Centre</t>
  </si>
  <si>
    <t>CAM3</t>
  </si>
  <si>
    <t>Est</t>
  </si>
  <si>
    <t>CAM4</t>
  </si>
  <si>
    <t>Extrême-Nord</t>
  </si>
  <si>
    <t>CAM5</t>
  </si>
  <si>
    <t>Littoral</t>
  </si>
  <si>
    <t>CAM6</t>
  </si>
  <si>
    <t>Nord</t>
  </si>
  <si>
    <t>CAM7</t>
  </si>
  <si>
    <t>Nord-Ouest</t>
  </si>
  <si>
    <t>CAM8</t>
  </si>
  <si>
    <t>Ouest</t>
  </si>
  <si>
    <t>CAM9</t>
  </si>
  <si>
    <t>Sud</t>
  </si>
  <si>
    <t>CAM10</t>
  </si>
  <si>
    <t>Sud-Ouest</t>
  </si>
  <si>
    <t>A-10 &amp; 
A-20 &amp; A-30</t>
  </si>
  <si>
    <t>Regions</t>
  </si>
  <si>
    <t>Regions French</t>
  </si>
  <si>
    <t>Department / Sub regions</t>
  </si>
  <si>
    <t>Departement French</t>
  </si>
  <si>
    <t>Communes</t>
  </si>
  <si>
    <t>Commune French</t>
  </si>
  <si>
    <t>Mayo-Banyo</t>
  </si>
  <si>
    <t>Bankim</t>
  </si>
  <si>
    <t>Banyo</t>
  </si>
  <si>
    <t>Vina</t>
  </si>
  <si>
    <t>Belel</t>
  </si>
  <si>
    <t>Mbéré</t>
  </si>
  <si>
    <t>Dir</t>
  </si>
  <si>
    <t>Djohong</t>
  </si>
  <si>
    <t>Faro-et-Déo</t>
  </si>
  <si>
    <t>Galim-Tignere</t>
  </si>
  <si>
    <t>Kontcha</t>
  </si>
  <si>
    <t>Martap</t>
  </si>
  <si>
    <t>Mayo-Baleo</t>
  </si>
  <si>
    <t>Mayo-Darle</t>
  </si>
  <si>
    <t>Mbe</t>
  </si>
  <si>
    <t>Meiganga</t>
  </si>
  <si>
    <t>Nganha</t>
  </si>
  <si>
    <t>Ngaoui</t>
  </si>
  <si>
    <t>Djérem</t>
  </si>
  <si>
    <t>Ngaoundal</t>
  </si>
  <si>
    <t>Ngaoundere 1er</t>
  </si>
  <si>
    <t>Ngaoundere 2e</t>
  </si>
  <si>
    <t>Ngaoundere 3e</t>
  </si>
  <si>
    <t>Nyambaka</t>
  </si>
  <si>
    <t>Tibati</t>
  </si>
  <si>
    <t>Tignere</t>
  </si>
  <si>
    <t>Mefou-et-Afamba</t>
  </si>
  <si>
    <t>Afanloum</t>
  </si>
  <si>
    <t>Nyong-et-So'o</t>
  </si>
  <si>
    <t>Akoeman</t>
  </si>
  <si>
    <t>Mefou-et-Akono</t>
  </si>
  <si>
    <t>Akono</t>
  </si>
  <si>
    <t>Nyong-et-Mfoumou</t>
  </si>
  <si>
    <t>Akonolinga</t>
  </si>
  <si>
    <t>Olanguina</t>
  </si>
  <si>
    <t>Awae</t>
  </si>
  <si>
    <t>Ayos</t>
  </si>
  <si>
    <t>Mbam-et-Inoubou</t>
  </si>
  <si>
    <t>Bafia</t>
  </si>
  <si>
    <t>Lekié</t>
  </si>
  <si>
    <t>Batchenga</t>
  </si>
  <si>
    <t>Haute-Sanaga</t>
  </si>
  <si>
    <t>Bibey</t>
  </si>
  <si>
    <t>Bikok</t>
  </si>
  <si>
    <t>Nyong-et-Kellé</t>
  </si>
  <si>
    <t>Biyouha</t>
  </si>
  <si>
    <t>Bokito</t>
  </si>
  <si>
    <t>Bondjock</t>
  </si>
  <si>
    <t>Bot-Makak</t>
  </si>
  <si>
    <t>Deuk</t>
  </si>
  <si>
    <t>Dibang</t>
  </si>
  <si>
    <t>Dzeng</t>
  </si>
  <si>
    <t>Ebebda</t>
  </si>
  <si>
    <t>Edzendouan</t>
  </si>
  <si>
    <t>Elig-Mfomo</t>
  </si>
  <si>
    <t>Endom</t>
  </si>
  <si>
    <t>Eseka</t>
  </si>
  <si>
    <t>Esse</t>
  </si>
  <si>
    <t>Evodoula</t>
  </si>
  <si>
    <t>Kiiki</t>
  </si>
  <si>
    <t>Kon Yambetta</t>
  </si>
  <si>
    <t>Lembe Yezoum</t>
  </si>
  <si>
    <t>Lobo</t>
  </si>
  <si>
    <t>Makak</t>
  </si>
  <si>
    <t>Makenene</t>
  </si>
  <si>
    <t>Matomb</t>
  </si>
  <si>
    <t>Mbalmayo</t>
  </si>
  <si>
    <t>Mbandjock</t>
  </si>
  <si>
    <t>Mbam-et-Kim</t>
  </si>
  <si>
    <t>Mbangassina</t>
  </si>
  <si>
    <t>Mbankomo</t>
  </si>
  <si>
    <t>Mengang</t>
  </si>
  <si>
    <t>Mengueme</t>
  </si>
  <si>
    <t>Messondo</t>
  </si>
  <si>
    <t>Mfou</t>
  </si>
  <si>
    <t>Minta</t>
  </si>
  <si>
    <t>Monatele</t>
  </si>
  <si>
    <t>Nanga-Eboko</t>
  </si>
  <si>
    <t>Ndikinimeki</t>
  </si>
  <si>
    <t>Ngambe-Tikar</t>
  </si>
  <si>
    <t>Ngog-Mapubi</t>
  </si>
  <si>
    <t>Ngomedzap</t>
  </si>
  <si>
    <t>Ngoro</t>
  </si>
  <si>
    <t>Ngoumou</t>
  </si>
  <si>
    <t>Nguibassal</t>
  </si>
  <si>
    <t>Nitoukou</t>
  </si>
  <si>
    <t>Nkolafamba</t>
  </si>
  <si>
    <t>Nkolmetet</t>
  </si>
  <si>
    <t>Nkoteng</t>
  </si>
  <si>
    <t>Nsem</t>
  </si>
  <si>
    <t>Ntui</t>
  </si>
  <si>
    <t>Nyakokombo</t>
  </si>
  <si>
    <t>Obala</t>
  </si>
  <si>
    <t>Okola</t>
  </si>
  <si>
    <t>Ombessa</t>
  </si>
  <si>
    <t>Saa</t>
  </si>
  <si>
    <t>Soa</t>
  </si>
  <si>
    <t>Mfoundi</t>
  </si>
  <si>
    <t>Yaounde 1er</t>
  </si>
  <si>
    <t>Yaounde 2e</t>
  </si>
  <si>
    <t>Yaounde 3e</t>
  </si>
  <si>
    <t>Yaounde 4e</t>
  </si>
  <si>
    <t>Yaounde 5e</t>
  </si>
  <si>
    <t>Yaounde 6e</t>
  </si>
  <si>
    <t>Yaounde 7e</t>
  </si>
  <si>
    <t>Yoko</t>
  </si>
  <si>
    <t>Haut-Nyong</t>
  </si>
  <si>
    <t>Dja</t>
  </si>
  <si>
    <t>Kadey</t>
  </si>
  <si>
    <t>Ouli</t>
  </si>
  <si>
    <t>Abong-Mbang</t>
  </si>
  <si>
    <t>Batouri</t>
  </si>
  <si>
    <t>Bebend</t>
  </si>
  <si>
    <t>Lom-et-Djérem</t>
  </si>
  <si>
    <t>Belabo</t>
  </si>
  <si>
    <t>Bertoua 1er</t>
  </si>
  <si>
    <t>Bertoua 2e</t>
  </si>
  <si>
    <t>Betare-Oya</t>
  </si>
  <si>
    <t>Kentzou</t>
  </si>
  <si>
    <t>Diang</t>
  </si>
  <si>
    <t>Dimako</t>
  </si>
  <si>
    <t>Doumaintang</t>
  </si>
  <si>
    <t>Doume</t>
  </si>
  <si>
    <t>Boumba-et-Ngoko</t>
  </si>
  <si>
    <t>Gari Gombo</t>
  </si>
  <si>
    <t>Garoua-Boulai</t>
  </si>
  <si>
    <t>Kette</t>
  </si>
  <si>
    <t>Lomie</t>
  </si>
  <si>
    <t>Mandjou</t>
  </si>
  <si>
    <t>Mbang</t>
  </si>
  <si>
    <t>Mboanz</t>
  </si>
  <si>
    <t>Mboma</t>
  </si>
  <si>
    <t>Mbotoro</t>
  </si>
  <si>
    <t>Messamena</t>
  </si>
  <si>
    <t>Messok</t>
  </si>
  <si>
    <t>Moloundou</t>
  </si>
  <si>
    <t>Ndelele</t>
  </si>
  <si>
    <t>Ngoura</t>
  </si>
  <si>
    <t>Mindourou</t>
  </si>
  <si>
    <t>Ngoyla</t>
  </si>
  <si>
    <t>Nguelemendouka</t>
  </si>
  <si>
    <t>Salapoumbe</t>
  </si>
  <si>
    <t>Somalomo</t>
  </si>
  <si>
    <t>Yokadouma</t>
  </si>
  <si>
    <t>Mayo-Kani</t>
  </si>
  <si>
    <t>Kaélé</t>
  </si>
  <si>
    <t>Mindif</t>
  </si>
  <si>
    <t>Moutourwa</t>
  </si>
  <si>
    <t>Touloum</t>
  </si>
  <si>
    <t>Logone-et-Chari</t>
  </si>
  <si>
    <t>Blangoua</t>
  </si>
  <si>
    <t>Diamaré</t>
  </si>
  <si>
    <t>Bogo</t>
  </si>
  <si>
    <t>Mayo-Tsanaga</t>
  </si>
  <si>
    <t>Bourrha</t>
  </si>
  <si>
    <t>Darak</t>
  </si>
  <si>
    <t>Dargala</t>
  </si>
  <si>
    <t>Mayo-Danay</t>
  </si>
  <si>
    <t>Datcheka</t>
  </si>
  <si>
    <t>Fotokol</t>
  </si>
  <si>
    <t>Gazawa</t>
  </si>
  <si>
    <t>Gobo</t>
  </si>
  <si>
    <t>Goulfey</t>
  </si>
  <si>
    <t>Guémé</t>
  </si>
  <si>
    <t>Guéré</t>
  </si>
  <si>
    <t>Dziguilao</t>
  </si>
  <si>
    <t>Ibou</t>
  </si>
  <si>
    <t>Hile-Alifa</t>
  </si>
  <si>
    <t>Hina</t>
  </si>
  <si>
    <t>Guidiguis</t>
  </si>
  <si>
    <t>Kai-Kai</t>
  </si>
  <si>
    <t>Kalfou</t>
  </si>
  <si>
    <t>Kar-Hay</t>
  </si>
  <si>
    <t>Mayo-Sava</t>
  </si>
  <si>
    <t>Kolofata</t>
  </si>
  <si>
    <t>Kousseri</t>
  </si>
  <si>
    <t>Koza</t>
  </si>
  <si>
    <t>Logone-Birni</t>
  </si>
  <si>
    <t>Maga</t>
  </si>
  <si>
    <t>Makary</t>
  </si>
  <si>
    <t>Maroua 1er</t>
  </si>
  <si>
    <t>Maroua 2e</t>
  </si>
  <si>
    <t>Maroua 3e</t>
  </si>
  <si>
    <t>Mozogo</t>
  </si>
  <si>
    <t>Meri</t>
  </si>
  <si>
    <t>Mogode</t>
  </si>
  <si>
    <t>Mokolo</t>
  </si>
  <si>
    <t>Mora</t>
  </si>
  <si>
    <t>Moulvoudaye</t>
  </si>
  <si>
    <t>Ndoukoula</t>
  </si>
  <si>
    <t>Pette</t>
  </si>
  <si>
    <t>Soulede-Roua</t>
  </si>
  <si>
    <t>Tchatibali</t>
  </si>
  <si>
    <t>Tokombere</t>
  </si>
  <si>
    <t>Waza</t>
  </si>
  <si>
    <t>Wina</t>
  </si>
  <si>
    <t>Yagoua</t>
  </si>
  <si>
    <t>Zina</t>
  </si>
  <si>
    <t>Moungo</t>
  </si>
  <si>
    <t>Bonaléa</t>
  </si>
  <si>
    <t>Bare-Bakem</t>
  </si>
  <si>
    <t>Sanaga-Maritime</t>
  </si>
  <si>
    <t>Dibamba</t>
  </si>
  <si>
    <t>Dibombari</t>
  </si>
  <si>
    <t>Dizangue</t>
  </si>
  <si>
    <t>Wouri</t>
  </si>
  <si>
    <t>Douala 1er</t>
  </si>
  <si>
    <t>Douala 2e</t>
  </si>
  <si>
    <t>Douala 3e</t>
  </si>
  <si>
    <t>Douala 4e</t>
  </si>
  <si>
    <t>Douala 5e</t>
  </si>
  <si>
    <t>Douala 6e</t>
  </si>
  <si>
    <t>Edea 1er</t>
  </si>
  <si>
    <t>Edea 2e</t>
  </si>
  <si>
    <t>Eboné</t>
  </si>
  <si>
    <t>Loum</t>
  </si>
  <si>
    <t>Manjo</t>
  </si>
  <si>
    <t>Massock-Songloulou</t>
  </si>
  <si>
    <t>Mbanga</t>
  </si>
  <si>
    <t>Melong</t>
  </si>
  <si>
    <t>Mombo</t>
  </si>
  <si>
    <t>Mouanko</t>
  </si>
  <si>
    <t>Ndom</t>
  </si>
  <si>
    <t>Ngambe</t>
  </si>
  <si>
    <t>Ngwei</t>
  </si>
  <si>
    <t>Njombe-Penja</t>
  </si>
  <si>
    <t>Nkam</t>
  </si>
  <si>
    <t>Nkondjock</t>
  </si>
  <si>
    <t>Nkongsamba 1er</t>
  </si>
  <si>
    <t>Nkongsamba 2e</t>
  </si>
  <si>
    <t>Nkongsamba 3e</t>
  </si>
  <si>
    <t>Nord-Makombe</t>
  </si>
  <si>
    <t>Nyanon</t>
  </si>
  <si>
    <t>Pouma</t>
  </si>
  <si>
    <t>Yabassi</t>
  </si>
  <si>
    <t>Yingui</t>
  </si>
  <si>
    <t>Bénoué</t>
  </si>
  <si>
    <t>Bascheo</t>
  </si>
  <si>
    <t>Faro</t>
  </si>
  <si>
    <t>Beka</t>
  </si>
  <si>
    <t>Bibemi</t>
  </si>
  <si>
    <t>Dembo</t>
  </si>
  <si>
    <t>Demsa</t>
  </si>
  <si>
    <t>Mayo-Louti</t>
  </si>
  <si>
    <t>Figuil</t>
  </si>
  <si>
    <t>Garoua 1er</t>
  </si>
  <si>
    <t>Garoua 2e</t>
  </si>
  <si>
    <t>Garoua 3e</t>
  </si>
  <si>
    <t>Guider</t>
  </si>
  <si>
    <t>Lagdo</t>
  </si>
  <si>
    <t>Mayo-Rey</t>
  </si>
  <si>
    <t>Madingring</t>
  </si>
  <si>
    <t>Mayo-Hourna</t>
  </si>
  <si>
    <t>Mayo-Oulo</t>
  </si>
  <si>
    <t>Pitoa</t>
  </si>
  <si>
    <t>Poli</t>
  </si>
  <si>
    <t>Rey-Bouba</t>
  </si>
  <si>
    <t>Tcheboa</t>
  </si>
  <si>
    <t>Tchollire</t>
  </si>
  <si>
    <t>Touboro</t>
  </si>
  <si>
    <t>Touroua</t>
  </si>
  <si>
    <t>Momo</t>
  </si>
  <si>
    <t>Ngie</t>
  </si>
  <si>
    <t>Donga-Mantung</t>
  </si>
  <si>
    <t>Ako</t>
  </si>
  <si>
    <t>Ngo-Ketunjia</t>
  </si>
  <si>
    <t>Babessi</t>
  </si>
  <si>
    <t>Mezam</t>
  </si>
  <si>
    <t>Bafut</t>
  </si>
  <si>
    <t>Bali</t>
  </si>
  <si>
    <t>Balikumbat</t>
  </si>
  <si>
    <t>Bamenda 1st</t>
  </si>
  <si>
    <t>Bamenda 2nd</t>
  </si>
  <si>
    <t>Bamenda 3rd</t>
  </si>
  <si>
    <t>Andek</t>
  </si>
  <si>
    <t>Batibo</t>
  </si>
  <si>
    <t>Boyo</t>
  </si>
  <si>
    <t>Belo</t>
  </si>
  <si>
    <t>Fonfuka</t>
  </si>
  <si>
    <t>Fundong</t>
  </si>
  <si>
    <t>Menchum</t>
  </si>
  <si>
    <t>Fungom</t>
  </si>
  <si>
    <t>Furu-Awa</t>
  </si>
  <si>
    <t>Bui</t>
  </si>
  <si>
    <t>Jakiri</t>
  </si>
  <si>
    <t>Kumbo</t>
  </si>
  <si>
    <t>Mbengwi</t>
  </si>
  <si>
    <t>Mbven</t>
  </si>
  <si>
    <t>Menchum-Valley</t>
  </si>
  <si>
    <t>Misaje</t>
  </si>
  <si>
    <t>Ndop</t>
  </si>
  <si>
    <t>Ndu</t>
  </si>
  <si>
    <t>Njikwa</t>
  </si>
  <si>
    <t>Njinikom</t>
  </si>
  <si>
    <t>Nkambe</t>
  </si>
  <si>
    <t>Nkum</t>
  </si>
  <si>
    <t>Noni</t>
  </si>
  <si>
    <t>Nwa</t>
  </si>
  <si>
    <t>Oku</t>
  </si>
  <si>
    <t>Santa</t>
  </si>
  <si>
    <t>Tubah</t>
  </si>
  <si>
    <t>Widikum-Boffe</t>
  </si>
  <si>
    <t>Wum</t>
  </si>
  <si>
    <t>Bamboutos</t>
  </si>
  <si>
    <t>Babadjou</t>
  </si>
  <si>
    <t>Haut-Nkam</t>
  </si>
  <si>
    <t>Bafang</t>
  </si>
  <si>
    <t>Mifi</t>
  </si>
  <si>
    <t>Bafoussam 1er</t>
  </si>
  <si>
    <t>Bafoussam 2e</t>
  </si>
  <si>
    <t>Bafoussam 3e</t>
  </si>
  <si>
    <t>Hauts-Plateaux</t>
  </si>
  <si>
    <t>Baham</t>
  </si>
  <si>
    <t>Bakou</t>
  </si>
  <si>
    <t>Bamendjou</t>
  </si>
  <si>
    <t>Bana</t>
  </si>
  <si>
    <t>Bandja</t>
  </si>
  <si>
    <t>Ndé</t>
  </si>
  <si>
    <t>Bangangte</t>
  </si>
  <si>
    <t>Bangou</t>
  </si>
  <si>
    <t>Noun</t>
  </si>
  <si>
    <t>Bangourain</t>
  </si>
  <si>
    <t>Banka</t>
  </si>
  <si>
    <t>Banwa</t>
  </si>
  <si>
    <t>Bassamba</t>
  </si>
  <si>
    <t>Batcham</t>
  </si>
  <si>
    <t>Batie</t>
  </si>
  <si>
    <t>Koung-Khi</t>
  </si>
  <si>
    <t>Bayangam</t>
  </si>
  <si>
    <t>Bazou</t>
  </si>
  <si>
    <t>Djebem</t>
  </si>
  <si>
    <t>Menoua</t>
  </si>
  <si>
    <t>Dschang</t>
  </si>
  <si>
    <t>Fokoue</t>
  </si>
  <si>
    <t>Fongo-Tongo</t>
  </si>
  <si>
    <t>Foumban</t>
  </si>
  <si>
    <t>Foumbot</t>
  </si>
  <si>
    <t>Galim</t>
  </si>
  <si>
    <t>Kekem</t>
  </si>
  <si>
    <t>Kouoptamo</t>
  </si>
  <si>
    <t>Koutaba</t>
  </si>
  <si>
    <t>Magba</t>
  </si>
  <si>
    <t>Malantouen</t>
  </si>
  <si>
    <t>Massangam</t>
  </si>
  <si>
    <t>Mbouda</t>
  </si>
  <si>
    <t>Njimom</t>
  </si>
  <si>
    <t>Nkong-Zem</t>
  </si>
  <si>
    <t>Penka-Michel</t>
  </si>
  <si>
    <t>Poumougne</t>
  </si>
  <si>
    <t>Santchou</t>
  </si>
  <si>
    <t>Tonga</t>
  </si>
  <si>
    <t>Océan</t>
  </si>
  <si>
    <t>Akom 2</t>
  </si>
  <si>
    <t>Vallée-du-Ntem</t>
  </si>
  <si>
    <t>Ambam</t>
  </si>
  <si>
    <t>Dja-et-Lobo</t>
  </si>
  <si>
    <t>Bengbis</t>
  </si>
  <si>
    <t>Bipindi</t>
  </si>
  <si>
    <t>Mvila</t>
  </si>
  <si>
    <t>Biwong-Bane</t>
  </si>
  <si>
    <t>Biwong-Bulu</t>
  </si>
  <si>
    <t>Campo</t>
  </si>
  <si>
    <t>Djoum</t>
  </si>
  <si>
    <t>Ebolowa 1er</t>
  </si>
  <si>
    <t>Ebolowa 2e</t>
  </si>
  <si>
    <t>Efoulan</t>
  </si>
  <si>
    <t>Kribi 1er</t>
  </si>
  <si>
    <t>Kribi 2e</t>
  </si>
  <si>
    <t>Kye-Ossi</t>
  </si>
  <si>
    <t>Lokoundje</t>
  </si>
  <si>
    <t>Lolodorf</t>
  </si>
  <si>
    <t>Maan</t>
  </si>
  <si>
    <t>Mengong</t>
  </si>
  <si>
    <t>Meyomessala</t>
  </si>
  <si>
    <t>Meyomessi</t>
  </si>
  <si>
    <t>Mintom</t>
  </si>
  <si>
    <t>Mvangane</t>
  </si>
  <si>
    <t>Mvengue</t>
  </si>
  <si>
    <t>Ngoulemakong</t>
  </si>
  <si>
    <t>Niete</t>
  </si>
  <si>
    <t>Olamze</t>
  </si>
  <si>
    <t>Oveng</t>
  </si>
  <si>
    <t>Sangmelima</t>
  </si>
  <si>
    <t>Zoetele</t>
  </si>
  <si>
    <t>Manyu</t>
  </si>
  <si>
    <t>Akwaya</t>
  </si>
  <si>
    <t>Lebialem</t>
  </si>
  <si>
    <t>Alou</t>
  </si>
  <si>
    <t>Ndian</t>
  </si>
  <si>
    <t>Bamusso</t>
  </si>
  <si>
    <t>Kupe-Manenguba</t>
  </si>
  <si>
    <t>Bangem</t>
  </si>
  <si>
    <t>Fako</t>
  </si>
  <si>
    <t>Buea</t>
  </si>
  <si>
    <t>Dikome Balue</t>
  </si>
  <si>
    <t>Ekondo Titi</t>
  </si>
  <si>
    <t>Eyumodjock</t>
  </si>
  <si>
    <t>Menji</t>
  </si>
  <si>
    <t>Idabato</t>
  </si>
  <si>
    <t>Isanguele</t>
  </si>
  <si>
    <t>Kombo-Abedimo</t>
  </si>
  <si>
    <t>Kombo-Itindi</t>
  </si>
  <si>
    <t>Meme</t>
  </si>
  <si>
    <t>Konye</t>
  </si>
  <si>
    <t>Kumba 1st</t>
  </si>
  <si>
    <t>Kumba 2nd</t>
  </si>
  <si>
    <t>Kumba 3rd</t>
  </si>
  <si>
    <t>Limbe 1st</t>
  </si>
  <si>
    <t>Limbe 2nd</t>
  </si>
  <si>
    <t>Limbe 3rd</t>
  </si>
  <si>
    <t>Mamfé Central</t>
  </si>
  <si>
    <t>Mbonge</t>
  </si>
  <si>
    <t>Mundemba</t>
  </si>
  <si>
    <t>Muyuka</t>
  </si>
  <si>
    <t>Nguti</t>
  </si>
  <si>
    <t>Tiko</t>
  </si>
  <si>
    <t>Toko</t>
  </si>
  <si>
    <t>Tombel</t>
  </si>
  <si>
    <t>Upper Bayang</t>
  </si>
  <si>
    <t>Wabane</t>
  </si>
  <si>
    <t>West-Coast</t>
  </si>
  <si>
    <t>Level 1 ID</t>
  </si>
  <si>
    <t>Code</t>
  </si>
  <si>
    <t>List name</t>
  </si>
  <si>
    <t>Question Wording ENGLISH</t>
  </si>
  <si>
    <t>Question Wording Arabic</t>
  </si>
  <si>
    <t>IR</t>
  </si>
  <si>
    <t>LST-INTERVIEWEE-ROLE</t>
  </si>
  <si>
    <t>Manager</t>
  </si>
  <si>
    <t>Gérant</t>
  </si>
  <si>
    <t>Owner</t>
  </si>
  <si>
    <t>Propriétaire</t>
  </si>
  <si>
    <t>Autre</t>
  </si>
  <si>
    <t>CO</t>
  </si>
  <si>
    <t>LST-CONTINUE</t>
  </si>
  <si>
    <t>YES - Continue with the survey</t>
  </si>
  <si>
    <t>Oui - Poursuivre l'entretien</t>
  </si>
  <si>
    <t>NO - Appointment</t>
  </si>
  <si>
    <t>Non - Prise de rendez-vous</t>
  </si>
  <si>
    <t>NO - Refused</t>
  </si>
  <si>
    <t>Non - Refus</t>
  </si>
  <si>
    <t>NO - Closed</t>
  </si>
  <si>
    <t>Non - Fermé</t>
  </si>
  <si>
    <t>SEG</t>
  </si>
  <si>
    <t>LST-SEGMENT</t>
  </si>
  <si>
    <t>To consumers</t>
  </si>
  <si>
    <t>Aux consommateurs</t>
  </si>
  <si>
    <t>To other retailers</t>
  </si>
  <si>
    <t>Aux autres points de vente</t>
  </si>
  <si>
    <t>DIS</t>
  </si>
  <si>
    <t>LST-PER-DISTRIBUTION</t>
  </si>
  <si>
    <t>% Distributor</t>
  </si>
  <si>
    <t>Less than 10%</t>
  </si>
  <si>
    <t>Moins de 10%</t>
  </si>
  <si>
    <t>Between 10 - 20%</t>
  </si>
  <si>
    <t>Entre 10 - 20%</t>
  </si>
  <si>
    <t>Between 20 - 30%</t>
  </si>
  <si>
    <t>Entre 20 - 30%</t>
  </si>
  <si>
    <t>Between 30 - 40%</t>
  </si>
  <si>
    <t>Entre 30 - 40%</t>
  </si>
  <si>
    <t>Between 40 - 50%</t>
  </si>
  <si>
    <t>Entre 40 - 50%</t>
  </si>
  <si>
    <t>SUS</t>
  </si>
  <si>
    <t>LST-SUPPLIER-SUPPORT</t>
  </si>
  <si>
    <t>Price</t>
  </si>
  <si>
    <t>Prix</t>
  </si>
  <si>
    <t>Promotion</t>
  </si>
  <si>
    <t>Relationship</t>
  </si>
  <si>
    <t>Relationnel</t>
  </si>
  <si>
    <t>Fast &amp; effective delivery</t>
  </si>
  <si>
    <t>Livraison rapide &amp; efficace</t>
  </si>
  <si>
    <t>Availability</t>
  </si>
  <si>
    <t>Disponibilité</t>
  </si>
  <si>
    <t>Activation (activities,materials and equipment)</t>
  </si>
  <si>
    <t>Activation (activités,materiels et équipements)</t>
  </si>
  <si>
    <t>Merchandising</t>
  </si>
  <si>
    <t>Proximity</t>
  </si>
  <si>
    <t>Proximité</t>
  </si>
  <si>
    <t>Assortment</t>
  </si>
  <si>
    <t>Assortiment</t>
  </si>
  <si>
    <t>Quality</t>
  </si>
  <si>
    <t>Qualité</t>
  </si>
  <si>
    <t>Multiple</t>
  </si>
  <si>
    <t>SUP</t>
  </si>
  <si>
    <t>LST-VISIBLEBRAND</t>
  </si>
  <si>
    <t>ITG</t>
  </si>
  <si>
    <t>SNTA</t>
  </si>
  <si>
    <t>Other Branded</t>
  </si>
  <si>
    <t>M-125</t>
  </si>
  <si>
    <t>Digital Apps</t>
  </si>
  <si>
    <t>D-10 ... D-50</t>
  </si>
  <si>
    <t>SOUR</t>
  </si>
  <si>
    <t>LST-SOURCE</t>
  </si>
  <si>
    <t>Cigarette Sources (update)</t>
  </si>
  <si>
    <t>Never in my assortment</t>
  </si>
  <si>
    <t>Produit non disponible dans mon assortiment</t>
  </si>
  <si>
    <t>Wholesaler Delivery</t>
  </si>
  <si>
    <t>Livraison du grossiste</t>
  </si>
  <si>
    <t>Wholelsaler Pick-up</t>
  </si>
  <si>
    <t>Collecte chez le grossiste</t>
  </si>
  <si>
    <t>Semi-Wholesaler Delivery</t>
  </si>
  <si>
    <t>Livraison du semi-grossiste</t>
  </si>
  <si>
    <t>Semi-Wholesaler Pick-up</t>
  </si>
  <si>
    <t>Collecte chez le semi-grossiste</t>
  </si>
  <si>
    <t>Retailer (supermarket, ect) pick-up</t>
  </si>
  <si>
    <t>Achat chez les detaillants (Boutique, Supermarché, ....)</t>
  </si>
  <si>
    <t>Trade and Marketing rep top up sales</t>
  </si>
  <si>
    <t>Vente directe des délégues commerciaux</t>
  </si>
  <si>
    <t>multi-brand saler</t>
  </si>
  <si>
    <t>Vendeur multicarde</t>
  </si>
  <si>
    <t xml:space="preserve">Distributor / Sub Distributor </t>
  </si>
  <si>
    <t>Distributeur / Sous distributeur</t>
  </si>
  <si>
    <t>D-11….D-51</t>
  </si>
  <si>
    <t>TYPE</t>
  </si>
  <si>
    <t>LST-ORDER-METHODE</t>
  </si>
  <si>
    <t>Phone In</t>
  </si>
  <si>
    <t>Appel téléphonique</t>
  </si>
  <si>
    <t>Collection</t>
  </si>
  <si>
    <t>Collecte</t>
  </si>
  <si>
    <t>While Visiting</t>
  </si>
  <si>
    <t>Pendant la visite</t>
  </si>
  <si>
    <t xml:space="preserve">Pre-Order </t>
  </si>
  <si>
    <t>Pre-commande</t>
  </si>
  <si>
    <t>Alotau Enterprises</t>
  </si>
  <si>
    <t>Andersons Foodland - Kpo</t>
  </si>
  <si>
    <t>Andersons Foodland Lae</t>
  </si>
  <si>
    <t>Auskoa Limited</t>
  </si>
  <si>
    <t>SR</t>
  </si>
  <si>
    <t>LST-SALES-REPS-DYN</t>
  </si>
  <si>
    <t>Sales Rep</t>
  </si>
  <si>
    <t>JTI (Aspen, Winston)</t>
  </si>
  <si>
    <t>BAT (B&amp;H, L&amp;B, Rothmans, Diplomat)</t>
  </si>
  <si>
    <t>PMI (Marlboro)?</t>
  </si>
  <si>
    <t>Oriental (Gold Seal, Oris, D&amp;J)</t>
  </si>
  <si>
    <t>Oriental  (Gold Seal, Oris, D&amp;J)</t>
  </si>
  <si>
    <t>KT&amp;G (Esse, Time)</t>
  </si>
  <si>
    <t xml:space="preserve">Other </t>
  </si>
  <si>
    <t>D-101 … D-109</t>
  </si>
  <si>
    <t>VF</t>
  </si>
  <si>
    <t>LST-VISIT-FREQUENCY</t>
  </si>
  <si>
    <t>Less than once per month</t>
  </si>
  <si>
    <t>Moins d'une fois par mois</t>
  </si>
  <si>
    <t>Once a month</t>
  </si>
  <si>
    <t>Une fois par mois</t>
  </si>
  <si>
    <t xml:space="preserve">Once every 2 weeks </t>
  </si>
  <si>
    <t>Une fois toute les 2 semaines</t>
  </si>
  <si>
    <t>Once a week or more</t>
  </si>
  <si>
    <t xml:space="preserve">Une fois ou plus par semaine </t>
  </si>
  <si>
    <t>M-103</t>
  </si>
  <si>
    <t>LST-TRADE-LICENSE</t>
  </si>
  <si>
    <t>Trading License</t>
  </si>
  <si>
    <t>Provincial License</t>
  </si>
  <si>
    <t>Licence Provinciale</t>
  </si>
  <si>
    <t>National License</t>
  </si>
  <si>
    <t>Licence Nationale</t>
  </si>
  <si>
    <t>No License</t>
  </si>
  <si>
    <t>Pas de Licence</t>
  </si>
  <si>
    <t>REG</t>
  </si>
  <si>
    <t>LST-REGION-DYN</t>
  </si>
  <si>
    <t>Center</t>
  </si>
  <si>
    <t xml:space="preserve">Centre </t>
  </si>
  <si>
    <t>CAT</t>
  </si>
  <si>
    <t>LST-PRODUCT-CATEGORIES</t>
  </si>
  <si>
    <t>CATEGORIES</t>
  </si>
  <si>
    <t>Tobacco (in Packs)</t>
  </si>
  <si>
    <t>Tabac (Packs)</t>
  </si>
  <si>
    <t>Tobacco (in Bundle)</t>
  </si>
  <si>
    <t>Tabac (Bundle)</t>
  </si>
  <si>
    <t>Tobacco WHOLESALER (in Master Case)</t>
  </si>
  <si>
    <t>Grossiste de Tabac ()</t>
  </si>
  <si>
    <t>Shisa (in Kg)</t>
  </si>
  <si>
    <t>Shisha (Kg)</t>
  </si>
  <si>
    <t>Evapes</t>
  </si>
  <si>
    <t>Vapoteurs</t>
  </si>
  <si>
    <t>Electronic cigarettes</t>
  </si>
  <si>
    <t>Cigarettes Electronique</t>
  </si>
  <si>
    <t>LBL-PRODUCT-CAT-UNITS</t>
  </si>
  <si>
    <t>CAT-UNITS</t>
  </si>
  <si>
    <t>Packs</t>
  </si>
  <si>
    <t>Paquet</t>
  </si>
  <si>
    <t>Bundle</t>
  </si>
  <si>
    <t>Cartouche/grosse</t>
  </si>
  <si>
    <t>Master Case</t>
  </si>
  <si>
    <t>Carton</t>
  </si>
  <si>
    <t>Stick</t>
  </si>
  <si>
    <t>Tige/baton</t>
  </si>
  <si>
    <t>RUR</t>
  </si>
  <si>
    <t>LST-LOCATION-TYPE</t>
  </si>
  <si>
    <t>LOCATION-TYPE</t>
  </si>
  <si>
    <t>Rural</t>
  </si>
  <si>
    <t>Urban</t>
  </si>
  <si>
    <t>Urbain</t>
  </si>
  <si>
    <t>RET</t>
  </si>
  <si>
    <t>LST-SEGMENT-RETAIL-CHANNEL</t>
  </si>
  <si>
    <t>RETAILER CHANNEL</t>
  </si>
  <si>
    <t>Shop</t>
  </si>
  <si>
    <t>Boutique</t>
  </si>
  <si>
    <t>Kiosk</t>
  </si>
  <si>
    <t xml:space="preserve">Kiosque </t>
  </si>
  <si>
    <t>Apron</t>
  </si>
  <si>
    <t>Tablier</t>
  </si>
  <si>
    <t>Supermarket</t>
  </si>
  <si>
    <t>Super marché</t>
  </si>
  <si>
    <t>Fuel station</t>
  </si>
  <si>
    <t>Station service</t>
  </si>
  <si>
    <t>Bar (Snack Bar, Bar)</t>
  </si>
  <si>
    <t>Cave</t>
  </si>
  <si>
    <t>Bakery</t>
  </si>
  <si>
    <t>Boulangerie</t>
  </si>
  <si>
    <t>Tobacconit</t>
  </si>
  <si>
    <t>WHO</t>
  </si>
  <si>
    <t>LST-SEGMENT-WHOLESALER-CHANNEL</t>
  </si>
  <si>
    <t>WHOLESALER CHANNEL</t>
  </si>
  <si>
    <t>Wholesaler</t>
  </si>
  <si>
    <t>Grossiste</t>
  </si>
  <si>
    <t>Semi-wholesaler</t>
  </si>
  <si>
    <t>Semi-Grossiste</t>
  </si>
  <si>
    <t>WCU</t>
  </si>
  <si>
    <t>LST-SEGMENT-WHOLESALER-CUSTOMER</t>
  </si>
  <si>
    <t>WHOLESALER CUSTOMER</t>
  </si>
  <si>
    <t>VBR</t>
  </si>
  <si>
    <t>LST-BRAND</t>
  </si>
  <si>
    <t>BRAND</t>
  </si>
  <si>
    <t>Aspen</t>
  </si>
  <si>
    <t>Winston</t>
  </si>
  <si>
    <t>Marlboro</t>
  </si>
  <si>
    <t>B&amp;H</t>
  </si>
  <si>
    <t>L&amp;B</t>
  </si>
  <si>
    <t>Rothmans</t>
  </si>
  <si>
    <t>Diplomat</t>
  </si>
  <si>
    <t>Gold Seal</t>
  </si>
  <si>
    <t>Oris</t>
  </si>
  <si>
    <t>D&amp;J</t>
  </si>
  <si>
    <t>Time</t>
  </si>
  <si>
    <t>Vega</t>
  </si>
  <si>
    <t xml:space="preserve"> </t>
  </si>
  <si>
    <t>Answer Options</t>
  </si>
  <si>
    <t>MULTIPLE SELECTION (min 1, max 2)</t>
  </si>
  <si>
    <t>MULTIPLE SELECTION (min 1, max 3)</t>
  </si>
  <si>
    <t>GPS</t>
  </si>
  <si>
    <t>IFUQ-10</t>
  </si>
  <si>
    <t>Channel Type</t>
  </si>
  <si>
    <t>On-Trade</t>
  </si>
  <si>
    <t>Off-Trade</t>
  </si>
  <si>
    <t>Distributor</t>
  </si>
  <si>
    <t>IFUQ-20</t>
  </si>
  <si>
    <t>Interviewee Role</t>
  </si>
  <si>
    <t>Bartender</t>
  </si>
  <si>
    <t>Consumer</t>
  </si>
  <si>
    <t>IFUQ-40</t>
  </si>
  <si>
    <t>VFUQ-10</t>
  </si>
  <si>
    <t xml:space="preserve">Gender </t>
  </si>
  <si>
    <t xml:space="preserve">Male
</t>
  </si>
  <si>
    <t>Female</t>
  </si>
  <si>
    <t>VFUQ-20</t>
  </si>
  <si>
    <t>Age Group</t>
  </si>
  <si>
    <t>18-24</t>
  </si>
  <si>
    <t>25-34</t>
  </si>
  <si>
    <t>35-44</t>
  </si>
  <si>
    <t>45+</t>
  </si>
  <si>
    <t>VFUQ-30</t>
  </si>
  <si>
    <t>Professional Group</t>
  </si>
  <si>
    <t>Employees or Students</t>
  </si>
  <si>
    <t>Business People</t>
  </si>
  <si>
    <t>Government</t>
  </si>
  <si>
    <t>Expat</t>
  </si>
  <si>
    <t>All of the above</t>
  </si>
  <si>
    <t>VFUQ-50</t>
  </si>
  <si>
    <t>Educational Level</t>
  </si>
  <si>
    <t>No diploma</t>
  </si>
  <si>
    <t>High School</t>
  </si>
  <si>
    <t>Higher</t>
  </si>
  <si>
    <t>VFUQ-60</t>
  </si>
  <si>
    <t>Purchasing Power</t>
  </si>
  <si>
    <t>Low</t>
  </si>
  <si>
    <t>Medium</t>
  </si>
  <si>
    <t>High</t>
  </si>
  <si>
    <t>VFUQ-90</t>
  </si>
  <si>
    <t>Busiest Hours</t>
  </si>
  <si>
    <t>9am-11am</t>
  </si>
  <si>
    <t>11am-5pm</t>
  </si>
  <si>
    <t>5pm-9pm</t>
  </si>
  <si>
    <t>9pm-1am</t>
  </si>
  <si>
    <t>1am-5am</t>
  </si>
  <si>
    <t>VFUQ-100 VFUQ-150</t>
  </si>
  <si>
    <t>Days of week</t>
  </si>
  <si>
    <t>Monday</t>
  </si>
  <si>
    <t>Tuesday</t>
  </si>
  <si>
    <t>Wednesday</t>
  </si>
  <si>
    <t>Thursday</t>
  </si>
  <si>
    <t>Friday</t>
  </si>
  <si>
    <t>Saturday</t>
  </si>
  <si>
    <t>Sunday</t>
  </si>
  <si>
    <t>VFUQ-110</t>
  </si>
  <si>
    <t>Months</t>
  </si>
  <si>
    <t>January</t>
  </si>
  <si>
    <t>February</t>
  </si>
  <si>
    <t>March</t>
  </si>
  <si>
    <t>April</t>
  </si>
  <si>
    <t>May</t>
  </si>
  <si>
    <t>June</t>
  </si>
  <si>
    <t>July</t>
  </si>
  <si>
    <t>August</t>
  </si>
  <si>
    <t>September</t>
  </si>
  <si>
    <t>October</t>
  </si>
  <si>
    <t>November</t>
  </si>
  <si>
    <t>December</t>
  </si>
  <si>
    <t>VFUQ-130</t>
  </si>
  <si>
    <t>Outlet Age</t>
  </si>
  <si>
    <t>Less than 1 month</t>
  </si>
  <si>
    <t>1 to 6 months</t>
  </si>
  <si>
    <t>6 months to 1 Year</t>
  </si>
  <si>
    <t>1 to 3 years</t>
  </si>
  <si>
    <t>3 to 10 years</t>
  </si>
  <si>
    <t>Over 10 years</t>
  </si>
  <si>
    <t>VFUQ-140</t>
  </si>
  <si>
    <t>Visit Time</t>
  </si>
  <si>
    <t>First time</t>
  </si>
  <si>
    <t xml:space="preserve">First month </t>
  </si>
  <si>
    <t>Between 1-12 months</t>
  </si>
  <si>
    <t>More than a year</t>
  </si>
  <si>
    <t>VFUQ-160</t>
  </si>
  <si>
    <t>Daily</t>
  </si>
  <si>
    <t xml:space="preserve">Multiple times per week </t>
  </si>
  <si>
    <t>Weekly</t>
  </si>
  <si>
    <t>Once every 2 weeks</t>
  </si>
  <si>
    <t>Monthly</t>
  </si>
  <si>
    <t>Occassionally</t>
  </si>
  <si>
    <t>VFUQ-170</t>
  </si>
  <si>
    <t>Visit Company</t>
  </si>
  <si>
    <t>Alone</t>
  </si>
  <si>
    <t>Friends</t>
  </si>
  <si>
    <t>Colleagues</t>
  </si>
  <si>
    <t>Family</t>
  </si>
  <si>
    <t>VFUQ-180</t>
  </si>
  <si>
    <t>Hobbies</t>
  </si>
  <si>
    <t>Politics</t>
  </si>
  <si>
    <t xml:space="preserve">Sports </t>
  </si>
  <si>
    <t>Music</t>
  </si>
  <si>
    <t>Culture</t>
  </si>
  <si>
    <t>Travel</t>
  </si>
  <si>
    <t>VFUQ-190</t>
  </si>
  <si>
    <t>Household Build Up</t>
  </si>
  <si>
    <t xml:space="preserve"> Alone</t>
  </si>
  <si>
    <t xml:space="preserve"> Partner</t>
  </si>
  <si>
    <t xml:space="preserve"> Children</t>
  </si>
  <si>
    <t xml:space="preserve"> Friends</t>
  </si>
  <si>
    <t>VFUQ-240</t>
  </si>
  <si>
    <t>Visit Reasons</t>
  </si>
  <si>
    <t>Atmosphere</t>
  </si>
  <si>
    <t>To meet people</t>
  </si>
  <si>
    <t>Service</t>
  </si>
  <si>
    <t>Food</t>
  </si>
  <si>
    <t>Image</t>
  </si>
  <si>
    <t>Dancing</t>
  </si>
  <si>
    <t>Security</t>
  </si>
  <si>
    <t>To watch sports</t>
  </si>
  <si>
    <t>Wifi</t>
  </si>
  <si>
    <t>VFUQ-250</t>
  </si>
  <si>
    <t>Shopping Type</t>
  </si>
  <si>
    <t>Replenish</t>
  </si>
  <si>
    <t>Impulse</t>
  </si>
  <si>
    <t>VFUQ-270</t>
  </si>
  <si>
    <t>Beer Reasons</t>
  </si>
  <si>
    <t>Refreshment</t>
  </si>
  <si>
    <t>I like the taste</t>
  </si>
  <si>
    <t>Fashionable</t>
  </si>
  <si>
    <t>Low alcohol content</t>
  </si>
  <si>
    <t>Easy to find</t>
  </si>
  <si>
    <t>Other (namely)</t>
  </si>
  <si>
    <t>VFUQ-280</t>
  </si>
  <si>
    <t>Beer NOT Reasons</t>
  </si>
  <si>
    <t>I don't like alcohol</t>
  </si>
  <si>
    <t>I don't like the taste</t>
  </si>
  <si>
    <t>It doesn't suit me</t>
  </si>
  <si>
    <t>Religion</t>
  </si>
  <si>
    <t>VFUQ-290</t>
  </si>
  <si>
    <t>Beer WHO</t>
  </si>
  <si>
    <t>Yourself</t>
  </si>
  <si>
    <t>Partner</t>
  </si>
  <si>
    <t>VFUQ-300</t>
  </si>
  <si>
    <t>Beer WHAT</t>
  </si>
  <si>
    <t>BINTANG</t>
  </si>
  <si>
    <t>HEINEKEN</t>
  </si>
  <si>
    <t>ANKER</t>
  </si>
  <si>
    <t>BALI HAI PREMIUM</t>
  </si>
  <si>
    <t>CARLSBERG</t>
  </si>
  <si>
    <t>GUINNES</t>
  </si>
  <si>
    <t>PROST</t>
  </si>
  <si>
    <t>PROST ALSTER</t>
  </si>
  <si>
    <t>SAN MIG LIGHT</t>
  </si>
  <si>
    <t>SAN MIGUEL</t>
  </si>
  <si>
    <t>SINGARAJA</t>
  </si>
  <si>
    <t>STRONGBOW</t>
  </si>
  <si>
    <t>TRADEWIND</t>
  </si>
  <si>
    <t>VFUQ-310</t>
  </si>
  <si>
    <t>Beer WHY</t>
  </si>
  <si>
    <t>Taste</t>
  </si>
  <si>
    <t>VFUQ-340</t>
  </si>
  <si>
    <t>Alcohol Content</t>
  </si>
  <si>
    <t>Yes, 0%</t>
  </si>
  <si>
    <t>Yes, 0.5-3%</t>
  </si>
  <si>
    <t>Yes, 3-5%</t>
  </si>
  <si>
    <t>Yes, more than 5%</t>
  </si>
  <si>
    <t>VFUQ-360</t>
  </si>
  <si>
    <t>Beer NEXT</t>
  </si>
  <si>
    <t>Ask for it</t>
  </si>
  <si>
    <t>Take another beer</t>
  </si>
  <si>
    <t>Go to another outlet</t>
  </si>
  <si>
    <t>Not buy beer</t>
  </si>
  <si>
    <t>VFUQ-390</t>
  </si>
  <si>
    <t>Promotions</t>
  </si>
  <si>
    <t>Price reductions/discounts</t>
  </si>
  <si>
    <t>BOGOF (Buy One Get One Free)</t>
  </si>
  <si>
    <t>Free Gift</t>
  </si>
  <si>
    <t>Raffle Draw</t>
  </si>
  <si>
    <t>VFUQ-440</t>
  </si>
  <si>
    <t>Beer Services</t>
  </si>
  <si>
    <t>Relatnionship</t>
  </si>
  <si>
    <t>VFUQ-460</t>
  </si>
  <si>
    <t>Beer Sales Help</t>
  </si>
  <si>
    <t>Packaging</t>
  </si>
  <si>
    <t>Cold availability</t>
  </si>
  <si>
    <t>VFUQ-470</t>
  </si>
  <si>
    <t>Activations</t>
  </si>
  <si>
    <t>Price reductions</t>
  </si>
  <si>
    <t>Lottery</t>
  </si>
  <si>
    <t>VFUQ-480</t>
  </si>
  <si>
    <t>Beer Supplier Relationship</t>
  </si>
  <si>
    <t xml:space="preserve"> Reliability 2</t>
  </si>
  <si>
    <t xml:space="preserve"> Complaint handling 3</t>
  </si>
  <si>
    <t xml:space="preserve"> Long term relationships</t>
  </si>
  <si>
    <t>VFUQ-500</t>
  </si>
  <si>
    <t>Beer ALTERNATIVES</t>
  </si>
  <si>
    <t>Soft drinks</t>
  </si>
  <si>
    <t>Spirits</t>
  </si>
  <si>
    <t>Juice or Water</t>
  </si>
  <si>
    <t>Cocktails</t>
  </si>
  <si>
    <t>Wine</t>
  </si>
  <si>
    <t>Champagne</t>
  </si>
  <si>
    <t>VFUQ-520</t>
  </si>
  <si>
    <t>Bottles</t>
  </si>
  <si>
    <t>Can</t>
  </si>
  <si>
    <t>VFUQ-530</t>
  </si>
  <si>
    <t>Size</t>
  </si>
  <si>
    <t>33CL</t>
  </si>
  <si>
    <t>50CL</t>
  </si>
  <si>
    <t>VFUQ-540</t>
  </si>
  <si>
    <t>Temperature</t>
  </si>
  <si>
    <t>Warm</t>
  </si>
  <si>
    <t>Cold</t>
  </si>
  <si>
    <t>VFUQ-640</t>
  </si>
  <si>
    <t>Length of Stay</t>
  </si>
  <si>
    <t xml:space="preserve">1 hour </t>
  </si>
  <si>
    <t xml:space="preserve">2 hours </t>
  </si>
  <si>
    <t xml:space="preserve">3 hours </t>
  </si>
  <si>
    <t xml:space="preserve">4 hours </t>
  </si>
  <si>
    <t xml:space="preserve">5 hours </t>
  </si>
  <si>
    <t>Longer</t>
  </si>
  <si>
    <t>VFUQ-650</t>
  </si>
  <si>
    <t>Locations Before/After</t>
  </si>
  <si>
    <t>Work</t>
  </si>
  <si>
    <t>Home</t>
  </si>
  <si>
    <t>Restaurant</t>
  </si>
  <si>
    <t>Other Bar</t>
  </si>
  <si>
    <t>Sports</t>
  </si>
  <si>
    <t>Shopping</t>
  </si>
  <si>
    <t>VFUQ-670</t>
  </si>
  <si>
    <t>Outlet Activities</t>
  </si>
  <si>
    <t xml:space="preserve"> Talk </t>
  </si>
  <si>
    <t xml:space="preserve"> Dance </t>
  </si>
  <si>
    <t xml:space="preserve"> Relax </t>
  </si>
  <si>
    <t xml:space="preserve"> Watching Sport </t>
  </si>
  <si>
    <t xml:space="preserve"> Business Meeting</t>
  </si>
  <si>
    <t>VFUQ-680</t>
  </si>
  <si>
    <t>Sit/Stand</t>
  </si>
  <si>
    <t xml:space="preserve"> Sitting</t>
  </si>
  <si>
    <t xml:space="preserve"> Standing </t>
  </si>
  <si>
    <t>VFUQ-690</t>
  </si>
  <si>
    <t>Order Method</t>
  </si>
  <si>
    <t>From the counter or bar</t>
  </si>
  <si>
    <t>Seated</t>
  </si>
  <si>
    <t>VFUQ-700</t>
  </si>
  <si>
    <t>Most Purchased Drink</t>
  </si>
  <si>
    <t>Beer</t>
  </si>
  <si>
    <t>Soft Drinks</t>
  </si>
  <si>
    <t>VFUQ-710</t>
  </si>
  <si>
    <t>SKU Type</t>
  </si>
  <si>
    <t>25cl</t>
  </si>
  <si>
    <t>33cl</t>
  </si>
  <si>
    <t>50cl</t>
  </si>
  <si>
    <t>VFUQ-730</t>
  </si>
  <si>
    <t>Order WHOM</t>
  </si>
  <si>
    <t>Themselves</t>
  </si>
  <si>
    <t>Group</t>
  </si>
  <si>
    <t>The person they came with</t>
  </si>
  <si>
    <t>VFUQ-750</t>
  </si>
  <si>
    <t>Order Purchase</t>
  </si>
  <si>
    <t>Fixed days of the week</t>
  </si>
  <si>
    <t>Out of stock</t>
  </si>
  <si>
    <t>VFUQ-770</t>
  </si>
  <si>
    <t>Roles</t>
  </si>
  <si>
    <t>Procurement Manager</t>
  </si>
  <si>
    <t>VFUQ-790</t>
  </si>
  <si>
    <t>Delivery Duration</t>
  </si>
  <si>
    <t> 1</t>
  </si>
  <si>
    <t xml:space="preserve"> Same day</t>
  </si>
  <si>
    <t xml:space="preserve"> Next day </t>
  </si>
  <si>
    <t xml:space="preserve"> Couple of days </t>
  </si>
  <si>
    <t xml:space="preserve"> Next week </t>
  </si>
  <si>
    <t xml:space="preserve"> Later  </t>
  </si>
  <si>
    <t>other</t>
  </si>
  <si>
    <t>Destinations</t>
  </si>
  <si>
    <t>Soft Drink brands</t>
  </si>
  <si>
    <t>GREENSANDS</t>
  </si>
  <si>
    <t>BINTANG ZERO</t>
  </si>
  <si>
    <t>FAYROUZ</t>
  </si>
  <si>
    <t>COCA COLA</t>
  </si>
  <si>
    <t>COCA COLA ZERO</t>
  </si>
  <si>
    <t>DIET COKE</t>
  </si>
  <si>
    <t>FANTA</t>
  </si>
  <si>
    <t>SPRITE</t>
  </si>
  <si>
    <t>BIG COLA</t>
  </si>
  <si>
    <t>BINTANG RADLER 0.0%</t>
  </si>
  <si>
    <t>Supplier Services</t>
  </si>
  <si>
    <t>Always having stock</t>
  </si>
  <si>
    <t>Always good quality</t>
  </si>
  <si>
    <t>Fast &amp; Effective delivery</t>
  </si>
  <si>
    <t>Business advice</t>
  </si>
  <si>
    <t>DFUQ-50</t>
  </si>
  <si>
    <t>Responsibility</t>
  </si>
  <si>
    <t xml:space="preserve"> cash collecting</t>
  </si>
  <si>
    <t xml:space="preserve"> order taking </t>
  </si>
  <si>
    <t>DFUQ-80</t>
  </si>
  <si>
    <t>Order Methods</t>
  </si>
  <si>
    <t xml:space="preserve"> phone in </t>
  </si>
  <si>
    <t xml:space="preserve"> collection</t>
  </si>
  <si>
    <t xml:space="preserve"> while visiting</t>
  </si>
  <si>
    <t xml:space="preserve"> active selling</t>
  </si>
  <si>
    <t>QUESTION WORDING __</t>
  </si>
  <si>
    <t>IFUQ-1</t>
  </si>
  <si>
    <t>Auto Filled</t>
  </si>
  <si>
    <t xml:space="preserve">Confirm the channel that you are in </t>
  </si>
  <si>
    <t>If IFQ</t>
  </si>
  <si>
    <t>IFUQ-30</t>
  </si>
  <si>
    <t>I-10=ON or I-10=OFF</t>
  </si>
  <si>
    <t>INTRODUCTION: My name is .… A colleague of mine has recently visited you to collect information regarding a Trade Census. I would like to have follow-up qualititative survey withyourself and a small number of your consumers. The objective is to assist the company to better understand the market and eventually improve service to you and your consumers</t>
  </si>
  <si>
    <t>IFUQ-31</t>
  </si>
  <si>
    <t>i-10=RTM</t>
  </si>
  <si>
    <t>INTRODUCTION: My name is ... A colleague of mine has recently visited you to collect information regarding a Trade Census. I would like to have follow-up qualitative survey with yourself. The objective is to assist the company to better understand the distribution landscape, your needs and eventually improve service to you.</t>
  </si>
  <si>
    <t>IFUQ-32</t>
  </si>
  <si>
    <t>I-10=ON or I-10=OFF and IFUQ-20=C</t>
  </si>
  <si>
    <t xml:space="preserve">INTRODUCTION: My name is .… Our company is operating a market research analysis. The objective is to assist the company to better understand the market and the consummers. We would like to ask you a few questions as a consumer within this outlet, we will only take a few minutes of your time. </t>
  </si>
  <si>
    <t>Comments</t>
  </si>
  <si>
    <t>REPORTING LABEL</t>
  </si>
  <si>
    <t>NOTES</t>
  </si>
  <si>
    <t>Section Situation (header on multiple pages)</t>
  </si>
  <si>
    <t>(IFUQ-10=1 or2) and (IFUQ-20=C)</t>
  </si>
  <si>
    <t>Which gender is mostly represented in this outlet?</t>
  </si>
  <si>
    <t>Gender</t>
  </si>
  <si>
    <t>Observational</t>
  </si>
  <si>
    <t>Which age group is mostly represented in this outlet?</t>
  </si>
  <si>
    <t>Which professional group is mostly represented in this outlet?</t>
  </si>
  <si>
    <t>VFUQ-40</t>
  </si>
  <si>
    <t>What nationality is mostly present in this outlet?</t>
  </si>
  <si>
    <t>Which educational level is mostly represented in this outlet?</t>
  </si>
  <si>
    <t>(IFUQ-10=1 or2) and (IFUQ-20 != C)</t>
  </si>
  <si>
    <t>What is the purchasing power of the consumer</t>
  </si>
  <si>
    <t>VFUQ-70</t>
  </si>
  <si>
    <t>Gender of the manager?</t>
  </si>
  <si>
    <t>VFUQ-80</t>
  </si>
  <si>
    <t>Age group of the manager?</t>
  </si>
  <si>
    <t>What are the busiest hours of operation for you?</t>
  </si>
  <si>
    <t>Asked</t>
  </si>
  <si>
    <t>VFUQ-100</t>
  </si>
  <si>
    <t>What are the busiest days of the week?</t>
  </si>
  <si>
    <t>Days of the Week</t>
  </si>
  <si>
    <t>What are the busiest months of the year?</t>
  </si>
  <si>
    <t>VFUQ-120</t>
  </si>
  <si>
    <t>How many staff do you have working for your business?</t>
  </si>
  <si>
    <t>How old is this outlet?</t>
  </si>
  <si>
    <t>How long have you been visiting this outlet?</t>
  </si>
  <si>
    <t>VFUQ-150</t>
  </si>
  <si>
    <t>Which day(s) do you visit this type of outlet normally?</t>
  </si>
  <si>
    <t>See Days of the Week</t>
  </si>
  <si>
    <t>How frequent do you visit this outlet normally?</t>
  </si>
  <si>
    <t>In what company do you visit this outlet normally?</t>
  </si>
  <si>
    <t>What are your main interests/ hobbies</t>
  </si>
  <si>
    <t>What is the build up of your household?</t>
  </si>
  <si>
    <t>VFUQ-200</t>
  </si>
  <si>
    <t>Is there an exterior area?</t>
  </si>
  <si>
    <t>VFUQ-210</t>
  </si>
  <si>
    <t>(IFUQ-10=1 or2) and (IFUQ-20 != C)
and VFUQ-200 = Y</t>
  </si>
  <si>
    <t>Is it bigger than the interior area?</t>
  </si>
  <si>
    <t>VFUQ-220</t>
  </si>
  <si>
    <t>How many fridges are there here in the outlet?</t>
  </si>
  <si>
    <t>VFUQ-230</t>
  </si>
  <si>
    <t>How many are used to stock beer?</t>
  </si>
  <si>
    <t>Section Motivation (header on multiple pages)</t>
  </si>
  <si>
    <t>(IFUQ-10=1) and (IFUQ-20 = C)</t>
  </si>
  <si>
    <t>For which main reasons do you visit this outlet?</t>
  </si>
  <si>
    <t>(IFUQ-10=2) and (IFUQ-20 = C)</t>
  </si>
  <si>
    <t>What type of shopping are you doing?</t>
  </si>
  <si>
    <t>VFUQ-260</t>
  </si>
  <si>
    <t>(IFUQ-10=1 or2) and (IFUQ-20 = C)</t>
  </si>
  <si>
    <t>Do you drink beer?</t>
  </si>
  <si>
    <t>(IFUQ-10=1 or2) and (IFUQ-20 = C) and (VFUQ-260=Y)</t>
  </si>
  <si>
    <t>Why do you drink beer?</t>
  </si>
  <si>
    <t>(IFUQ-10=1 or2) and (IFUQ-20 = C) and (VFUQ-260=N)</t>
  </si>
  <si>
    <t>Why do you NOT drink beer?</t>
  </si>
  <si>
    <t>(IFUQ-10=2) and (IFUQ-20=C)</t>
  </si>
  <si>
    <t>Who do you buy beer for?</t>
  </si>
  <si>
    <t>What beer is most important to you?</t>
  </si>
  <si>
    <t>What is the main reason for you to drink beer?</t>
  </si>
  <si>
    <t>VFUQ-320</t>
  </si>
  <si>
    <t>Will you drink other beers?</t>
  </si>
  <si>
    <t>VFUQ-330</t>
  </si>
  <si>
    <t>Is the price of beer important to you?</t>
  </si>
  <si>
    <t>Is alcohol content in beer important to you? If yes what is you ideal % content ?</t>
  </si>
  <si>
    <t>VFUQ-350</t>
  </si>
  <si>
    <t>Do you check the price of beer before ordering/ buying?</t>
  </si>
  <si>
    <t>If you do not see your favorite beer, will you…?</t>
  </si>
  <si>
    <t>VFUQ-370</t>
  </si>
  <si>
    <t>Can the personel influence you order / purchase?</t>
  </si>
  <si>
    <t>VFUQ-380</t>
  </si>
  <si>
    <t>Do you like promotions?</t>
  </si>
  <si>
    <t>What type of promotions would influence you to buy a brand? (ON)</t>
  </si>
  <si>
    <t>VFUQ-400</t>
  </si>
  <si>
    <t>What type of promotions would influence you to buy a brand? (OFF)</t>
  </si>
  <si>
    <t>VFUQ-410</t>
  </si>
  <si>
    <t>(IFUQ-10=1 or2) and (IFUQ-20=!C)</t>
  </si>
  <si>
    <t>What are some of the challenges of your job?</t>
  </si>
  <si>
    <t>VFUQ-420</t>
  </si>
  <si>
    <t>Are you searching for an assortment of beer brands?</t>
  </si>
  <si>
    <t>VFUQ-430</t>
  </si>
  <si>
    <t>Which beer brands is most important to you?</t>
  </si>
  <si>
    <t>Which services from your beer suppliers are most important to you?</t>
  </si>
  <si>
    <t>VFUQ-450</t>
  </si>
  <si>
    <t>Which services are most important but are not being provided satisfactorily?</t>
  </si>
  <si>
    <t xml:space="preserve">What would you say helps your outlet to sell beer brands fastest? </t>
  </si>
  <si>
    <t>What activations have the biggest impact on your sales?</t>
  </si>
  <si>
    <t>What is the most important thing in the relationship with your beer supplier?</t>
  </si>
  <si>
    <t>Supplier Relationship</t>
  </si>
  <si>
    <t>Section Perception (header on multiple pages)</t>
  </si>
  <si>
    <t>VFUQ-490</t>
  </si>
  <si>
    <t>(IFUQ-10=1) and (IFUQ-20=C)</t>
  </si>
  <si>
    <t>What do you expect from an outlet like this?</t>
  </si>
  <si>
    <t>What do you drink if you don't drink beer?</t>
  </si>
  <si>
    <t>VFUQ-510</t>
  </si>
  <si>
    <t>Do you generally order the same beer brand?</t>
  </si>
  <si>
    <t>Do you prefer bottles or cans?</t>
  </si>
  <si>
    <t>What size do you prefer?</t>
  </si>
  <si>
    <t>Do you prefer to drink beer warm or cold?</t>
  </si>
  <si>
    <t>VFUQ-550</t>
  </si>
  <si>
    <t>For which main reasons do customers visit your outlet?</t>
  </si>
  <si>
    <t>VFUQ-560</t>
  </si>
  <si>
    <t>How important are each of these beer brands in your outlet? </t>
  </si>
  <si>
    <t>Scale for each brand - Low/Medium/High</t>
  </si>
  <si>
    <t>VFUQ-620</t>
  </si>
  <si>
    <t>What are the most consumed beers?</t>
  </si>
  <si>
    <t>Section Behaviour (header on multiple pages)</t>
  </si>
  <si>
    <t>VFUQ-630</t>
  </si>
  <si>
    <t>How many bottles/cans do you drink when coming to this outlet?</t>
  </si>
  <si>
    <t>How long do you normally stay?</t>
  </si>
  <si>
    <t>(IFUQ-10=1 or 2) and (IFUQ-20=C)</t>
  </si>
  <si>
    <t>Where were you before you came here?</t>
  </si>
  <si>
    <t>VFUQ-660</t>
  </si>
  <si>
    <t>Where do you go afterwards?</t>
  </si>
  <si>
    <t>(IFUQ-10=1) and (IFUQ-20 != C)</t>
  </si>
  <si>
    <t>What main activities do people come to do in this outlet ?</t>
  </si>
  <si>
    <t>Are they mostly sitting or standing?</t>
  </si>
  <si>
    <t>How do they order?</t>
  </si>
  <si>
    <t>What is the most purchased drink?</t>
  </si>
  <si>
    <t>(IFUQ-10=1 or2) and (IFUQ-20!=C)</t>
  </si>
  <si>
    <t>What type of SKU is mostly displayed? (Bottles and Cans) </t>
  </si>
  <si>
    <t>VFUQ-720</t>
  </si>
  <si>
    <t>What type of SKU is mostly sold? (Bottles and Cans) </t>
  </si>
  <si>
    <t>For whom do they order?</t>
  </si>
  <si>
    <t>VFUQ-740</t>
  </si>
  <si>
    <t xml:space="preserve">What beer did the shopper purchase? </t>
  </si>
  <si>
    <t>When do you order your beer?</t>
  </si>
  <si>
    <t>VFUQ-760</t>
  </si>
  <si>
    <t>How many times per week?</t>
  </si>
  <si>
    <t>Numeric Field 0 to 7</t>
  </si>
  <si>
    <t>Who makes the decision?</t>
  </si>
  <si>
    <t>VFUQ-780</t>
  </si>
  <si>
    <t>Who places the order?</t>
  </si>
  <si>
    <t>How soon after the order is placed do the products arrive normally?</t>
  </si>
  <si>
    <t>DFUQ-10</t>
  </si>
  <si>
    <t>IFUQ-10=RTM </t>
  </si>
  <si>
    <t>Merged List I-131 &amp; I-132 &amp; I-133</t>
  </si>
  <si>
    <t>DFUQ-20</t>
  </si>
  <si>
    <t>Do you help with any supplier activations/promotions?</t>
  </si>
  <si>
    <t>DFUQ-30</t>
  </si>
  <si>
    <t>Do you have a sales/ delivery team?</t>
  </si>
  <si>
    <t>DFUQ-40</t>
  </si>
  <si>
    <t>IFUQ-10=RTM; DFUQ-30=Y</t>
  </si>
  <si>
    <t>What are their responsibilities?</t>
  </si>
  <si>
    <t>DFUQ-60</t>
  </si>
  <si>
    <t xml:space="preserve">Open Numeric Field </t>
  </si>
  <si>
    <t>DFUQ-70</t>
  </si>
  <si>
    <t>How are your orders made?</t>
  </si>
  <si>
    <t>DFUQ-90</t>
  </si>
  <si>
    <t>Do you do sales forecasting?</t>
  </si>
  <si>
    <t>DFUQ-100</t>
  </si>
  <si>
    <t>How often do you buy per week(inbound stock)?</t>
  </si>
  <si>
    <t>0 to 7</t>
  </si>
  <si>
    <t>DFUQ-110</t>
  </si>
  <si>
    <t>Do you measure your stock?</t>
  </si>
  <si>
    <t>DFUQ-130</t>
  </si>
  <si>
    <t>DFUQ-140</t>
  </si>
  <si>
    <t>How many tricycles do you have?</t>
  </si>
  <si>
    <t>DFUQ-160</t>
  </si>
  <si>
    <t>DFUQ-170</t>
  </si>
  <si>
    <t>DFUQ-190</t>
  </si>
  <si>
    <t>DFUQ-200</t>
  </si>
  <si>
    <t>Do you have an overview of your customers and their accounts?</t>
  </si>
  <si>
    <t>DFUQ-210</t>
  </si>
  <si>
    <t>DFUQ-220</t>
  </si>
  <si>
    <t>What are the most important?</t>
  </si>
  <si>
    <t>DFUQ-230</t>
  </si>
  <si>
    <t>How important are they?</t>
  </si>
  <si>
    <t>EndFUQ-1</t>
  </si>
  <si>
    <t>Do you wish to interview another consumer in this location?</t>
  </si>
  <si>
    <t>EFUQ-10</t>
  </si>
  <si>
    <t>Time stamp END Interview?</t>
  </si>
  <si>
    <t>EFUQ-20</t>
  </si>
  <si>
    <t>EFUQ-30</t>
  </si>
  <si>
    <t>IFUQ-1 is not captured.</t>
  </si>
  <si>
    <t>GPS location.</t>
  </si>
  <si>
    <t>EFUQ-40</t>
  </si>
  <si>
    <t>General Comments:</t>
  </si>
  <si>
    <t>Product Categories</t>
  </si>
  <si>
    <t>Arabic Wording for Product Categories</t>
  </si>
  <si>
    <t>On an average week how much do you sell of the following Categories</t>
  </si>
  <si>
    <t>Unit</t>
  </si>
  <si>
    <t>Arabic Wording for Units</t>
  </si>
  <si>
    <t>Validation</t>
  </si>
  <si>
    <t>Conversion Average Litre per case or bottle</t>
  </si>
  <si>
    <t>Category</t>
  </si>
  <si>
    <t>Tobacco (in packs/carton)</t>
  </si>
  <si>
    <t>Packs/Cartons</t>
  </si>
  <si>
    <t>Max = 10,000</t>
  </si>
  <si>
    <t>Kg</t>
  </si>
  <si>
    <t>electronic cigarettes</t>
  </si>
  <si>
    <t>Tobacco</t>
  </si>
  <si>
    <t>Company</t>
  </si>
  <si>
    <t>Conversion Pack</t>
  </si>
  <si>
    <t>Conversion Bundle</t>
  </si>
  <si>
    <t>Conversion Carton</t>
  </si>
  <si>
    <t>V60SKU1</t>
  </si>
  <si>
    <t>V60SKU2</t>
  </si>
  <si>
    <t>V60SKU3</t>
  </si>
  <si>
    <t>V60SKU4</t>
  </si>
  <si>
    <t>V60SKU5</t>
  </si>
  <si>
    <t>V60SKU6</t>
  </si>
  <si>
    <t>V60SKU7</t>
  </si>
  <si>
    <t>V60SKU8</t>
  </si>
  <si>
    <t>V60SKU9</t>
  </si>
  <si>
    <t>Gold Pin</t>
  </si>
  <si>
    <t>V60SKU10</t>
  </si>
  <si>
    <t>V60SKU11</t>
  </si>
  <si>
    <t>V60SKU12</t>
  </si>
  <si>
    <t>V60SKU13</t>
  </si>
  <si>
    <t>V60SKU14</t>
  </si>
  <si>
    <t xml:space="preserve">Others </t>
  </si>
  <si>
    <t>Shisa</t>
  </si>
  <si>
    <t>Level 2 ID</t>
  </si>
  <si>
    <t>CAM_LV3_1</t>
  </si>
  <si>
    <t>CAM_LV2_1</t>
  </si>
  <si>
    <t>CAM_LV3_2</t>
  </si>
  <si>
    <t>CAM_LV3_3</t>
  </si>
  <si>
    <t>CAM_LV2_2</t>
  </si>
  <si>
    <t>CAM_LV3_4</t>
  </si>
  <si>
    <t>CAM_LV2_3</t>
  </si>
  <si>
    <t>CAM_LV3_5</t>
  </si>
  <si>
    <t>CAM_LV3_6</t>
  </si>
  <si>
    <t>CAM_LV2_4</t>
  </si>
  <si>
    <t>CAM_LV3_7</t>
  </si>
  <si>
    <t>CAM_LV3_8</t>
  </si>
  <si>
    <t>CAM_LV3_9</t>
  </si>
  <si>
    <t>CAM_LV3_10</t>
  </si>
  <si>
    <t>CAM_LV3_11</t>
  </si>
  <si>
    <t>CAM_LV3_12</t>
  </si>
  <si>
    <t>CAM_LV3_13</t>
  </si>
  <si>
    <t>CAM_LV3_14</t>
  </si>
  <si>
    <t>CAM_LV3_15</t>
  </si>
  <si>
    <t>CAM_LV2_5</t>
  </si>
  <si>
    <t>CAM_LV3_16</t>
  </si>
  <si>
    <t>CAM_LV3_17</t>
  </si>
  <si>
    <t>CAM_LV3_18</t>
  </si>
  <si>
    <t>CAM_LV3_19</t>
  </si>
  <si>
    <t>CAM_LV3_20</t>
  </si>
  <si>
    <t>CAM_LV3_21</t>
  </si>
  <si>
    <t>CAM_LV3_22</t>
  </si>
  <si>
    <t>CAM_LV2_6</t>
  </si>
  <si>
    <t>CAM_LV3_23</t>
  </si>
  <si>
    <t>CAM_LV2_7</t>
  </si>
  <si>
    <t>CAM_LV3_24</t>
  </si>
  <si>
    <t>CAM_LV2_8</t>
  </si>
  <si>
    <t>CAM_LV3_25</t>
  </si>
  <si>
    <t>CAM_LV2_9</t>
  </si>
  <si>
    <t>CAM_LV3_26</t>
  </si>
  <si>
    <t>CAM_LV3_27</t>
  </si>
  <si>
    <t>CAM_LV3_28</t>
  </si>
  <si>
    <t>CAM_LV3_29</t>
  </si>
  <si>
    <t>CAM_LV2_10</t>
  </si>
  <si>
    <t>CAM_LV3_30</t>
  </si>
  <si>
    <t>CAM_LV2_11</t>
  </si>
  <si>
    <t>CAM_LV3_31</t>
  </si>
  <si>
    <t>CAM_LV2_12</t>
  </si>
  <si>
    <t>CAM_LV3_32</t>
  </si>
  <si>
    <t>CAM_LV3_33</t>
  </si>
  <si>
    <t>CAM_LV2_13</t>
  </si>
  <si>
    <t>CAM_LV3_34</t>
  </si>
  <si>
    <t>CAM_LV3_35</t>
  </si>
  <si>
    <t>CAM_LV3_36</t>
  </si>
  <si>
    <t>CAM_LV3_37</t>
  </si>
  <si>
    <t>CAM_LV3_38</t>
  </si>
  <si>
    <t>CAM_LV3_39</t>
  </si>
  <si>
    <t>CAM_LV3_40</t>
  </si>
  <si>
    <t>CAM_LV3_41</t>
  </si>
  <si>
    <t>CAM_LV3_42</t>
  </si>
  <si>
    <t>CAM_LV3_43</t>
  </si>
  <si>
    <t>CAM_LV3_44</t>
  </si>
  <si>
    <t>CAM_LV3_45</t>
  </si>
  <si>
    <t>CAM_LV3_46</t>
  </si>
  <si>
    <t>CAM_LV3_47</t>
  </si>
  <si>
    <t>CAM_LV3_48</t>
  </si>
  <si>
    <t>CAM_LV3_49</t>
  </si>
  <si>
    <t>CAM_LV3_50</t>
  </si>
  <si>
    <t>CAM_LV3_51</t>
  </si>
  <si>
    <t>CAM_LV3_52</t>
  </si>
  <si>
    <t>CAM_LV3_53</t>
  </si>
  <si>
    <t>CAM_LV3_54</t>
  </si>
  <si>
    <t>CAM_LV3_55</t>
  </si>
  <si>
    <t>CAM_LV3_56</t>
  </si>
  <si>
    <t>CAM_LV2_14</t>
  </si>
  <si>
    <t>CAM_LV3_57</t>
  </si>
  <si>
    <t>CAM_LV3_58</t>
  </si>
  <si>
    <t>CAM_LV3_59</t>
  </si>
  <si>
    <t>CAM_LV3_60</t>
  </si>
  <si>
    <t>CAM_LV3_61</t>
  </si>
  <si>
    <t>CAM_LV3_62</t>
  </si>
  <si>
    <t>CAM_LV3_63</t>
  </si>
  <si>
    <t>CAM_LV3_64</t>
  </si>
  <si>
    <t>CAM_LV3_65</t>
  </si>
  <si>
    <t>CAM_LV3_66</t>
  </si>
  <si>
    <t>CAM_LV3_67</t>
  </si>
  <si>
    <t>CAM_LV3_68</t>
  </si>
  <si>
    <t>CAM_LV3_69</t>
  </si>
  <si>
    <t>CAM_LV3_70</t>
  </si>
  <si>
    <t>CAM_LV3_71</t>
  </si>
  <si>
    <t>CAM_LV3_72</t>
  </si>
  <si>
    <t>CAM_LV3_73</t>
  </si>
  <si>
    <t>CAM_LV3_74</t>
  </si>
  <si>
    <t>CAM_LV3_75</t>
  </si>
  <si>
    <t>CAM_LV3_76</t>
  </si>
  <si>
    <t>CAM_LV3_77</t>
  </si>
  <si>
    <t>CAM_LV3_78</t>
  </si>
  <si>
    <t>CAM_LV3_79</t>
  </si>
  <si>
    <t>CAM_LV3_80</t>
  </si>
  <si>
    <t>CAM_LV3_81</t>
  </si>
  <si>
    <t>CAM_LV3_82</t>
  </si>
  <si>
    <t>CAM_LV3_83</t>
  </si>
  <si>
    <t>CAM_LV3_84</t>
  </si>
  <si>
    <t>CAM_LV2_15</t>
  </si>
  <si>
    <t>CAM_LV3_85</t>
  </si>
  <si>
    <t>CAM_LV3_86</t>
  </si>
  <si>
    <t>CAM_LV3_87</t>
  </si>
  <si>
    <t>CAM_LV3_88</t>
  </si>
  <si>
    <t>CAM_LV3_89</t>
  </si>
  <si>
    <t>CAM_LV3_90</t>
  </si>
  <si>
    <t>CAM_LV3_91</t>
  </si>
  <si>
    <t>CAM_LV3_92</t>
  </si>
  <si>
    <t>CAM_LV2_16</t>
  </si>
  <si>
    <t>CAM_LV3_93</t>
  </si>
  <si>
    <t>CAM_LV2_17</t>
  </si>
  <si>
    <t>CAM_LV3_94</t>
  </si>
  <si>
    <t>CAM_LV3_95</t>
  </si>
  <si>
    <t>CAM_LV3_96</t>
  </si>
  <si>
    <t>CAM_LV3_97</t>
  </si>
  <si>
    <t>CAM_LV2_18</t>
  </si>
  <si>
    <t>CAM_LV3_98</t>
  </si>
  <si>
    <t>CAM_LV3_99</t>
  </si>
  <si>
    <t>CAM_LV3_100</t>
  </si>
  <si>
    <t>CAM_LV3_101</t>
  </si>
  <si>
    <t>CAM_LV3_102</t>
  </si>
  <si>
    <t>CAM_LV3_103</t>
  </si>
  <si>
    <t>CAM_LV3_104</t>
  </si>
  <si>
    <t>CAM_LV3_105</t>
  </si>
  <si>
    <t>CAM_LV3_106</t>
  </si>
  <si>
    <t>CAM_LV2_19</t>
  </si>
  <si>
    <t>CAM_LV3_107</t>
  </si>
  <si>
    <t>CAM_LV3_108</t>
  </si>
  <si>
    <t>CAM_LV3_109</t>
  </si>
  <si>
    <t>CAM_LV3_110</t>
  </si>
  <si>
    <t>CAM_LV3_111</t>
  </si>
  <si>
    <t>CAM_LV3_112</t>
  </si>
  <si>
    <t>CAM_LV3_113</t>
  </si>
  <si>
    <t>CAM_LV3_114</t>
  </si>
  <si>
    <t>CAM_LV3_115</t>
  </si>
  <si>
    <t>CAM_LV3_116</t>
  </si>
  <si>
    <t>CAM_LV3_117</t>
  </si>
  <si>
    <t>CAM_LV3_118</t>
  </si>
  <si>
    <t>CAM_LV3_119</t>
  </si>
  <si>
    <t>CAM_LV3_120</t>
  </si>
  <si>
    <t>CAM_LV3_121</t>
  </si>
  <si>
    <t>CAM_LV3_122</t>
  </si>
  <si>
    <t>CAM_LV3_123</t>
  </si>
  <si>
    <t>CAM_LV3_124</t>
  </si>
  <si>
    <t>CAM_LV3_125</t>
  </si>
  <si>
    <t>CAM_LV3_126</t>
  </si>
  <si>
    <t>CAM_LV2_20</t>
  </si>
  <si>
    <t>CAM_LV3_127</t>
  </si>
  <si>
    <t>CAM_LV3_128</t>
  </si>
  <si>
    <t>CAM_LV3_129</t>
  </si>
  <si>
    <t>CAM_LV3_130</t>
  </si>
  <si>
    <t>CAM_LV2_21</t>
  </si>
  <si>
    <t>CAM_LV3_131</t>
  </si>
  <si>
    <t>CAM_LV2_22</t>
  </si>
  <si>
    <t>CAM_LV3_132</t>
  </si>
  <si>
    <t>CAM_LV2_23</t>
  </si>
  <si>
    <t>CAM_LV3_133</t>
  </si>
  <si>
    <t>CAM_LV3_134</t>
  </si>
  <si>
    <t>CAM_LV3_135</t>
  </si>
  <si>
    <t>CAM_LV2_24</t>
  </si>
  <si>
    <t>CAM_LV3_136</t>
  </si>
  <si>
    <t>CAM_LV3_137</t>
  </si>
  <si>
    <t>CAM_LV3_138</t>
  </si>
  <si>
    <t>CAM_LV3_139</t>
  </si>
  <si>
    <t>CAM_LV3_140</t>
  </si>
  <si>
    <t>CAM_LV3_141</t>
  </si>
  <si>
    <t>CAM_LV3_142</t>
  </si>
  <si>
    <t>CAM_LV3_143</t>
  </si>
  <si>
    <t>CAM_LV3_144</t>
  </si>
  <si>
    <t>CAM_LV3_145</t>
  </si>
  <si>
    <t>CAM_LV3_146</t>
  </si>
  <si>
    <t>CAM_LV3_147</t>
  </si>
  <si>
    <t>CAM_LV3_148</t>
  </si>
  <si>
    <t>CAM_LV3_149</t>
  </si>
  <si>
    <t>CAM_LV3_150</t>
  </si>
  <si>
    <t>CAM_LV2_25</t>
  </si>
  <si>
    <t>CAM_LV3_151</t>
  </si>
  <si>
    <t>CAM_LV3_152</t>
  </si>
  <si>
    <t>CAM_LV3_153</t>
  </si>
  <si>
    <t>CAM_LV3_154</t>
  </si>
  <si>
    <t>CAM_LV3_155</t>
  </si>
  <si>
    <t>CAM_LV3_156</t>
  </si>
  <si>
    <t>CAM_LV3_157</t>
  </si>
  <si>
    <t>CAM_LV3_158</t>
  </si>
  <si>
    <t>CAM_LV3_159</t>
  </si>
  <si>
    <t>CAM_LV3_160</t>
  </si>
  <si>
    <t>CAM_LV3_161</t>
  </si>
  <si>
    <t>CAM_LV3_162</t>
  </si>
  <si>
    <t>CAM_LV3_163</t>
  </si>
  <si>
    <t>CAM_LV3_164</t>
  </si>
  <si>
    <t>CAM_LV3_165</t>
  </si>
  <si>
    <t>CAM_LV3_166</t>
  </si>
  <si>
    <t>CAM_LV3_167</t>
  </si>
  <si>
    <t>CAM_LV3_168</t>
  </si>
  <si>
    <t>CAM_LV3_169</t>
  </si>
  <si>
    <t>CAM_LV3_170</t>
  </si>
  <si>
    <t>CAM_LV3_171</t>
  </si>
  <si>
    <t>CAM_LV3_172</t>
  </si>
  <si>
    <t>CAM_LV3_173</t>
  </si>
  <si>
    <t>CAM_LV3_174</t>
  </si>
  <si>
    <t>CAM_LV2_26</t>
  </si>
  <si>
    <t>CAM_LV3_175</t>
  </si>
  <si>
    <t>CAM_LV3_176</t>
  </si>
  <si>
    <t>CAM_LV2_27</t>
  </si>
  <si>
    <t>CAM_LV3_177</t>
  </si>
  <si>
    <t>CAM_LV3_178</t>
  </si>
  <si>
    <t>CAM_LV3_179</t>
  </si>
  <si>
    <t>CAM_LV2_28</t>
  </si>
  <si>
    <t>CAM_LV3_180</t>
  </si>
  <si>
    <t>CAM_LV3_181</t>
  </si>
  <si>
    <t>CAM_LV3_182</t>
  </si>
  <si>
    <t>CAM_LV3_183</t>
  </si>
  <si>
    <t>CAM_LV3_184</t>
  </si>
  <si>
    <t>CAM_LV3_185</t>
  </si>
  <si>
    <t>CAM_LV3_186</t>
  </si>
  <si>
    <t>CAM_LV3_187</t>
  </si>
  <si>
    <t>CAM_LV3_188</t>
  </si>
  <si>
    <t>CAM_LV3_189</t>
  </si>
  <si>
    <t>CAM_LV3_190</t>
  </si>
  <si>
    <t>CAM_LV3_191</t>
  </si>
  <si>
    <t>CAM_LV3_192</t>
  </si>
  <si>
    <t>CAM_LV3_193</t>
  </si>
  <si>
    <t>CAM_LV3_194</t>
  </si>
  <si>
    <t>CAM_LV3_195</t>
  </si>
  <si>
    <t>CAM_LV3_196</t>
  </si>
  <si>
    <t>CAM_LV3_197</t>
  </si>
  <si>
    <t>CAM_LV3_198</t>
  </si>
  <si>
    <t>CAM_LV3_199</t>
  </si>
  <si>
    <t>CAM_LV2_29</t>
  </si>
  <si>
    <t>CAM_LV3_200</t>
  </si>
  <si>
    <t>CAM_LV3_201</t>
  </si>
  <si>
    <t>CAM_LV3_202</t>
  </si>
  <si>
    <t>CAM_LV3_203</t>
  </si>
  <si>
    <t>CAM_LV3_204</t>
  </si>
  <si>
    <t>CAM_LV3_205</t>
  </si>
  <si>
    <t>CAM_LV3_206</t>
  </si>
  <si>
    <t>CAM_LV3_207</t>
  </si>
  <si>
    <t>CAM_LV3_208</t>
  </si>
  <si>
    <t>CAM_LV2_30</t>
  </si>
  <si>
    <t>CAM_LV3_209</t>
  </si>
  <si>
    <t>CAM_LV2_31</t>
  </si>
  <si>
    <t>CAM_LV3_210</t>
  </si>
  <si>
    <t>CAM_LV3_211</t>
  </si>
  <si>
    <t>CAM_LV3_212</t>
  </si>
  <si>
    <t>CAM_LV3_213</t>
  </si>
  <si>
    <t>CAM_LV2_32</t>
  </si>
  <si>
    <t>CAM_LV3_214</t>
  </si>
  <si>
    <t>CAM_LV3_215</t>
  </si>
  <si>
    <t>CAM_LV3_216</t>
  </si>
  <si>
    <t>CAM_LV3_217</t>
  </si>
  <si>
    <t>CAM_LV3_218</t>
  </si>
  <si>
    <t>CAM_LV3_219</t>
  </si>
  <si>
    <t>CAM_LV2_33</t>
  </si>
  <si>
    <t>CAM_LV3_220</t>
  </si>
  <si>
    <t>CAM_LV3_221</t>
  </si>
  <si>
    <t>CAM_LV3_222</t>
  </si>
  <si>
    <t>CAM_LV3_223</t>
  </si>
  <si>
    <t>CAM_LV3_224</t>
  </si>
  <si>
    <t>CAM_LV3_225</t>
  </si>
  <si>
    <t>CAM_LV3_226</t>
  </si>
  <si>
    <t>CAM_LV3_227</t>
  </si>
  <si>
    <t>CAM_LV3_228</t>
  </si>
  <si>
    <t>CAM_LV3_229</t>
  </si>
  <si>
    <t>CAM_LV2_34</t>
  </si>
  <si>
    <t>CAM_LV3_230</t>
  </si>
  <si>
    <t>CAM_LV2_35</t>
  </si>
  <si>
    <t>CAM_LV3_231</t>
  </si>
  <si>
    <t>CAM_LV2_36</t>
  </si>
  <si>
    <t>CAM_LV3_232</t>
  </si>
  <si>
    <t>CAM_LV2_37</t>
  </si>
  <si>
    <t>CAM_LV3_233</t>
  </si>
  <si>
    <t>CAM_LV3_234</t>
  </si>
  <si>
    <t>CAM_LV3_235</t>
  </si>
  <si>
    <t>CAM_LV3_236</t>
  </si>
  <si>
    <t>CAM_LV3_237</t>
  </si>
  <si>
    <t>CAM_LV3_238</t>
  </si>
  <si>
    <t>CAM_LV3_239</t>
  </si>
  <si>
    <t>CAM_LV3_240</t>
  </si>
  <si>
    <t>CAM_LV2_38</t>
  </si>
  <si>
    <t>CAM_LV3_241</t>
  </si>
  <si>
    <t>CAM_LV3_242</t>
  </si>
  <si>
    <t>CAM_LV3_243</t>
  </si>
  <si>
    <t>CAM_LV2_39</t>
  </si>
  <si>
    <t>CAM_LV3_244</t>
  </si>
  <si>
    <t>CAM_LV3_245</t>
  </si>
  <si>
    <t>CAM_LV2_40</t>
  </si>
  <si>
    <t>CAM_LV3_246</t>
  </si>
  <si>
    <t>CAM_LV3_247</t>
  </si>
  <si>
    <t>CAM_LV3_248</t>
  </si>
  <si>
    <t>CAM_LV3_249</t>
  </si>
  <si>
    <t>CAM_LV3_250</t>
  </si>
  <si>
    <t>CAM_LV3_251</t>
  </si>
  <si>
    <t>CAM_LV3_252</t>
  </si>
  <si>
    <t>CAM_LV3_253</t>
  </si>
  <si>
    <t>CAM_LV3_254</t>
  </si>
  <si>
    <t>CAM_LV3_255</t>
  </si>
  <si>
    <t>CAM_LV3_256</t>
  </si>
  <si>
    <t>CAM_LV3_257</t>
  </si>
  <si>
    <t>CAM_LV3_258</t>
  </si>
  <si>
    <t>CAM_LV3_259</t>
  </si>
  <si>
    <t>CAM_LV3_260</t>
  </si>
  <si>
    <t>CAM_LV3_261</t>
  </si>
  <si>
    <t>CAM_LV3_262</t>
  </si>
  <si>
    <t>CAM_LV3_263</t>
  </si>
  <si>
    <t>CAM_LV3_264</t>
  </si>
  <si>
    <t>CAM_LV2_41</t>
  </si>
  <si>
    <t>CAM_LV3_265</t>
  </si>
  <si>
    <t>CAM_LV2_42</t>
  </si>
  <si>
    <t>CAM_LV3_266</t>
  </si>
  <si>
    <t>CAM_LV2_43</t>
  </si>
  <si>
    <t>CAM_LV3_267</t>
  </si>
  <si>
    <t>CAM_LV3_268</t>
  </si>
  <si>
    <t>CAM_LV3_269</t>
  </si>
  <si>
    <t>CAM_LV2_44</t>
  </si>
  <si>
    <t>CAM_LV3_270</t>
  </si>
  <si>
    <t>CAM_LV3_271</t>
  </si>
  <si>
    <t>CAM_LV3_272</t>
  </si>
  <si>
    <t>CAM_LV3_273</t>
  </si>
  <si>
    <t>CAM_LV3_274</t>
  </si>
  <si>
    <t>CAM_LV2_45</t>
  </si>
  <si>
    <t>CAM_LV3_275</t>
  </si>
  <si>
    <t>CAM_LV3_276</t>
  </si>
  <si>
    <t>CAM_LV2_46</t>
  </si>
  <si>
    <t>CAM_LV3_277</t>
  </si>
  <si>
    <t>CAM_LV3_278</t>
  </si>
  <si>
    <t>CAM_LV3_279</t>
  </si>
  <si>
    <t>CAM_LV3_280</t>
  </si>
  <si>
    <t>CAM_LV3_281</t>
  </si>
  <si>
    <t>CAM_LV3_282</t>
  </si>
  <si>
    <t>CAM_LV2_47</t>
  </si>
  <si>
    <t>CAM_LV3_283</t>
  </si>
  <si>
    <t>CAM_LV3_284</t>
  </si>
  <si>
    <t>CAM_LV3_285</t>
  </si>
  <si>
    <t>CAM_LV2_48</t>
  </si>
  <si>
    <t>CAM_LV3_286</t>
  </si>
  <si>
    <t>CAM_LV3_287</t>
  </si>
  <si>
    <t>CAM_LV3_288</t>
  </si>
  <si>
    <t>CAM_LV3_289</t>
  </si>
  <si>
    <t>CAM_LV3_290</t>
  </si>
  <si>
    <t>CAM_LV3_291</t>
  </si>
  <si>
    <t>CAM_LV3_292</t>
  </si>
  <si>
    <t>CAM_LV3_293</t>
  </si>
  <si>
    <t>CAM_LV3_294</t>
  </si>
  <si>
    <t>CAM_LV3_295</t>
  </si>
  <si>
    <t>CAM_LV3_296</t>
  </si>
  <si>
    <t>CAM_LV3_297</t>
  </si>
  <si>
    <t>CAM_LV3_298</t>
  </si>
  <si>
    <t>CAM_LV3_299</t>
  </si>
  <si>
    <t>CAM_LV3_300</t>
  </si>
  <si>
    <t>CAM_LV3_301</t>
  </si>
  <si>
    <t>CAM_LV3_302</t>
  </si>
  <si>
    <t>CAM_LV3_303</t>
  </si>
  <si>
    <t>CAM_LV3_304</t>
  </si>
  <si>
    <t>CAM_LV2_49</t>
  </si>
  <si>
    <t>CAM_LV3_305</t>
  </si>
  <si>
    <t>CAM_LV2_50</t>
  </si>
  <si>
    <t>CAM_LV3_306</t>
  </si>
  <si>
    <t>CAM_LV2_51</t>
  </si>
  <si>
    <t>CAM_LV3_307</t>
  </si>
  <si>
    <t>CAM_LV3_308</t>
  </si>
  <si>
    <t>CAM_LV2_52</t>
  </si>
  <si>
    <t>CAM_LV3_309</t>
  </si>
  <si>
    <t>CAM_LV3_310</t>
  </si>
  <si>
    <t>CAM_LV3_311</t>
  </si>
  <si>
    <t>CAM_LV3_312</t>
  </si>
  <si>
    <t>CAM_LV3_313</t>
  </si>
  <si>
    <t>CAM_LV3_314</t>
  </si>
  <si>
    <t>CAM_LV3_315</t>
  </si>
  <si>
    <t>CAM_LV3_316</t>
  </si>
  <si>
    <t>CAM_LV3_317</t>
  </si>
  <si>
    <t>CAM_LV3_318</t>
  </si>
  <si>
    <t>CAM_LV3_319</t>
  </si>
  <si>
    <t>CAM_LV3_320</t>
  </si>
  <si>
    <t>CAM_LV3_321</t>
  </si>
  <si>
    <t>CAM_LV3_322</t>
  </si>
  <si>
    <t>CAM_LV3_323</t>
  </si>
  <si>
    <t>CAM_LV3_324</t>
  </si>
  <si>
    <t>CAM_LV3_325</t>
  </si>
  <si>
    <t>CAM_LV3_326</t>
  </si>
  <si>
    <t>CAM_LV3_327</t>
  </si>
  <si>
    <t>CAM_LV3_328</t>
  </si>
  <si>
    <t>CAM_LV3_329</t>
  </si>
  <si>
    <t>CAM_LV3_330</t>
  </si>
  <si>
    <t>CAM_LV3_331</t>
  </si>
  <si>
    <t>CAM_LV3_332</t>
  </si>
  <si>
    <t>CAM_LV3_333</t>
  </si>
  <si>
    <t>CAM_LV2_53</t>
  </si>
  <si>
    <t>CAM_LV3_334</t>
  </si>
  <si>
    <t>CAM_LV2_54</t>
  </si>
  <si>
    <t>CAM_LV3_335</t>
  </si>
  <si>
    <t>CAM_LV2_55</t>
  </si>
  <si>
    <t>CAM_LV3_336</t>
  </si>
  <si>
    <t>CAM_LV2_56</t>
  </si>
  <si>
    <t>CAM_LV3_337</t>
  </si>
  <si>
    <t>CAM_LV2_57</t>
  </si>
  <si>
    <t>CAM_LV3_338</t>
  </si>
  <si>
    <t>CAM_LV3_339</t>
  </si>
  <si>
    <t>CAM_LV3_340</t>
  </si>
  <si>
    <t>CAM_LV3_341</t>
  </si>
  <si>
    <t>CAM_LV3_342</t>
  </si>
  <si>
    <t>CAM_LV3_343</t>
  </si>
  <si>
    <t>CAM_LV3_344</t>
  </si>
  <si>
    <t>CAM_LV3_345</t>
  </si>
  <si>
    <t>CAM_LV3_346</t>
  </si>
  <si>
    <t>CAM_LV2_58</t>
  </si>
  <si>
    <t>CAM_LV3_347</t>
  </si>
  <si>
    <t>CAM_LV3_348</t>
  </si>
  <si>
    <t>CAM_LV3_349</t>
  </si>
  <si>
    <t>CAM_LV3_350</t>
  </si>
  <si>
    <t>CAM_LV3_351</t>
  </si>
  <si>
    <t>CAM_LV3_352</t>
  </si>
  <si>
    <t>CAM_LV3_353</t>
  </si>
  <si>
    <t>CAM_LV3_354</t>
  </si>
  <si>
    <t>CAM_LV3_355</t>
  </si>
  <si>
    <t>CAM_LV3_356</t>
  </si>
  <si>
    <t>CAM_LV3_357</t>
  </si>
  <si>
    <t>CAM_LV3_358</t>
  </si>
  <si>
    <t>CAM_LV3_359</t>
  </si>
  <si>
    <t>CAM_LV3_360</t>
  </si>
  <si>
    <t>CAM_LV3_361</t>
  </si>
  <si>
    <t>CAM_LV3_362</t>
  </si>
  <si>
    <t>CAM_LV3_363</t>
  </si>
  <si>
    <t>Level 3 ID</t>
  </si>
  <si>
    <t>CAM_LV4_1</t>
  </si>
  <si>
    <t>BONAMOUDOUROU</t>
  </si>
  <si>
    <t>CAM_LV4_2</t>
  </si>
  <si>
    <t>BONAMOUTI DEIDO</t>
  </si>
  <si>
    <t>CAM_LV4_3</t>
  </si>
  <si>
    <t>BONATENE</t>
  </si>
  <si>
    <t>CAM_LV4_4</t>
  </si>
  <si>
    <t>BONATEKI</t>
  </si>
  <si>
    <t>CAM_LV4_5</t>
  </si>
  <si>
    <t>BONANJO</t>
  </si>
  <si>
    <t>CAM_LV4_6</t>
  </si>
  <si>
    <t>BALI</t>
  </si>
  <si>
    <t>CAM_LV4_7</t>
  </si>
  <si>
    <t>BONAPRISO</t>
  </si>
  <si>
    <t>CAM_LV4_8</t>
  </si>
  <si>
    <t>NKONGMONDO</t>
  </si>
  <si>
    <t>CAM_LV4_9</t>
  </si>
  <si>
    <t>BESSENGUE</t>
  </si>
  <si>
    <t>CAM_LV4_10</t>
  </si>
  <si>
    <t>NEW DEIDO</t>
  </si>
  <si>
    <t>CAM_LV4_11</t>
  </si>
  <si>
    <t>GRAND MOULIN</t>
  </si>
  <si>
    <t>CAM_LV4_12</t>
  </si>
  <si>
    <t>NKONDO</t>
  </si>
  <si>
    <t>CAM_LV4_13</t>
  </si>
  <si>
    <t>BONADIBONG</t>
  </si>
  <si>
    <t>CAM_LV4_14</t>
  </si>
  <si>
    <t>BONAMIKENGUE</t>
  </si>
  <si>
    <t>CAM_LV4_15</t>
  </si>
  <si>
    <t>BONEWONDA</t>
  </si>
  <si>
    <t>CAM_LV4_16</t>
  </si>
  <si>
    <t>BONAMOUANG</t>
  </si>
  <si>
    <t>CAM_LV4_17</t>
  </si>
  <si>
    <t>BONELEKE</t>
  </si>
  <si>
    <t>CAM_LV4_18</t>
  </si>
  <si>
    <t>BONEBONG</t>
  </si>
  <si>
    <t>CAM_LV4_19</t>
  </si>
  <si>
    <t>BONAJINJE</t>
  </si>
  <si>
    <t>CAM_LV4_20</t>
  </si>
  <si>
    <t xml:space="preserve">NGODI </t>
  </si>
  <si>
    <t>CAM_LV4_21</t>
  </si>
  <si>
    <t>BONEJANG</t>
  </si>
  <si>
    <t>CAM_LV4_22</t>
  </si>
  <si>
    <t>BONAKOUAMOUANG</t>
  </si>
  <si>
    <t>CAM_LV4_23</t>
  </si>
  <si>
    <t>BONANTONE</t>
  </si>
  <si>
    <t>CAM_LV4_24</t>
  </si>
  <si>
    <t>KOUMASSI</t>
  </si>
  <si>
    <t>CAM_LV4_25</t>
  </si>
  <si>
    <t>BONADOUMA II</t>
  </si>
  <si>
    <t>CAM_LV4_26</t>
  </si>
  <si>
    <t>BONELANG</t>
  </si>
  <si>
    <t>CAM_LV4_27</t>
  </si>
  <si>
    <t>NEW BELLE BASSA</t>
  </si>
  <si>
    <t>CAM_LV4_28</t>
  </si>
  <si>
    <t>NEW BELLEBAMILEKE</t>
  </si>
  <si>
    <t>CAM_LV4_29</t>
  </si>
  <si>
    <t xml:space="preserve">NGANGUE </t>
  </si>
  <si>
    <t>CAM_LV4_30</t>
  </si>
  <si>
    <t>BONANLOKA</t>
  </si>
  <si>
    <t>CAM_LV4_31</t>
  </si>
  <si>
    <t>KASSALAFAM</t>
  </si>
  <si>
    <t>CAM_LV4_32</t>
  </si>
  <si>
    <t>NKOLMINTA</t>
  </si>
  <si>
    <t>CAM_LV4_33</t>
  </si>
  <si>
    <t>KM5</t>
  </si>
  <si>
    <t>CAM_LV4_34</t>
  </si>
  <si>
    <t>NKOLOLOUN</t>
  </si>
  <si>
    <t>CAM_LV4_35</t>
  </si>
  <si>
    <t>NOUVEL  AEROPORT</t>
  </si>
  <si>
    <t>CAM_LV4_36</t>
  </si>
  <si>
    <t>ANCIEN AEROPORT</t>
  </si>
  <si>
    <t>CAM_LV4_37</t>
  </si>
  <si>
    <t>BOIS DES SINGES</t>
  </si>
  <si>
    <t>CAM_LV4_38</t>
  </si>
  <si>
    <t>YOUPWE</t>
  </si>
  <si>
    <t>CAM_LV4_39</t>
  </si>
  <si>
    <t>BONADOUMA 1</t>
  </si>
  <si>
    <t>CAM_LV4_40</t>
  </si>
  <si>
    <t>NEW BELL CIMETIÈRE</t>
  </si>
  <si>
    <t>CAM_LV4_41</t>
  </si>
  <si>
    <t>NEW BELL BANDJOUN</t>
  </si>
  <si>
    <t>CAM_LV4_42</t>
  </si>
  <si>
    <t>MBAM EWONDO</t>
  </si>
  <si>
    <t>CAM_LV4_43</t>
  </si>
  <si>
    <t>NEW BELL HAOUSSA GARE</t>
  </si>
  <si>
    <t>CAM_LV4_44</t>
  </si>
  <si>
    <t>NEW BELL SERVICE SOCIAL</t>
  </si>
  <si>
    <t>CAM_LV4_45</t>
  </si>
  <si>
    <t>CONGO</t>
  </si>
  <si>
    <t>CAM_LV4_46</t>
  </si>
  <si>
    <t>CAMP YABASSI</t>
  </si>
  <si>
    <t>CAM_LV4_47</t>
  </si>
  <si>
    <t>KM5 TRACTAFRIC</t>
  </si>
  <si>
    <t>CAM_LV4_48</t>
  </si>
  <si>
    <t>NGO SWE ET MBOPI</t>
  </si>
  <si>
    <t>CAM_LV4_49</t>
  </si>
  <si>
    <t>NEW  BELL  NOUVEAU TERRAIN</t>
  </si>
  <si>
    <t>CAM_LV4_50</t>
  </si>
  <si>
    <t>FUNKEL</t>
  </si>
  <si>
    <t>CAM_LV4_51</t>
  </si>
  <si>
    <t>BABYLONE</t>
  </si>
  <si>
    <t>CAM_LV4_52</t>
  </si>
  <si>
    <t>NEW BELL TSF</t>
  </si>
  <si>
    <t>CAM_LV4_53</t>
  </si>
  <si>
    <t>NEW TOWN AEROPORT II</t>
  </si>
  <si>
    <t>CAM_LV4_54</t>
  </si>
  <si>
    <t>NEW TOWN AEROPORT III</t>
  </si>
  <si>
    <t>CAM_LV4_55</t>
  </si>
  <si>
    <t>NEW TOWN AEROPORT IV</t>
  </si>
  <si>
    <t>CAM_LV4_56</t>
  </si>
  <si>
    <t>NEW  TOWN AEROPORT I</t>
  </si>
  <si>
    <t>CAM_LV4_57</t>
  </si>
  <si>
    <t xml:space="preserve">CITE DE LA  PAIX </t>
  </si>
  <si>
    <t>CAM_LV4_58</t>
  </si>
  <si>
    <t>NDOGSIMBI</t>
  </si>
  <si>
    <t>CAM_LV4_59</t>
  </si>
  <si>
    <t>YASSA</t>
  </si>
  <si>
    <t>CAM_LV4_60</t>
  </si>
  <si>
    <t>NGODI BAKOKO</t>
  </si>
  <si>
    <t>CAM_LV4_61</t>
  </si>
  <si>
    <t>BOKO</t>
  </si>
  <si>
    <t>CAM_LV4_62</t>
  </si>
  <si>
    <t>LOGBABA</t>
  </si>
  <si>
    <t>CAM_LV4_63</t>
  </si>
  <si>
    <t>NDOKOTI</t>
  </si>
  <si>
    <t>CAM_LV4_64</t>
  </si>
  <si>
    <t>PK8</t>
  </si>
  <si>
    <t>CAM_LV4_65</t>
  </si>
  <si>
    <t>CENTRE INDUSTRIEL</t>
  </si>
  <si>
    <t>CAM_LV4_66</t>
  </si>
  <si>
    <t>MBANGA JAPOMA</t>
  </si>
  <si>
    <t>CAM_LV4_67</t>
  </si>
  <si>
    <t>NYLON</t>
  </si>
  <si>
    <t>CAM_LV4_68</t>
  </si>
  <si>
    <t>BRAZZAVILLE</t>
  </si>
  <si>
    <t>CAM_LV4_69</t>
  </si>
  <si>
    <t>TERGAL</t>
  </si>
  <si>
    <t>CAM_LV4_70</t>
  </si>
  <si>
    <t>MADASCAR</t>
  </si>
  <si>
    <t>CAM_LV4_71</t>
  </si>
  <si>
    <t>CCC</t>
  </si>
  <si>
    <t>CAM_LV4_72</t>
  </si>
  <si>
    <t>ZONE INDUSTRIELLE DE BASSA</t>
  </si>
  <si>
    <t>CAM_LV4_73</t>
  </si>
  <si>
    <t>DIBOM</t>
  </si>
  <si>
    <t>CAM_LV4_74</t>
  </si>
  <si>
    <t>DIBOM II</t>
  </si>
  <si>
    <t>CAM_LV4_75</t>
  </si>
  <si>
    <t>LOGBESSOU II</t>
  </si>
  <si>
    <t>CAM_LV4_76</t>
  </si>
  <si>
    <t>MOUTONGO</t>
  </si>
  <si>
    <t>CAM_LV4_77</t>
  </si>
  <si>
    <t>NDOGHEM II</t>
  </si>
  <si>
    <t>CAM_LV4_78</t>
  </si>
  <si>
    <t>GENIE MILITAIRE</t>
  </si>
  <si>
    <t>CAM_LV4_79</t>
  </si>
  <si>
    <t xml:space="preserve">NDOGPASSI </t>
  </si>
  <si>
    <t>CAM_LV4_80</t>
  </si>
  <si>
    <t>KAMBO</t>
  </si>
  <si>
    <t>CAM_LV4_81</t>
  </si>
  <si>
    <t>GRANDE TRAME MBANGA JAPOMA</t>
  </si>
  <si>
    <t>CAM_LV4_82</t>
  </si>
  <si>
    <t>LOT RECASEMENT NKOLBONG</t>
  </si>
  <si>
    <t>CAM_LV4_83</t>
  </si>
  <si>
    <t>GENDARMERIE MBOPI</t>
  </si>
  <si>
    <t>CAM_LV4_84</t>
  </si>
  <si>
    <t>ATELIERS, CAMRAIL</t>
  </si>
  <si>
    <t>CAM_LV4_85</t>
  </si>
  <si>
    <t>OYACK1</t>
  </si>
  <si>
    <t>CAM_LV4_86</t>
  </si>
  <si>
    <t>OYACK2</t>
  </si>
  <si>
    <t>CAM_LV4_87</t>
  </si>
  <si>
    <t>NDOGMBE</t>
  </si>
  <si>
    <t>CAM_LV4_88</t>
  </si>
  <si>
    <t>BOBONGO</t>
  </si>
  <si>
    <t>CAM_LV4_89</t>
  </si>
  <si>
    <t>NDOGPASSI PLAGE</t>
  </si>
  <si>
    <t>CAM_LV4_90</t>
  </si>
  <si>
    <t>NDOPASSI CENTRE</t>
  </si>
  <si>
    <t>CAM_LV4_91</t>
  </si>
  <si>
    <t>CITE BERGE</t>
  </si>
  <si>
    <t>CAM_LV4_92</t>
  </si>
  <si>
    <t>NYALLA BASSA</t>
  </si>
  <si>
    <t>CAM_LV4_93</t>
  </si>
  <si>
    <t>LOGBESOU I</t>
  </si>
  <si>
    <t>CAM_LV4_94</t>
  </si>
  <si>
    <t>JAPOMA</t>
  </si>
  <si>
    <t>CAM_LV4_95</t>
  </si>
  <si>
    <t>PINDO</t>
  </si>
  <si>
    <t>CAM_LV4_96</t>
  </si>
  <si>
    <t>SONGBIKAKO</t>
  </si>
  <si>
    <t>CAM_LV4_97</t>
  </si>
  <si>
    <t>NDOGPASSI RECASEMENT</t>
  </si>
  <si>
    <t>CAM_LV4_98</t>
  </si>
  <si>
    <t>BONASAMA</t>
  </si>
  <si>
    <t>CAM_LV4_99</t>
  </si>
  <si>
    <t>BESSEKE</t>
  </si>
  <si>
    <t>CAM_LV4_100</t>
  </si>
  <si>
    <t>BONAMIKANO</t>
  </si>
  <si>
    <t>CAM_LV4_101</t>
  </si>
  <si>
    <t>BONAMBAPPE</t>
  </si>
  <si>
    <t>CAM_LV4_102</t>
  </si>
  <si>
    <t>NKOMBA</t>
  </si>
  <si>
    <t>CAM_LV4_103</t>
  </si>
  <si>
    <t>GRAND HANGAR</t>
  </si>
  <si>
    <t>CAM_LV4_104</t>
  </si>
  <si>
    <t>MABANDA</t>
  </si>
  <si>
    <t>CAM_LV4_105</t>
  </si>
  <si>
    <t>NGWELE</t>
  </si>
  <si>
    <t>CAM_LV4_106</t>
  </si>
  <si>
    <t>NDOBO</t>
  </si>
  <si>
    <t>CAM_LV4_107</t>
  </si>
  <si>
    <t>BODJONGO</t>
  </si>
  <si>
    <t>CAM_LV4_108</t>
  </si>
  <si>
    <t>BONAMATOUMBE</t>
  </si>
  <si>
    <t>CAM_LV4_109</t>
  </si>
  <si>
    <t>LOBE</t>
  </si>
  <si>
    <t>CAM_LV4_110</t>
  </si>
  <si>
    <t>SODIKO I</t>
  </si>
  <si>
    <t>CAM_LV4_111</t>
  </si>
  <si>
    <t>BEPELE</t>
  </si>
  <si>
    <t>CAM_LV4_112</t>
  </si>
  <si>
    <t>ZONE INDUSTRIELLE</t>
  </si>
  <si>
    <t>CAM_LV4_113</t>
  </si>
  <si>
    <t>BILINGUE</t>
  </si>
  <si>
    <t>CAM_LV4_114</t>
  </si>
  <si>
    <t>BONAMATOUMBE I</t>
  </si>
  <si>
    <t>CAM_LV4_115</t>
  </si>
  <si>
    <t>BONENDALE I</t>
  </si>
  <si>
    <t>CAM_LV4_116</t>
  </si>
  <si>
    <t>ILE DJEBALE</t>
  </si>
  <si>
    <t>CAM_LV4_117</t>
  </si>
  <si>
    <t>NDOGHEM I</t>
  </si>
  <si>
    <t>CAM_LV4_118</t>
  </si>
  <si>
    <t>MAKEPE</t>
  </si>
  <si>
    <t>CAM_LV4_119</t>
  </si>
  <si>
    <t>NDOGBONG</t>
  </si>
  <si>
    <t>CAM_LV4_120</t>
  </si>
  <si>
    <t>BONAMOUSSADI</t>
  </si>
  <si>
    <t>CAM_LV4_121</t>
  </si>
  <si>
    <t>MAKEPE I</t>
  </si>
  <si>
    <t>CAM_LV4_122</t>
  </si>
  <si>
    <t>LOGPOM</t>
  </si>
  <si>
    <t>CAM_LV4_123</t>
  </si>
  <si>
    <t>KOTTO</t>
  </si>
  <si>
    <t>CAM_LV4_124</t>
  </si>
  <si>
    <t>BANGUE</t>
  </si>
  <si>
    <t>CAM_LV4_125</t>
  </si>
  <si>
    <t>BONANGANG</t>
  </si>
  <si>
    <t>CAM_LV4_126</t>
  </si>
  <si>
    <t>CAM_LV4_127</t>
  </si>
  <si>
    <t>MALANGUE</t>
  </si>
  <si>
    <t>CAM_LV4_128</t>
  </si>
  <si>
    <t>BEEDI</t>
  </si>
  <si>
    <t>CAM_LV4_129</t>
  </si>
  <si>
    <t>CITE DES PALMIERS</t>
  </si>
  <si>
    <t>CAM_LV4_130</t>
  </si>
  <si>
    <t>BONANEYIKE</t>
  </si>
  <si>
    <t>CAM_LV4_131</t>
  </si>
  <si>
    <t>NGOMA</t>
  </si>
  <si>
    <t>CAM_LV4_132</t>
  </si>
  <si>
    <t>CAM_LV4_133</t>
  </si>
  <si>
    <t>CAM_LV4_134</t>
  </si>
  <si>
    <t>CITE CICAM</t>
  </si>
  <si>
    <t>CAM_LV4_135</t>
  </si>
  <si>
    <t xml:space="preserve">NDGBATI </t>
  </si>
  <si>
    <t>CAM_LV4_136</t>
  </si>
  <si>
    <t>NDOGBATI II</t>
  </si>
  <si>
    <t>CAM_LV4_137</t>
  </si>
  <si>
    <t>SODIKOMBO</t>
  </si>
  <si>
    <t>CAM_LV4_138</t>
  </si>
  <si>
    <t>CAM_LV4_139</t>
  </si>
  <si>
    <t>SIC CACAO</t>
  </si>
  <si>
    <t>CAM_LV4_140</t>
  </si>
  <si>
    <t>MAKEPE MATURITE</t>
  </si>
  <si>
    <t>CAM_LV4_141</t>
  </si>
  <si>
    <t>CITE SIC</t>
  </si>
  <si>
    <t>CAM_LV4_142</t>
  </si>
  <si>
    <t>BEPANDDA JOURDAIN</t>
  </si>
  <si>
    <t>CAM_LV4_143</t>
  </si>
  <si>
    <t>CAM_LV4_144</t>
  </si>
  <si>
    <t>BEPANDA CACAO BARRY</t>
  </si>
  <si>
    <t>CAM_LV4_145</t>
  </si>
  <si>
    <t>BEPANDA OMNISPORT</t>
  </si>
  <si>
    <t>CAM_LV4_146</t>
  </si>
  <si>
    <t>BEPANDA VOIRIE</t>
  </si>
  <si>
    <t>CAM_LV4_147</t>
  </si>
  <si>
    <t>BEPANDA YONYONG</t>
  </si>
  <si>
    <t>CAM_LV4_148</t>
  </si>
  <si>
    <t>BEPANDA TSF</t>
  </si>
  <si>
    <t>CAM_LV4_149</t>
  </si>
  <si>
    <t>BEPANDA CAMTEL</t>
  </si>
  <si>
    <t>CAM_LV4_150</t>
  </si>
  <si>
    <t>BONAMOUSSONGO</t>
  </si>
  <si>
    <t>CAM_LV4_151</t>
  </si>
  <si>
    <t>BEPANDA PETIT WOURI</t>
  </si>
  <si>
    <t>CAM_LV4_152</t>
  </si>
  <si>
    <t>BEPANDA GENTIL</t>
  </si>
  <si>
    <t>CAM_LV4_153</t>
  </si>
  <si>
    <t>BASTOS</t>
  </si>
  <si>
    <t>CAM_LV4_154</t>
  </si>
  <si>
    <t>ELIG-EDZOA</t>
  </si>
  <si>
    <t>CAM_LV4_155</t>
  </si>
  <si>
    <t>EMANA</t>
  </si>
  <si>
    <t>CAM_LV4_156</t>
  </si>
  <si>
    <t>ETOA MEKI 1</t>
  </si>
  <si>
    <t>CAM_LV4_157</t>
  </si>
  <si>
    <t>MESSASSI</t>
  </si>
  <si>
    <t>CAM_LV4_158</t>
  </si>
  <si>
    <t>OLEMBE</t>
  </si>
  <si>
    <t>CAM_LV4_159</t>
  </si>
  <si>
    <t>MBALLA 1</t>
  </si>
  <si>
    <t>CAM_LV4_160</t>
  </si>
  <si>
    <t>MBALLA 2</t>
  </si>
  <si>
    <t>CAM_LV4_161</t>
  </si>
  <si>
    <t>MBALLA 3</t>
  </si>
  <si>
    <t>CAM_LV4_162</t>
  </si>
  <si>
    <t>NLONGKAK</t>
  </si>
  <si>
    <t>CAM_LV4_163</t>
  </si>
  <si>
    <t>MANGUIER</t>
  </si>
  <si>
    <t>CAM_LV4_164</t>
  </si>
  <si>
    <t>ETOUDI</t>
  </si>
  <si>
    <t>CAM_LV4_165</t>
  </si>
  <si>
    <t>CENTRE COMMERCIAL</t>
  </si>
  <si>
    <t>CAM_LV4_166</t>
  </si>
  <si>
    <t>ELIG-ESSONO</t>
  </si>
  <si>
    <t>CAM_LV4_167</t>
  </si>
  <si>
    <t>ETOA MEKI 2</t>
  </si>
  <si>
    <t>CAM_LV4_168</t>
  </si>
  <si>
    <t>NKOLONDOM</t>
  </si>
  <si>
    <t>CAM_LV4_169</t>
  </si>
  <si>
    <t>NYOM</t>
  </si>
  <si>
    <t>CAM_LV4_170</t>
  </si>
  <si>
    <t>OKOLO</t>
  </si>
  <si>
    <t>CAM_LV4_171</t>
  </si>
  <si>
    <t>TONGOLO</t>
  </si>
  <si>
    <t>CAM_LV4_172</t>
  </si>
  <si>
    <t xml:space="preserve">CITE VERTE </t>
  </si>
  <si>
    <t>CAM_LV4_173</t>
  </si>
  <si>
    <t>MOKOLO</t>
  </si>
  <si>
    <t>CAM_LV4_174</t>
  </si>
  <si>
    <t>EKOUDOU</t>
  </si>
  <si>
    <t>CAM_LV4_175</t>
  </si>
  <si>
    <t>TSINGA</t>
  </si>
  <si>
    <t>CAM_LV4_176</t>
  </si>
  <si>
    <t>NKOM KANA</t>
  </si>
  <si>
    <t>CAM_LV4_177</t>
  </si>
  <si>
    <t>NTOUGOU</t>
  </si>
  <si>
    <t>CAM_LV4_178</t>
  </si>
  <si>
    <t>MADAGASCAR</t>
  </si>
  <si>
    <t>CAM_LV4_179</t>
  </si>
  <si>
    <t>ECOLE DE POLICE</t>
  </si>
  <si>
    <t>CAM_LV4_180</t>
  </si>
  <si>
    <t>GRAND MESSA</t>
  </si>
  <si>
    <t>CAM_LV4_181</t>
  </si>
  <si>
    <t>FEBE</t>
  </si>
  <si>
    <t>CAM_LV4_182</t>
  </si>
  <si>
    <t>OLIGA</t>
  </si>
  <si>
    <t>CAM_LV4_183</t>
  </si>
  <si>
    <t>OBILI</t>
  </si>
  <si>
    <t>CAM_LV4_184</t>
  </si>
  <si>
    <t>NGOA EKELE 3</t>
  </si>
  <si>
    <t>CAM_LV4_185</t>
  </si>
  <si>
    <t>AHALA 1</t>
  </si>
  <si>
    <t>CAM_LV4_186</t>
  </si>
  <si>
    <t>EFOULAN</t>
  </si>
  <si>
    <t>CAM_LV4_187</t>
  </si>
  <si>
    <t>OBOBOGO</t>
  </si>
  <si>
    <t>CAM_LV4_188</t>
  </si>
  <si>
    <t>NSAM</t>
  </si>
  <si>
    <t>CAM_LV4_189</t>
  </si>
  <si>
    <t>AFANAYO 1</t>
  </si>
  <si>
    <t>CAM_LV4_190</t>
  </si>
  <si>
    <t>OLEZOA</t>
  </si>
  <si>
    <t>CAM_LV4_191</t>
  </si>
  <si>
    <t>DAKAR</t>
  </si>
  <si>
    <t>CAM_LV4_192</t>
  </si>
  <si>
    <t>AFANAYO 2</t>
  </si>
  <si>
    <t>CAM_LV4_193</t>
  </si>
  <si>
    <t>AFANAYO 3</t>
  </si>
  <si>
    <t>CAM_LV4_194</t>
  </si>
  <si>
    <t>AFANAYO 4</t>
  </si>
  <si>
    <t>CAM_LV4_195</t>
  </si>
  <si>
    <t>AHALA 2</t>
  </si>
  <si>
    <t>CAM_LV4_196</t>
  </si>
  <si>
    <t>ETOA</t>
  </si>
  <si>
    <t>CAM_LV4_197</t>
  </si>
  <si>
    <t>MEKOUMBOU 1</t>
  </si>
  <si>
    <t>CAM_LV4_198</t>
  </si>
  <si>
    <t>MEKOUMBOU 2</t>
  </si>
  <si>
    <t>CAM_LV4_199</t>
  </si>
  <si>
    <t>MELEN -2 CENTRE ADMINISTRATIF</t>
  </si>
  <si>
    <t>CAM_LV4_200</t>
  </si>
  <si>
    <t>NGOA EKELE 1</t>
  </si>
  <si>
    <t>CAM_LV4_201</t>
  </si>
  <si>
    <t>NGOA EKELE 2</t>
  </si>
  <si>
    <t>CAM_LV4_202</t>
  </si>
  <si>
    <t>NKOLFON</t>
  </si>
  <si>
    <t>CAM_LV4_203</t>
  </si>
  <si>
    <t>NSIMEYONG 1</t>
  </si>
  <si>
    <t>CAM_LV4_204</t>
  </si>
  <si>
    <t>NSIMEYONG 2</t>
  </si>
  <si>
    <t>CAM_LV4_205</t>
  </si>
  <si>
    <t>NSIMEYONG 3</t>
  </si>
  <si>
    <t>CAM_LV4_206</t>
  </si>
  <si>
    <t>NTOUESSONG</t>
  </si>
  <si>
    <t>CAM_LV4_207</t>
  </si>
  <si>
    <t>NLONG MVOLYE</t>
  </si>
  <si>
    <t>CAM_LV4_208</t>
  </si>
  <si>
    <t>NKOLMESSENG 1</t>
  </si>
  <si>
    <t>CAM_LV4_209</t>
  </si>
  <si>
    <t>MVAN-NORD</t>
  </si>
  <si>
    <t>CAM_LV4_210</t>
  </si>
  <si>
    <t>MESAME NDONGO</t>
  </si>
  <si>
    <t>CAM_LV4_211</t>
  </si>
  <si>
    <t>ODZA</t>
  </si>
  <si>
    <t>CAM_LV4_212</t>
  </si>
  <si>
    <t>EKOUMDOUM</t>
  </si>
  <si>
    <t>CAM_LV4_213</t>
  </si>
  <si>
    <t>AWAE</t>
  </si>
  <si>
    <t>CAM_LV4_214</t>
  </si>
  <si>
    <t>NKOMO</t>
  </si>
  <si>
    <t>CAM_LV4_215</t>
  </si>
  <si>
    <t>EKOUNOU</t>
  </si>
  <si>
    <t>CAM_LV4_216</t>
  </si>
  <si>
    <t>BITENG</t>
  </si>
  <si>
    <t>CAM_LV4_217</t>
  </si>
  <si>
    <t>MIMBOMAN 1</t>
  </si>
  <si>
    <t>CAM_LV4_218</t>
  </si>
  <si>
    <t>MVOG MBI</t>
  </si>
  <si>
    <t>CAM_LV4_219</t>
  </si>
  <si>
    <t xml:space="preserve">ETAM BAFIA </t>
  </si>
  <si>
    <t>CAM_LV4_220</t>
  </si>
  <si>
    <t>NKOLO-NDONGO 1</t>
  </si>
  <si>
    <t>CAM_LV4_221</t>
  </si>
  <si>
    <t>EKIE</t>
  </si>
  <si>
    <t>CAM_LV4_222</t>
  </si>
  <si>
    <t>EMOMBO</t>
  </si>
  <si>
    <t>CAM_LV4_223</t>
  </si>
  <si>
    <t>KONDENGUI 1</t>
  </si>
  <si>
    <t>CAM_LV4_224</t>
  </si>
  <si>
    <t>KONDENGUI  2</t>
  </si>
  <si>
    <t>CAM_LV4_225</t>
  </si>
  <si>
    <t>KONDENGUI  3</t>
  </si>
  <si>
    <t>CAM_LV4_226</t>
  </si>
  <si>
    <t>MIMBOMAN 3</t>
  </si>
  <si>
    <t>CAM_LV4_227</t>
  </si>
  <si>
    <t>MVAN-SUD</t>
  </si>
  <si>
    <t>CAM_LV4_228</t>
  </si>
  <si>
    <t>NDAMVOUT</t>
  </si>
  <si>
    <t>CAM_LV4_229</t>
  </si>
  <si>
    <t>MVOG ADA</t>
  </si>
  <si>
    <t>CAM_LV4_230</t>
  </si>
  <si>
    <t>ESSOS</t>
  </si>
  <si>
    <t>CAM_LV4_231</t>
  </si>
  <si>
    <t>NKOL-MESSENG</t>
  </si>
  <si>
    <t>CAM_LV4_232</t>
  </si>
  <si>
    <t>NGOUSSO 2</t>
  </si>
  <si>
    <t>CAM_LV4_233</t>
  </si>
  <si>
    <t>NGOULMEKONG</t>
  </si>
  <si>
    <t>CAM_LV4_234</t>
  </si>
  <si>
    <t>MFANDENA1</t>
  </si>
  <si>
    <t>CAM_LV4_235</t>
  </si>
  <si>
    <t>MFANDENA 2</t>
  </si>
  <si>
    <t>CAM_LV4_236</t>
  </si>
  <si>
    <t>MVOG EBANDA</t>
  </si>
  <si>
    <t>CAM_LV4_237</t>
  </si>
  <si>
    <t>NGOUSSO 1</t>
  </si>
  <si>
    <t>CAM_LV4_238</t>
  </si>
  <si>
    <t>NGOUSSO-NTEM</t>
  </si>
  <si>
    <t>CAM_LV4_239</t>
  </si>
  <si>
    <t>NKOL-EBOGO</t>
  </si>
  <si>
    <t>CAM_LV4_240</t>
  </si>
  <si>
    <t>QUARTIER FOUDA</t>
  </si>
  <si>
    <t>CAM_LV4_241</t>
  </si>
  <si>
    <t>MELEN</t>
  </si>
  <si>
    <t>CAM_LV4_242</t>
  </si>
  <si>
    <t>ETOUG EBE 1</t>
  </si>
  <si>
    <t>CAM_LV4_243</t>
  </si>
  <si>
    <t>MVOG BETSI</t>
  </si>
  <si>
    <t>CAM_LV4_244</t>
  </si>
  <si>
    <t>BIYEM ASSI</t>
  </si>
  <si>
    <t>CAM_LV4_245</t>
  </si>
  <si>
    <t>MENDONG 1</t>
  </si>
  <si>
    <t>CAM_LV4_246</t>
  </si>
  <si>
    <t>SIMBOCK</t>
  </si>
  <si>
    <t>CAM_LV4_247</t>
  </si>
  <si>
    <t>ELIG EFFA</t>
  </si>
  <si>
    <t>CAM_LV4_248</t>
  </si>
  <si>
    <t>ETOUG EBE 2</t>
  </si>
  <si>
    <t>CAM_LV4_249</t>
  </si>
  <si>
    <t>MELEN 8</t>
  </si>
  <si>
    <t>CAM_LV4_250</t>
  </si>
  <si>
    <t>MELEN 8B  ET C</t>
  </si>
  <si>
    <t>CAM_LV4_251</t>
  </si>
  <si>
    <t>MENDONG  1</t>
  </si>
  <si>
    <t>CAM_LV4_252</t>
  </si>
  <si>
    <t>MENDONG 2</t>
  </si>
  <si>
    <t>CAM_LV4_253</t>
  </si>
  <si>
    <t>NKOLBIKOK</t>
  </si>
  <si>
    <t>CAM_LV4_254</t>
  </si>
  <si>
    <t>SIMBOCK ECOLE DE GUERRE</t>
  </si>
  <si>
    <t>CAM_LV4_255</t>
  </si>
  <si>
    <t>ETETAK</t>
  </si>
  <si>
    <t>CAM_LV4_256</t>
  </si>
  <si>
    <t>OYOM ABANG</t>
  </si>
  <si>
    <t>CAM_LV4_257</t>
  </si>
  <si>
    <t>NKOLBISSON</t>
  </si>
  <si>
    <t>CAM_LV4_258</t>
  </si>
  <si>
    <t>MINKOAMEYOS</t>
  </si>
  <si>
    <t>CAM_LV4_259</t>
  </si>
  <si>
    <t>NKOLSO</t>
  </si>
  <si>
    <t>CAM_LV4_260</t>
  </si>
  <si>
    <t>NKOLAFEME</t>
  </si>
  <si>
    <t>CAM_LV4_261</t>
  </si>
  <si>
    <t>CAM_LV4_262</t>
  </si>
  <si>
    <t>BENENGO,B</t>
  </si>
  <si>
    <t>CAM_LV4_263</t>
  </si>
  <si>
    <t>BADIENGSO</t>
  </si>
  <si>
    <t>CAM_LV4_264</t>
  </si>
  <si>
    <t>ZONE,INDUSTRIELLE</t>
  </si>
  <si>
    <t>CAM_LV4_265</t>
  </si>
  <si>
    <t>FAMLA</t>
  </si>
  <si>
    <t>CAM_LV4_266</t>
  </si>
  <si>
    <t>DJELENG 5</t>
  </si>
  <si>
    <t>CAM_LV4_267</t>
  </si>
  <si>
    <t>DJEMOUN</t>
  </si>
  <si>
    <t>CAM_LV4_268</t>
  </si>
  <si>
    <t>QUARTIER,ADMINISTRATIF</t>
  </si>
  <si>
    <t>CAM_LV4_269</t>
  </si>
  <si>
    <t>BAMENZI</t>
  </si>
  <si>
    <t>CAM_LV4_270</t>
  </si>
  <si>
    <t>KING,PLACE</t>
  </si>
  <si>
    <t>CAM_LV4_271</t>
  </si>
  <si>
    <t>CHEFFERIE</t>
  </si>
  <si>
    <t>CAM_LV4_272</t>
  </si>
  <si>
    <t>BENENGO,A</t>
  </si>
  <si>
    <t>CAM_LV4_273</t>
  </si>
  <si>
    <t>TAMJA</t>
  </si>
  <si>
    <t>CAM_LV4_274</t>
  </si>
  <si>
    <t>NDIEDAM</t>
  </si>
  <si>
    <t>CAM_LV4_275</t>
  </si>
  <si>
    <t>HOUKAHA</t>
  </si>
  <si>
    <t>CAM_LV4_276</t>
  </si>
  <si>
    <t>TYO,BALENG</t>
  </si>
  <si>
    <t>CAM_LV4_277</t>
  </si>
  <si>
    <t>TYO,VILLE</t>
  </si>
  <si>
    <t>CAM_LV4_278</t>
  </si>
  <si>
    <t>MEBOUTI</t>
  </si>
  <si>
    <t>CAM_LV4_279</t>
  </si>
  <si>
    <t>KOPTCHOU</t>
  </si>
  <si>
    <t>CAM_LV4_280</t>
  </si>
  <si>
    <t>TAUNGANG II</t>
  </si>
  <si>
    <t>CAM_LV4_281</t>
  </si>
  <si>
    <t>TCHITCHAP</t>
  </si>
  <si>
    <t>CAM_LV4_282</t>
  </si>
  <si>
    <t>TYO,VILLAGE</t>
  </si>
  <si>
    <t>CAM_LV4_283</t>
  </si>
  <si>
    <t>DJELENG,1-2-3-4</t>
  </si>
  <si>
    <t>CAM_LV4_284</t>
  </si>
  <si>
    <t>TOUNGANG</t>
  </si>
  <si>
    <t>CAM_LV4_285</t>
  </si>
  <si>
    <t>KENA</t>
  </si>
  <si>
    <t>CAM_LV4_286</t>
  </si>
  <si>
    <t>KAMKOP</t>
  </si>
  <si>
    <t>CAM_LV4_287</t>
  </si>
  <si>
    <t>DJUKU</t>
  </si>
  <si>
    <t>CAM_LV4_288</t>
  </si>
  <si>
    <t>BALENG</t>
  </si>
  <si>
    <t>CAM_LV4_289</t>
  </si>
  <si>
    <t>NGOUACHE</t>
  </si>
  <si>
    <t>CAM_LV4_290</t>
  </si>
  <si>
    <t>KOUOGOUO</t>
  </si>
  <si>
    <t>CAM_LV4_291</t>
  </si>
  <si>
    <t>LAFE II</t>
  </si>
  <si>
    <t>CAM_LV4_292</t>
  </si>
  <si>
    <t>TOKET</t>
  </si>
  <si>
    <t>CAM_LV4_293</t>
  </si>
  <si>
    <t>TCHOUWONG</t>
  </si>
  <si>
    <t>CAM_LV4_294</t>
  </si>
  <si>
    <t>TCHIPOU</t>
  </si>
  <si>
    <t>CAM_LV4_295</t>
  </si>
  <si>
    <t>NDZE</t>
  </si>
  <si>
    <t>commune</t>
  </si>
  <si>
    <t>quartier</t>
  </si>
  <si>
    <t>DOUALA 1</t>
  </si>
  <si>
    <t>DOUALA 2</t>
  </si>
  <si>
    <t>DOUALA 3</t>
  </si>
  <si>
    <t>DOUALA 4</t>
  </si>
  <si>
    <t>DOUALA 5</t>
  </si>
  <si>
    <t>ANOMALY ID</t>
  </si>
  <si>
    <t>Anomaly
Weight</t>
  </si>
  <si>
    <t>Type</t>
  </si>
  <si>
    <t>QUESTION ID</t>
  </si>
  <si>
    <t>CONSTRAINT</t>
  </si>
  <si>
    <t>VALUE</t>
  </si>
  <si>
    <t>COMPARED QUESTION</t>
  </si>
  <si>
    <t>Rule in words</t>
  </si>
  <si>
    <t>Anthony</t>
  </si>
  <si>
    <t>Philippe</t>
  </si>
  <si>
    <t>Develop team</t>
  </si>
  <si>
    <t>ANO-A1..A6</t>
  </si>
  <si>
    <t>AND</t>
  </si>
  <si>
    <t>=</t>
  </si>
  <si>
    <t>ON TRADE</t>
  </si>
  <si>
    <t>For On-Trade questionnaire Volume of beer sold per day cannot be more than 150 cases</t>
  </si>
  <si>
    <t>(OR</t>
  </si>
  <si>
    <t>V-50-'1'</t>
  </si>
  <si>
    <t>&lt;</t>
  </si>
  <si>
    <t>copy this 6 times</t>
  </si>
  <si>
    <t>OR)</t>
  </si>
  <si>
    <t>&gt;</t>
  </si>
  <si>
    <t>ANO-B1..B6</t>
  </si>
  <si>
    <t>OFF TRADE</t>
  </si>
  <si>
    <t>For OFF-Trade questionnaire Volume of beer sold per day cannot be more than 300 cases</t>
  </si>
  <si>
    <t>ANO-C1..C6</t>
  </si>
  <si>
    <t>RTM</t>
  </si>
  <si>
    <t>For RTM questionnaire Volume of beer sold per day cannot be more than 1000 bottles</t>
  </si>
  <si>
    <t>ANO-D</t>
  </si>
  <si>
    <t>I-140</t>
  </si>
  <si>
    <t>For all surveys volume sold above 500 cases of beers per day should be checked</t>
  </si>
  <si>
    <t>ANO-E</t>
  </si>
  <si>
    <t>For when end an outlet does not sell alchohol but says yes to selling Beer</t>
  </si>
  <si>
    <t>ANO-F</t>
  </si>
  <si>
    <t>(E-70) - (P-70)</t>
  </si>
  <si>
    <t>E-5</t>
  </si>
  <si>
    <t>End Time - Start time is less than 5 minutes</t>
  </si>
  <si>
    <t>(300 is time in seconds)</t>
  </si>
  <si>
    <t>ANO-G</t>
  </si>
  <si>
    <t>SUM V-60--1</t>
  </si>
  <si>
    <t>For when sum of beer sold is higher than the total cases of beer sold</t>
  </si>
  <si>
    <t>Please explain the wish regarding percentage.
Also, selected only sum of cases column.</t>
  </si>
  <si>
    <t>ANO-H</t>
  </si>
  <si>
    <t>M-101</t>
  </si>
  <si>
    <t>"&lt;10"</t>
  </si>
  <si>
    <t>"&lt;10". Less than 10</t>
  </si>
  <si>
    <t>For when an outlet as a capacity of less than 10 people but sells more than 10 cases of beer per day</t>
  </si>
  <si>
    <t>ANO-I</t>
  </si>
  <si>
    <t>Disabled, as discussed on Slack 2017-05-22 #heineken_ameeexport</t>
  </si>
  <si>
    <t>SUM V-60--2</t>
  </si>
  <si>
    <t>Basically states that V-60 may not have bottles input for RTM, but this is not a required restriction anymore.</t>
  </si>
  <si>
    <t>ANO-J-MAURITIUS</t>
  </si>
  <si>
    <t>V-60-'1'-1</t>
  </si>
  <si>
    <t>For when one beer SKU sells more than 50 cases per day</t>
  </si>
  <si>
    <t>Adjusted question specifiers to match the cases column, as mentioned in description.</t>
  </si>
  <si>
    <t>OR</t>
  </si>
  <si>
    <t>V-60-'2'-1</t>
  </si>
  <si>
    <t>V-60-'3'-1</t>
  </si>
  <si>
    <t>V-60-'4'-1</t>
  </si>
  <si>
    <t>V-60-'5'-1</t>
  </si>
  <si>
    <t>V-60-'6'-1</t>
  </si>
  <si>
    <t>V-60-'7'-1</t>
  </si>
  <si>
    <t>V-60-'8'-1</t>
  </si>
  <si>
    <t>V-60-'9'-1</t>
  </si>
  <si>
    <t>Rule</t>
  </si>
  <si>
    <t>Rule In words</t>
  </si>
  <si>
    <t>Dev Team</t>
  </si>
  <si>
    <t>Number of enumerators</t>
  </si>
  <si>
    <t>20-25</t>
  </si>
  <si>
    <t>Estimated of number of enumerator there will be in field (at 1 time)</t>
  </si>
  <si>
    <t>Number of team leaders (assigned to 1 team max)</t>
  </si>
  <si>
    <t>Number of users who will have the role of team leader in the system</t>
  </si>
  <si>
    <t>Number of Telephone back checkers roles</t>
  </si>
  <si>
    <t>Number of Comparator roles</t>
  </si>
  <si>
    <t>Number of Analyst roles</t>
  </si>
  <si>
    <t>Min. percentage of enum. to backcheck for each enumerator</t>
  </si>
  <si>
    <t>Example: If set to 20%, at least 20% of the enumerations of each enumerator will be flagged for priority backchecking</t>
  </si>
  <si>
    <t>Anomaly threshold to flag for guaranteed backchecking</t>
  </si>
  <si>
    <t>Example: If set to 3, an enumeration will be flagged for priority backchecking if it has 3 or more anomalies</t>
  </si>
  <si>
    <t xml:space="preserve">Activate Field Back checkers </t>
  </si>
  <si>
    <t>The survey will the highest anomalies will be allocated to a field backchceker role. Every day in a night batch (at 11pm)</t>
  </si>
  <si>
    <t>Number of Field back-checkers (assigned to 1 team max)</t>
  </si>
  <si>
    <t>How many backcheckers role will their be ?</t>
  </si>
  <si>
    <t>What is the capacity of outlets per day per field BC</t>
  </si>
  <si>
    <t>How many outlets max per day that will be allocated to Field BC</t>
  </si>
  <si>
    <t>Are all rejections going to team leader</t>
  </si>
  <si>
    <t>Are all rejections going to original enumerator</t>
  </si>
  <si>
    <t>New feature to be implemented</t>
  </si>
  <si>
    <t>Are all rejection going to sales reps</t>
  </si>
  <si>
    <t>What devices will be used by enumerators &amp; Team leaders</t>
  </si>
  <si>
    <t>Android Based TBC</t>
  </si>
  <si>
    <t xml:space="preserve">What devices will be used by sales reps </t>
  </si>
  <si>
    <t>JSON</t>
  </si>
  <si>
    <t>CHANNEL</t>
  </si>
  <si>
    <t>COMPANY</t>
  </si>
  <si>
    <t>litrage/bottle</t>
  </si>
  <si>
    <t>litrage/case</t>
  </si>
  <si>
    <t>"</t>
  </si>
  <si>
    <t xml:space="preserve">{ "v": </t>
  </si>
  <si>
    <t>, "n": { "EN": "</t>
  </si>
  <si>
    <t>", "SYS":"</t>
  </si>
  <si>
    <t xml:space="preserve"> "}, "company": "</t>
  </si>
  <si>
    <t>", "conv": [</t>
  </si>
  <si>
    <t>,</t>
  </si>
  <si>
    <t>] },</t>
  </si>
  <si>
    <t>JSON Builders</t>
  </si>
  <si>
    <t>list-start</t>
  </si>
  <si>
    <t>{ "v": "</t>
  </si>
  <si>
    <t>list-en</t>
  </si>
  <si>
    <t>", "n" : { "SYS": "</t>
  </si>
  <si>
    <t>list-la</t>
  </si>
  <si>
    <t>", "EN": "</t>
  </si>
  <si>
    <t>list-end</t>
  </si>
  <si>
    <t>"} },</t>
  </si>
  <si>
    <t>single-quote</t>
  </si>
  <si>
    <t>question-start</t>
  </si>
  <si>
    <t>:{
"n": {
"SYS": "</t>
  </si>
  <si>
    <t>qestion-la</t>
  </si>
  <si>
    <t>question-label</t>
  </si>
  <si>
    <t>},
"label": "</t>
  </si>
  <si>
    <t>question-vis-enum</t>
  </si>
  <si>
    <t>,
"o": [ "e" ],</t>
  </si>
  <si>
    <t>question-ans-options</t>
  </si>
  <si>
    <t>sku-company</t>
  </si>
  <si>
    <t>"}, "Company": "</t>
  </si>
  <si>
    <t>sku-category</t>
  </si>
  <si>
    <t>", "Category": "</t>
  </si>
  <si>
    <t>sku-Packtype</t>
  </si>
  <si>
    <t>", "Packtype": "</t>
  </si>
  <si>
    <t>sku-Brand</t>
  </si>
  <si>
    <t>", "Brand": "</t>
  </si>
  <si>
    <t>NUMERICAL (0 to 7)</t>
  </si>
  <si>
    <t>sku-conv</t>
  </si>
  <si>
    <t>", "conv" : [</t>
  </si>
  <si>
    <t>NUMERICAL (0 to 52)</t>
  </si>
  <si>
    <t>sku-end</t>
  </si>
  <si>
    <t>NUMERICAL (0 to 20)</t>
  </si>
  <si>
    <t>area-vis</t>
  </si>
  <si>
    <t>" }, "vi" : [ { "r": "A-10", "o": "=", "t": "v", "v": "</t>
  </si>
  <si>
    <t>area-vis-end</t>
  </si>
  <si>
    <t>" } ] },</t>
  </si>
  <si>
    <t>area-vis-lv2</t>
  </si>
  <si>
    <t>" }, "vi" : [ { "r": "A-20", "o": "=", "t": "v", "v": "</t>
  </si>
  <si>
    <t>area-vis-lv3</t>
  </si>
  <si>
    <t>" }, "vi" : [ { "r": "A-30", "o": "=", "t": "v", "v": "</t>
  </si>
  <si>
    <t>" }</t>
  </si>
  <si>
    <t>, "n" : { "EN": "</t>
  </si>
  <si>
    <t>ON-TRADE</t>
  </si>
  <si>
    <t>", "n" : { "EN": "</t>
  </si>
  <si>
    <t xml:space="preserve"> "} },</t>
  </si>
  <si>
    <t>OFF-TRADE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</si>
</sst>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quot;₱&quot;* #,##0.00_);_(&quot;₱&quot;* \(#,##0.00\);_(&quot;₱&quot;* &quot;-&quot;??_);_(@_)"/>
  </numFmts>
  <fonts count="52">
    <font>
      <sz val="11"/>
      <color theme="1"/>
      <name val="Calibri"/>
      <family val="2"/>
      <scheme val="minor"/>
    </font>
    <font>
      <b/>
      <sz val="11"/>
      <color theme="0"/>
      <name val="Calibri"/>
      <family val="2"/>
      <scheme val="minor"/>
    </font>
    <font>
      <sz val="11"/>
      <color rgb="FF000000"/>
      <name val="Calibri"/>
      <family val="2"/>
    </font>
    <font>
      <sz val="11"/>
      <color rgb="FF000000"/>
      <name val="Calibri"/>
      <family val="2"/>
      <scheme val="minor"/>
    </font>
    <font>
      <sz val="11"/>
      <name val="Calibri"/>
      <family val="2"/>
      <scheme val="minor"/>
    </font>
    <font>
      <u/>
      <sz val="11"/>
      <color theme="10"/>
      <name val="Calibri"/>
      <family val="2"/>
      <scheme val="minor"/>
    </font>
    <font>
      <sz val="11"/>
      <name val="Calibri"/>
      <family val="2"/>
    </font>
    <font>
      <i/>
      <sz val="9"/>
      <name val="Calibri"/>
      <family val="2"/>
      <scheme val="minor"/>
    </font>
    <font>
      <sz val="11"/>
      <color theme="0"/>
      <name val="Calibri"/>
      <family val="2"/>
      <scheme val="minor"/>
    </font>
    <font>
      <b/>
      <sz val="11"/>
      <color theme="1"/>
      <name val="Calibri"/>
      <family val="2"/>
      <scheme val="minor"/>
    </font>
    <font>
      <sz val="10"/>
      <name val="Arial"/>
      <family val="2"/>
    </font>
    <font>
      <u/>
      <sz val="11"/>
      <color theme="11"/>
      <name val="Calibri"/>
      <family val="2"/>
      <scheme val="minor"/>
    </font>
    <font>
      <sz val="5"/>
      <color rgb="FF000000"/>
      <name val="Arial"/>
      <family val="2"/>
    </font>
    <font>
      <i/>
      <sz val="9"/>
      <color theme="1"/>
      <name val="Calibri"/>
      <family val="2"/>
      <scheme val="minor"/>
    </font>
    <font>
      <sz val="11"/>
      <color theme="1"/>
      <name val="Calibri"/>
      <family val="2"/>
      <scheme val="minor"/>
    </font>
    <font>
      <sz val="11"/>
      <color theme="1"/>
      <name val="Calibri"/>
      <family val="2"/>
      <scheme val="minor"/>
    </font>
    <font>
      <sz val="11"/>
      <color rgb="FFF2F2F2"/>
      <name val="Calibri"/>
      <family val="2"/>
      <scheme val="minor"/>
    </font>
    <font>
      <sz val="11"/>
      <color theme="1"/>
      <name val="Calibri"/>
      <family val="2"/>
      <scheme val="minor"/>
    </font>
    <font>
      <sz val="11"/>
      <color theme="1"/>
      <name val="Calibri"/>
      <family val="2"/>
      <scheme val="minor"/>
    </font>
    <font>
      <sz val="8"/>
      <name val="Calibri"/>
      <family val="2"/>
      <scheme val="minor"/>
    </font>
    <font>
      <b/>
      <sz val="10"/>
      <color theme="0"/>
      <name val="Calibri"/>
      <family val="2"/>
      <scheme val="minor"/>
    </font>
    <font>
      <sz val="10"/>
      <color rgb="FF000000"/>
      <name val="Arial"/>
      <family val="2"/>
    </font>
    <font>
      <b/>
      <sz val="11"/>
      <name val="Calibri"/>
      <family val="2"/>
      <scheme val="minor"/>
    </font>
    <font>
      <sz val="11"/>
      <color rgb="FF006100"/>
      <name val="Calibri"/>
      <family val="2"/>
      <scheme val="minor"/>
    </font>
    <font>
      <i/>
      <sz val="11"/>
      <name val="Calibri"/>
      <family val="2"/>
      <scheme val="minor"/>
    </font>
    <font>
      <sz val="10"/>
      <name val="Calibri"/>
      <family val="2"/>
    </font>
    <font>
      <sz val="10"/>
      <color rgb="FF000000"/>
      <name val="Calibri"/>
      <family val="2"/>
    </font>
    <font>
      <sz val="10"/>
      <color theme="1"/>
      <name val="Calibri"/>
      <family val="2"/>
      <scheme val="minor"/>
    </font>
    <font>
      <b/>
      <sz val="10"/>
      <color rgb="FFFFFFFF"/>
      <name val="Calibri"/>
      <family val="2"/>
    </font>
    <font>
      <sz val="10"/>
      <color rgb="FF006100"/>
      <name val="Calibri"/>
      <family val="2"/>
      <scheme val="minor"/>
    </font>
    <font>
      <b/>
      <sz val="12"/>
      <color theme="1"/>
      <name val="Calibri"/>
      <family val="2"/>
      <scheme val="minor"/>
    </font>
    <font>
      <i/>
      <sz val="11"/>
      <name val="Calibri"/>
      <family val="2"/>
    </font>
    <font>
      <b/>
      <sz val="11"/>
      <color rgb="FFFFFFFF"/>
      <name val="Calibri"/>
      <family val="2"/>
    </font>
    <font>
      <i/>
      <sz val="9"/>
      <name val="Calibri"/>
      <family val="2"/>
    </font>
    <font>
      <u/>
      <sz val="11"/>
      <color rgb="FF0563C1"/>
      <name val="Calibri"/>
      <family val="2"/>
    </font>
    <font>
      <sz val="11"/>
      <color rgb="FFFFFFFF"/>
      <name val="Calibri"/>
      <family val="2"/>
    </font>
    <font>
      <b/>
      <sz val="11"/>
      <color rgb="FF000000"/>
      <name val="Calibri"/>
      <family val="2"/>
    </font>
    <font>
      <sz val="10"/>
      <color rgb="FF000000"/>
      <name val="Calibri"/>
      <family val="2"/>
      <scheme val="minor"/>
    </font>
    <font>
      <sz val="12"/>
      <name val="Calibri"/>
      <family val="2"/>
    </font>
    <font>
      <sz val="11"/>
      <color rgb="FFFF0000"/>
      <name val="Calibri"/>
      <family val="2"/>
      <scheme val="minor"/>
    </font>
    <font>
      <sz val="11"/>
      <color rgb="FF000000"/>
      <name val="Inherit"/>
    </font>
    <font>
      <sz val="11"/>
      <color rgb="FF202124"/>
      <name val="Calibri"/>
      <family val="2"/>
      <scheme val="minor"/>
    </font>
    <font>
      <i/>
      <sz val="9"/>
      <color rgb="FF000000"/>
      <name val="Calibri"/>
      <family val="2"/>
      <scheme val="minor"/>
    </font>
    <font>
      <u/>
      <sz val="11"/>
      <color rgb="FF000000"/>
      <name val="Calibri"/>
      <family val="2"/>
      <scheme val="minor"/>
    </font>
    <font>
      <i/>
      <sz val="11"/>
      <color rgb="FF000000"/>
      <name val="Calibri"/>
      <family val="2"/>
      <scheme val="minor"/>
    </font>
    <font>
      <sz val="10"/>
      <color indexed="8"/>
      <name val="Arial"/>
      <family val="2"/>
    </font>
    <font>
      <sz val="10"/>
      <color indexed="8"/>
      <name val="Calibri"/>
      <family val="2"/>
      <scheme val="minor"/>
    </font>
    <font>
      <sz val="11"/>
      <color theme="0"/>
      <name val="Inherit"/>
    </font>
    <font>
      <u/>
      <sz val="11"/>
      <color theme="0"/>
      <name val="Calibri"/>
      <family val="2"/>
      <scheme val="minor"/>
    </font>
    <font>
      <i/>
      <sz val="9"/>
      <color rgb="FFFF0000"/>
      <name val="Calibri"/>
      <family val="2"/>
      <scheme val="minor"/>
    </font>
    <font>
      <i/>
      <sz val="11"/>
      <color rgb="FFFF0000"/>
      <name val="Calibri"/>
      <family val="2"/>
      <scheme val="minor"/>
    </font>
    <font>
      <b/>
      <sz val="11"/>
      <color theme="0"/>
      <name val="Aptos"/>
      <family val="2"/>
    </font>
  </fonts>
  <fills count="45">
    <fill>
      <patternFill patternType="none"/>
    </fill>
    <fill>
      <patternFill patternType="gray125"/>
    </fill>
    <fill>
      <patternFill patternType="solid">
        <fgColor indexed="65"/>
        <bgColor indexed="64"/>
      </patternFill>
    </fill>
    <fill>
      <patternFill patternType="solid">
        <fgColor rgb="FFFFFFFF"/>
        <bgColor indexed="64"/>
      </patternFill>
    </fill>
    <fill>
      <patternFill patternType="solid">
        <fgColor rgb="FFFF9900"/>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1" tint="0.499984740745262"/>
        <bgColor indexed="64"/>
      </patternFill>
    </fill>
    <fill>
      <patternFill patternType="solid">
        <fgColor rgb="FFFFC000"/>
        <bgColor indexed="64"/>
      </patternFill>
    </fill>
    <fill>
      <patternFill patternType="solid">
        <fgColor rgb="FF7030A0"/>
        <bgColor indexed="64"/>
      </patternFill>
    </fill>
    <fill>
      <patternFill patternType="solid">
        <fgColor rgb="FFFF3399"/>
        <bgColor indexed="64"/>
      </patternFill>
    </fill>
    <fill>
      <patternFill patternType="solid">
        <fgColor theme="3" tint="0.59999389629810485"/>
        <bgColor indexed="64"/>
      </patternFill>
    </fill>
    <fill>
      <patternFill patternType="solid">
        <fgColor rgb="FFC3D69B"/>
        <bgColor indexed="64"/>
      </patternFill>
    </fill>
    <fill>
      <patternFill patternType="solid">
        <fgColor rgb="FFE5B9B7"/>
        <bgColor indexed="64"/>
      </patternFill>
    </fill>
    <fill>
      <patternFill patternType="solid">
        <fgColor rgb="FF76923C"/>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B0F0"/>
        <bgColor indexed="64"/>
      </patternFill>
    </fill>
    <fill>
      <patternFill patternType="solid">
        <fgColor theme="7" tint="0.39997558519241921"/>
        <bgColor indexed="64"/>
      </patternFill>
    </fill>
    <fill>
      <patternFill patternType="solid">
        <fgColor rgb="FF8501CF"/>
        <bgColor indexed="64"/>
      </patternFill>
    </fill>
    <fill>
      <patternFill patternType="solid">
        <fgColor rgb="FFFF66FF"/>
        <bgColor indexed="64"/>
      </patternFill>
    </fill>
    <fill>
      <patternFill patternType="solid">
        <fgColor rgb="FFFFFF00"/>
        <bgColor rgb="FF000000"/>
      </patternFill>
    </fill>
    <fill>
      <patternFill patternType="solid">
        <fgColor rgb="FFC6EFCE"/>
      </patternFill>
    </fill>
    <fill>
      <patternFill patternType="solid">
        <fgColor rgb="FF0070C0"/>
        <bgColor indexed="64"/>
      </patternFill>
    </fill>
    <fill>
      <patternFill patternType="solid">
        <fgColor rgb="FFFFC000"/>
        <bgColor rgb="FFFFC000"/>
      </patternFill>
    </fill>
    <fill>
      <patternFill patternType="solid">
        <fgColor rgb="FF7030A0"/>
        <bgColor rgb="FF7030A0"/>
      </patternFill>
    </fill>
    <fill>
      <patternFill patternType="solid">
        <fgColor rgb="FFADB9CA"/>
        <bgColor rgb="FFADB9CA"/>
      </patternFill>
    </fill>
    <fill>
      <patternFill patternType="solid">
        <fgColor rgb="FFFFFF00"/>
        <bgColor rgb="FFFFFF00"/>
      </patternFill>
    </fill>
    <fill>
      <patternFill patternType="solid">
        <fgColor rgb="FF70AD47"/>
        <bgColor rgb="FF70AD47"/>
      </patternFill>
    </fill>
    <fill>
      <patternFill patternType="solid">
        <fgColor rgb="FF8501CF"/>
        <bgColor rgb="FF8501CF"/>
      </patternFill>
    </fill>
    <fill>
      <patternFill patternType="solid">
        <fgColor rgb="FFFF3399"/>
        <bgColor rgb="FFFF3399"/>
      </patternFill>
    </fill>
    <fill>
      <patternFill patternType="solid">
        <fgColor rgb="FFFFFFFF"/>
        <bgColor rgb="FFFFFFFF"/>
      </patternFill>
    </fill>
    <fill>
      <patternFill patternType="solid">
        <fgColor rgb="FF7F7F7F"/>
        <bgColor rgb="FF7F7F7F"/>
      </patternFill>
    </fill>
    <fill>
      <patternFill patternType="solid">
        <fgColor rgb="FFF7CAAC"/>
        <bgColor rgb="FFF7CAAC"/>
      </patternFill>
    </fill>
    <fill>
      <patternFill patternType="solid">
        <fgColor theme="5"/>
        <bgColor indexed="64"/>
      </patternFill>
    </fill>
    <fill>
      <patternFill patternType="solid">
        <fgColor rgb="FFFFFFFF"/>
        <bgColor rgb="FF000000"/>
      </patternFill>
    </fill>
    <fill>
      <patternFill patternType="solid">
        <fgColor rgb="FF7030A0"/>
        <bgColor rgb="FF000000"/>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F0000"/>
        <bgColor rgb="FF000000"/>
      </patternFill>
    </fill>
    <fill>
      <patternFill patternType="solid">
        <fgColor rgb="FFFF0000"/>
        <bgColor rgb="FFADB9CA"/>
      </patternFill>
    </fill>
    <fill>
      <patternFill patternType="solid">
        <fgColor rgb="FFFFFF00"/>
        <bgColor rgb="FFFFFFFF"/>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diagonal/>
    </border>
    <border>
      <left/>
      <right style="thin">
        <color auto="1"/>
      </right>
      <top/>
      <bottom style="thin">
        <color auto="1"/>
      </bottom>
      <diagonal/>
    </border>
    <border>
      <left style="thin">
        <color auto="1"/>
      </left>
      <right/>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0">
    <xf numFmtId="0" fontId="0" fillId="0" borderId="0"/>
    <xf numFmtId="0" fontId="5" fillId="0" borderId="0" applyNumberFormat="0" applyFill="0" applyBorder="0" applyAlignment="0" applyProtection="0"/>
    <xf numFmtId="43" fontId="10" fillId="0" borderId="0" applyFont="0" applyFill="0" applyBorder="0" applyAlignment="0" applyProtection="0"/>
    <xf numFmtId="0" fontId="11" fillId="0" borderId="0" applyNumberFormat="0" applyFill="0" applyBorder="0" applyAlignment="0" applyProtection="0"/>
    <xf numFmtId="164" fontId="14" fillId="0" borderId="0" applyFont="0" applyFill="0" applyBorder="0" applyAlignment="0" applyProtection="0"/>
    <xf numFmtId="0" fontId="17" fillId="0" borderId="0"/>
    <xf numFmtId="0" fontId="18" fillId="0" borderId="0">
      <alignment vertical="center"/>
    </xf>
    <xf numFmtId="0" fontId="23" fillId="24" borderId="0" applyNumberFormat="0" applyBorder="0" applyAlignment="0" applyProtection="0"/>
    <xf numFmtId="0" fontId="10" fillId="0" borderId="0"/>
    <xf numFmtId="0" fontId="45" fillId="0" borderId="0"/>
  </cellStyleXfs>
  <cellXfs count="423">
    <xf numFmtId="0" fontId="0" fillId="0" borderId="0" xfId="0"/>
    <xf numFmtId="0" fontId="3" fillId="3" borderId="3" xfId="0" applyFont="1" applyFill="1" applyBorder="1" applyAlignment="1">
      <alignment horizontal="left" vertical="top" wrapText="1"/>
    </xf>
    <xf numFmtId="0" fontId="3" fillId="0" borderId="3" xfId="0" applyFont="1" applyBorder="1" applyAlignment="1">
      <alignment vertical="center"/>
    </xf>
    <xf numFmtId="0" fontId="3" fillId="0" borderId="3" xfId="0" applyFont="1" applyBorder="1" applyAlignment="1">
      <alignment vertical="center" wrapText="1"/>
    </xf>
    <xf numFmtId="0" fontId="3" fillId="0" borderId="3" xfId="0" applyFont="1" applyBorder="1" applyAlignment="1">
      <alignment horizontal="left" wrapText="1"/>
    </xf>
    <xf numFmtId="49" fontId="3" fillId="0" borderId="3" xfId="0" applyNumberFormat="1" applyFont="1" applyBorder="1" applyAlignment="1">
      <alignment horizontal="center" wrapText="1"/>
    </xf>
    <xf numFmtId="49" fontId="3" fillId="0" borderId="3" xfId="0" applyNumberFormat="1" applyFont="1" applyBorder="1" applyAlignment="1">
      <alignment horizontal="left" wrapText="1"/>
    </xf>
    <xf numFmtId="49" fontId="3" fillId="0" borderId="3" xfId="0" applyNumberFormat="1" applyFont="1" applyBorder="1" applyAlignment="1">
      <alignment horizontal="left" vertical="center" wrapText="1"/>
    </xf>
    <xf numFmtId="0" fontId="0" fillId="6" borderId="0" xfId="0" applyFill="1"/>
    <xf numFmtId="0" fontId="0" fillId="0" borderId="3" xfId="0" applyBorder="1"/>
    <xf numFmtId="0" fontId="3" fillId="0" borderId="0" xfId="0" applyFont="1" applyAlignment="1">
      <alignment horizontal="left" vertical="top" wrapText="1"/>
    </xf>
    <xf numFmtId="0" fontId="3" fillId="0" borderId="0" xfId="0" applyFont="1" applyAlignment="1">
      <alignment vertical="center"/>
    </xf>
    <xf numFmtId="49" fontId="3" fillId="0" borderId="0" xfId="0" applyNumberFormat="1" applyFont="1" applyAlignment="1">
      <alignment horizontal="center" wrapText="1"/>
    </xf>
    <xf numFmtId="0" fontId="5" fillId="0" borderId="0" xfId="1"/>
    <xf numFmtId="0" fontId="3" fillId="0" borderId="0" xfId="0" applyFont="1" applyAlignment="1">
      <alignment vertical="center" wrapText="1"/>
    </xf>
    <xf numFmtId="0" fontId="5" fillId="0" borderId="0" xfId="1" applyAlignment="1">
      <alignment vertical="top" wrapText="1"/>
    </xf>
    <xf numFmtId="0" fontId="0" fillId="0" borderId="3" xfId="0" applyBorder="1" applyAlignment="1">
      <alignment horizontal="right"/>
    </xf>
    <xf numFmtId="0" fontId="0" fillId="0" borderId="3" xfId="0" applyBorder="1" applyAlignment="1">
      <alignment horizontal="left"/>
    </xf>
    <xf numFmtId="0" fontId="0" fillId="0" borderId="3" xfId="0" quotePrefix="1" applyBorder="1"/>
    <xf numFmtId="0" fontId="0" fillId="0" borderId="3" xfId="0" applyBorder="1" applyAlignment="1">
      <alignment wrapText="1"/>
    </xf>
    <xf numFmtId="0" fontId="0" fillId="10" borderId="0" xfId="0" applyFill="1"/>
    <xf numFmtId="0" fontId="0" fillId="7" borderId="0" xfId="0" applyFill="1"/>
    <xf numFmtId="0" fontId="0" fillId="5" borderId="0" xfId="0" applyFill="1"/>
    <xf numFmtId="0" fontId="0" fillId="5" borderId="3" xfId="0" applyFill="1" applyBorder="1"/>
    <xf numFmtId="0" fontId="8" fillId="10" borderId="0" xfId="0" applyFont="1" applyFill="1"/>
    <xf numFmtId="0" fontId="1" fillId="11" borderId="3" xfId="0" applyFont="1" applyFill="1" applyBorder="1" applyAlignment="1">
      <alignment horizontal="center" vertical="top" wrapText="1"/>
    </xf>
    <xf numFmtId="0" fontId="13" fillId="5" borderId="0" xfId="0" applyFont="1" applyFill="1"/>
    <xf numFmtId="0" fontId="0" fillId="4" borderId="0" xfId="0" applyFill="1"/>
    <xf numFmtId="0" fontId="0" fillId="6" borderId="3" xfId="0" applyFill="1" applyBorder="1"/>
    <xf numFmtId="0" fontId="0" fillId="12" borderId="0" xfId="0" applyFill="1"/>
    <xf numFmtId="0" fontId="1" fillId="11" borderId="5" xfId="0" applyFont="1" applyFill="1" applyBorder="1" applyAlignment="1">
      <alignment horizontal="center" vertical="top" wrapText="1"/>
    </xf>
    <xf numFmtId="0" fontId="1" fillId="11" borderId="4" xfId="0" applyFont="1" applyFill="1" applyBorder="1" applyAlignment="1">
      <alignment horizontal="center" vertical="top" wrapText="1"/>
    </xf>
    <xf numFmtId="0" fontId="8" fillId="10" borderId="0" xfId="0" applyFont="1" applyFill="1" applyAlignment="1">
      <alignment wrapText="1"/>
    </xf>
    <xf numFmtId="9" fontId="0" fillId="0" borderId="3" xfId="0" applyNumberFormat="1" applyBorder="1"/>
    <xf numFmtId="0" fontId="2" fillId="5" borderId="3" xfId="0" applyFont="1" applyFill="1" applyBorder="1" applyAlignment="1">
      <alignment horizontal="left" wrapText="1"/>
    </xf>
    <xf numFmtId="0" fontId="0" fillId="0" borderId="0" xfId="0" applyAlignment="1">
      <alignment horizontal="right"/>
    </xf>
    <xf numFmtId="0" fontId="0" fillId="0" borderId="3" xfId="0" applyBorder="1" applyAlignment="1">
      <alignment horizontal="center" vertical="center" wrapText="1"/>
    </xf>
    <xf numFmtId="0" fontId="0" fillId="0" borderId="3" xfId="0" applyBorder="1" applyAlignment="1">
      <alignment horizontal="center" wrapText="1"/>
    </xf>
    <xf numFmtId="0" fontId="0" fillId="13" borderId="3" xfId="0" applyFill="1" applyBorder="1" applyAlignment="1">
      <alignment horizontal="right"/>
    </xf>
    <xf numFmtId="0" fontId="0" fillId="13" borderId="3" xfId="0" applyFill="1" applyBorder="1"/>
    <xf numFmtId="0" fontId="0" fillId="13" borderId="3" xfId="0" quotePrefix="1" applyFill="1" applyBorder="1"/>
    <xf numFmtId="0" fontId="0" fillId="13" borderId="3" xfId="0" applyFill="1" applyBorder="1" applyAlignment="1">
      <alignment wrapText="1"/>
    </xf>
    <xf numFmtId="0" fontId="0" fillId="14" borderId="3" xfId="0" applyFill="1" applyBorder="1"/>
    <xf numFmtId="0" fontId="0" fillId="14" borderId="3" xfId="0" quotePrefix="1" applyFill="1" applyBorder="1"/>
    <xf numFmtId="0" fontId="0" fillId="14" borderId="3" xfId="0" applyFill="1" applyBorder="1" applyAlignment="1">
      <alignment horizontal="right"/>
    </xf>
    <xf numFmtId="0" fontId="0" fillId="15" borderId="3" xfId="0" applyFill="1" applyBorder="1"/>
    <xf numFmtId="0" fontId="14" fillId="0" borderId="0" xfId="0" applyFont="1"/>
    <xf numFmtId="0" fontId="14" fillId="0" borderId="3" xfId="0" applyFont="1" applyBorder="1"/>
    <xf numFmtId="0" fontId="15" fillId="0" borderId="0" xfId="0" applyFont="1"/>
    <xf numFmtId="0" fontId="15" fillId="0" borderId="0" xfId="0" applyFont="1" applyAlignment="1">
      <alignment wrapText="1"/>
    </xf>
    <xf numFmtId="0" fontId="12" fillId="11" borderId="0" xfId="0" applyFont="1" applyFill="1" applyAlignment="1">
      <alignment horizontal="left" vertical="center" wrapText="1"/>
    </xf>
    <xf numFmtId="16" fontId="0" fillId="5" borderId="0" xfId="0" applyNumberFormat="1" applyFill="1" applyAlignment="1">
      <alignment horizontal="center" vertical="center"/>
    </xf>
    <xf numFmtId="0" fontId="0" fillId="5" borderId="0" xfId="0" applyFill="1" applyAlignment="1">
      <alignment horizontal="center" vertical="center"/>
    </xf>
    <xf numFmtId="0" fontId="8" fillId="5" borderId="0" xfId="0" applyFont="1" applyFill="1" applyAlignment="1">
      <alignment horizontal="center" vertical="center"/>
    </xf>
    <xf numFmtId="0" fontId="8" fillId="7" borderId="3" xfId="0" applyFont="1" applyFill="1" applyBorder="1" applyAlignment="1">
      <alignment horizontal="center"/>
    </xf>
    <xf numFmtId="1" fontId="0" fillId="5" borderId="3" xfId="0" quotePrefix="1" applyNumberFormat="1" applyFill="1" applyBorder="1"/>
    <xf numFmtId="1" fontId="0" fillId="6" borderId="3" xfId="0" quotePrefix="1" applyNumberFormat="1" applyFill="1" applyBorder="1"/>
    <xf numFmtId="0" fontId="8" fillId="9" borderId="0" xfId="0" applyFont="1" applyFill="1" applyAlignment="1">
      <alignment wrapText="1"/>
    </xf>
    <xf numFmtId="0" fontId="0" fillId="18" borderId="0" xfId="0" applyFill="1"/>
    <xf numFmtId="0" fontId="0" fillId="19" borderId="0" xfId="0" applyFill="1"/>
    <xf numFmtId="0" fontId="0" fillId="20" borderId="0" xfId="0" applyFill="1"/>
    <xf numFmtId="0" fontId="0" fillId="17" borderId="0" xfId="0" applyFill="1"/>
    <xf numFmtId="0" fontId="0" fillId="11" borderId="0" xfId="0" applyFill="1"/>
    <xf numFmtId="0" fontId="0" fillId="21" borderId="0" xfId="0" applyFill="1"/>
    <xf numFmtId="0" fontId="0" fillId="22" borderId="0" xfId="0" applyFill="1"/>
    <xf numFmtId="0" fontId="7" fillId="6" borderId="3" xfId="0" applyFont="1" applyFill="1" applyBorder="1" applyAlignment="1">
      <alignment horizontal="center" vertical="center" wrapText="1"/>
    </xf>
    <xf numFmtId="49" fontId="4" fillId="0" borderId="3" xfId="0" applyNumberFormat="1" applyFont="1" applyBorder="1" applyAlignment="1">
      <alignment horizontal="left" vertical="center" wrapText="1"/>
    </xf>
    <xf numFmtId="0" fontId="2" fillId="0" borderId="3" xfId="0" applyFont="1" applyBorder="1" applyAlignment="1">
      <alignment horizontal="left" vertical="center"/>
    </xf>
    <xf numFmtId="0" fontId="3" fillId="0" borderId="3" xfId="0" applyFont="1" applyBorder="1" applyAlignment="1">
      <alignment horizontal="center" wrapText="1"/>
    </xf>
    <xf numFmtId="0" fontId="3" fillId="5" borderId="3" xfId="0" applyFont="1" applyFill="1" applyBorder="1" applyAlignment="1">
      <alignment vertical="center" wrapText="1"/>
    </xf>
    <xf numFmtId="0" fontId="2" fillId="6" borderId="0" xfId="0" applyFont="1" applyFill="1"/>
    <xf numFmtId="0" fontId="21" fillId="23" borderId="0" xfId="0" applyFont="1" applyFill="1"/>
    <xf numFmtId="0" fontId="0" fillId="6" borderId="0" xfId="0" applyFill="1" applyAlignment="1">
      <alignment wrapText="1"/>
    </xf>
    <xf numFmtId="0" fontId="0" fillId="0" borderId="0" xfId="0" applyAlignment="1">
      <alignment horizontal="center" vertical="center"/>
    </xf>
    <xf numFmtId="0" fontId="1" fillId="11" borderId="3" xfId="0" applyFont="1" applyFill="1" applyBorder="1"/>
    <xf numFmtId="14" fontId="0" fillId="5" borderId="3" xfId="0" applyNumberFormat="1" applyFill="1" applyBorder="1"/>
    <xf numFmtId="0" fontId="1" fillId="11" borderId="1" xfId="0" applyFont="1" applyFill="1" applyBorder="1" applyAlignment="1">
      <alignment horizontal="center"/>
    </xf>
    <xf numFmtId="0" fontId="1" fillId="11" borderId="2" xfId="0" applyFont="1" applyFill="1" applyBorder="1" applyAlignment="1">
      <alignment horizontal="center"/>
    </xf>
    <xf numFmtId="0" fontId="1" fillId="11" borderId="6" xfId="0" applyFont="1" applyFill="1" applyBorder="1" applyAlignment="1">
      <alignment horizontal="center"/>
    </xf>
    <xf numFmtId="0" fontId="20" fillId="11" borderId="3" xfId="0" applyFont="1" applyFill="1" applyBorder="1" applyAlignment="1">
      <alignment horizontal="center" vertical="center" wrapText="1"/>
    </xf>
    <xf numFmtId="0" fontId="3" fillId="3" borderId="3" xfId="0" applyFont="1" applyFill="1" applyBorder="1" applyAlignment="1">
      <alignment horizontal="left" vertical="center" wrapText="1"/>
    </xf>
    <xf numFmtId="0" fontId="0" fillId="0" borderId="3" xfId="0" applyBorder="1" applyAlignment="1">
      <alignment vertical="center"/>
    </xf>
    <xf numFmtId="49" fontId="3" fillId="0" borderId="3" xfId="0" applyNumberFormat="1" applyFont="1" applyBorder="1" applyAlignment="1">
      <alignment horizontal="center" vertical="center" wrapText="1"/>
    </xf>
    <xf numFmtId="0" fontId="5" fillId="0" borderId="3" xfId="1" applyBorder="1" applyAlignment="1">
      <alignment vertical="center"/>
    </xf>
    <xf numFmtId="0" fontId="0" fillId="0" borderId="0" xfId="0" applyAlignment="1">
      <alignment vertical="center"/>
    </xf>
    <xf numFmtId="0" fontId="3" fillId="0" borderId="3" xfId="0" applyFont="1" applyBorder="1" applyAlignment="1">
      <alignment horizontal="left" vertical="center" wrapText="1"/>
    </xf>
    <xf numFmtId="0" fontId="1" fillId="11" borderId="3" xfId="0" applyFont="1" applyFill="1" applyBorder="1" applyAlignment="1">
      <alignment horizontal="center" vertical="center" wrapText="1"/>
    </xf>
    <xf numFmtId="0" fontId="14" fillId="0" borderId="3" xfId="0" applyFont="1" applyBorder="1" applyAlignment="1">
      <alignment vertical="center"/>
    </xf>
    <xf numFmtId="0" fontId="24" fillId="6" borderId="3" xfId="0" applyFont="1" applyFill="1" applyBorder="1" applyAlignment="1">
      <alignment horizontal="center" vertical="center" wrapText="1"/>
    </xf>
    <xf numFmtId="0" fontId="24" fillId="0" borderId="3" xfId="0" applyFont="1" applyBorder="1" applyAlignment="1">
      <alignment horizontal="justify" vertical="center"/>
    </xf>
    <xf numFmtId="0" fontId="14" fillId="0" borderId="3" xfId="0" applyFont="1" applyBorder="1" applyAlignment="1">
      <alignment horizontal="left" vertical="center" wrapText="1"/>
    </xf>
    <xf numFmtId="0" fontId="14" fillId="0" borderId="0" xfId="0" applyFont="1" applyAlignment="1">
      <alignment vertical="center"/>
    </xf>
    <xf numFmtId="0" fontId="3" fillId="5" borderId="3" xfId="0" applyFont="1" applyFill="1" applyBorder="1" applyAlignment="1">
      <alignment horizontal="left" vertical="center" wrapText="1"/>
    </xf>
    <xf numFmtId="0" fontId="3" fillId="3" borderId="3" xfId="0" applyFont="1" applyFill="1" applyBorder="1" applyAlignment="1">
      <alignment vertical="center" wrapText="1"/>
    </xf>
    <xf numFmtId="0" fontId="14" fillId="5" borderId="3" xfId="0" applyFont="1" applyFill="1" applyBorder="1" applyAlignment="1">
      <alignment vertical="center" wrapText="1"/>
    </xf>
    <xf numFmtId="0" fontId="14" fillId="0" borderId="3" xfId="0" applyFont="1" applyBorder="1" applyAlignment="1">
      <alignment vertical="center" wrapText="1"/>
    </xf>
    <xf numFmtId="0" fontId="4" fillId="0" borderId="3" xfId="0" applyFont="1" applyBorder="1" applyAlignment="1">
      <alignment horizontal="left" vertical="center" wrapText="1"/>
    </xf>
    <xf numFmtId="49" fontId="0" fillId="6" borderId="0" xfId="0" applyNumberFormat="1" applyFill="1" applyAlignment="1">
      <alignment wrapText="1"/>
    </xf>
    <xf numFmtId="0" fontId="4" fillId="0" borderId="3" xfId="0" applyFont="1" applyBorder="1" applyAlignment="1">
      <alignment vertical="center"/>
    </xf>
    <xf numFmtId="49" fontId="5" fillId="0" borderId="3" xfId="1" applyNumberFormat="1" applyBorder="1" applyAlignment="1">
      <alignment horizontal="left" vertical="center" wrapText="1"/>
    </xf>
    <xf numFmtId="49" fontId="3" fillId="3" borderId="3" xfId="0" applyNumberFormat="1" applyFont="1" applyFill="1" applyBorder="1" applyAlignment="1">
      <alignment horizontal="left" vertical="center" wrapText="1"/>
    </xf>
    <xf numFmtId="0" fontId="4" fillId="5" borderId="3" xfId="0" applyFont="1" applyFill="1" applyBorder="1" applyAlignment="1">
      <alignment vertical="center" wrapText="1"/>
    </xf>
    <xf numFmtId="0" fontId="4" fillId="5" borderId="3" xfId="0" applyFont="1" applyFill="1" applyBorder="1" applyAlignment="1">
      <alignment vertical="center"/>
    </xf>
    <xf numFmtId="49" fontId="4" fillId="5" borderId="3" xfId="0" applyNumberFormat="1" applyFont="1" applyFill="1" applyBorder="1" applyAlignment="1">
      <alignment horizontal="left" vertical="center" wrapText="1"/>
    </xf>
    <xf numFmtId="0" fontId="4" fillId="5" borderId="3" xfId="0" applyFont="1" applyFill="1" applyBorder="1" applyAlignment="1">
      <alignment horizontal="left" vertical="center" wrapText="1"/>
    </xf>
    <xf numFmtId="49" fontId="3" fillId="5" borderId="3" xfId="0" applyNumberFormat="1" applyFont="1" applyFill="1" applyBorder="1" applyAlignment="1">
      <alignment horizontal="left" vertical="center" wrapText="1"/>
    </xf>
    <xf numFmtId="0" fontId="0" fillId="5" borderId="0" xfId="0" applyFill="1" applyAlignment="1">
      <alignment vertical="center"/>
    </xf>
    <xf numFmtId="49" fontId="3" fillId="5" borderId="3" xfId="0" applyNumberFormat="1" applyFont="1" applyFill="1" applyBorder="1" applyAlignment="1">
      <alignment vertical="center" wrapText="1"/>
    </xf>
    <xf numFmtId="49" fontId="3" fillId="2" borderId="3" xfId="0" applyNumberFormat="1" applyFont="1" applyFill="1" applyBorder="1" applyAlignment="1">
      <alignment horizontal="left" vertical="center" wrapText="1"/>
    </xf>
    <xf numFmtId="0" fontId="3" fillId="2" borderId="3" xfId="0" applyFont="1" applyFill="1" applyBorder="1" applyAlignment="1">
      <alignment vertical="center" wrapText="1"/>
    </xf>
    <xf numFmtId="0" fontId="2" fillId="2" borderId="3" xfId="0" applyFont="1" applyFill="1" applyBorder="1" applyAlignment="1">
      <alignment vertical="center" wrapText="1"/>
    </xf>
    <xf numFmtId="0" fontId="9" fillId="0" borderId="0" xfId="0" applyFont="1"/>
    <xf numFmtId="0" fontId="5" fillId="10" borderId="3" xfId="1" applyFill="1" applyBorder="1" applyAlignment="1">
      <alignment horizontal="center" vertical="top" wrapText="1"/>
    </xf>
    <xf numFmtId="0" fontId="1" fillId="9" borderId="3" xfId="0" applyFont="1" applyFill="1" applyBorder="1" applyAlignment="1">
      <alignment horizontal="center" vertical="center" wrapText="1"/>
    </xf>
    <xf numFmtId="0" fontId="1" fillId="10" borderId="3" xfId="0" applyFont="1" applyFill="1" applyBorder="1" applyAlignment="1">
      <alignment horizontal="center" vertical="center" wrapText="1"/>
    </xf>
    <xf numFmtId="0" fontId="8" fillId="9" borderId="0" xfId="0" applyFont="1" applyFill="1" applyAlignment="1">
      <alignment horizontal="center" vertical="center"/>
    </xf>
    <xf numFmtId="0" fontId="5" fillId="5" borderId="3" xfId="1" applyFill="1" applyBorder="1" applyAlignment="1">
      <alignment horizontal="justify" vertical="center" wrapText="1"/>
    </xf>
    <xf numFmtId="0" fontId="8" fillId="9" borderId="0" xfId="0" applyFont="1" applyFill="1" applyAlignment="1">
      <alignment horizontal="center" vertical="center" wrapText="1"/>
    </xf>
    <xf numFmtId="0" fontId="26" fillId="0" borderId="0" xfId="0" applyFont="1" applyAlignment="1">
      <alignment vertical="center"/>
    </xf>
    <xf numFmtId="0" fontId="27" fillId="0" borderId="0" xfId="0" applyFont="1" applyAlignment="1">
      <alignment vertical="center"/>
    </xf>
    <xf numFmtId="0" fontId="29" fillId="0" borderId="0" xfId="7" applyFont="1" applyFill="1" applyBorder="1" applyAlignment="1">
      <alignment vertical="center"/>
    </xf>
    <xf numFmtId="0" fontId="0" fillId="12" borderId="0" xfId="0" applyFill="1" applyAlignment="1">
      <alignment horizontal="center" vertical="center"/>
    </xf>
    <xf numFmtId="0" fontId="9" fillId="0" borderId="3" xfId="0" applyFont="1" applyBorder="1"/>
    <xf numFmtId="0" fontId="4" fillId="0" borderId="3" xfId="0" applyFont="1" applyBorder="1" applyAlignment="1">
      <alignment horizontal="justify" vertical="center" wrapText="1"/>
    </xf>
    <xf numFmtId="0" fontId="4" fillId="0" borderId="3" xfId="0" applyFont="1" applyBorder="1" applyAlignment="1">
      <alignment horizontal="justify" vertical="center"/>
    </xf>
    <xf numFmtId="0" fontId="5" fillId="0" borderId="3" xfId="1" applyBorder="1" applyAlignment="1">
      <alignment horizontal="justify" vertical="center" wrapText="1"/>
    </xf>
    <xf numFmtId="0" fontId="24" fillId="5" borderId="3" xfId="0" applyFont="1" applyFill="1" applyBorder="1" applyAlignment="1">
      <alignment horizontal="justify" vertical="center"/>
    </xf>
    <xf numFmtId="0" fontId="14" fillId="0" borderId="0" xfId="0" applyFont="1" applyAlignment="1">
      <alignment vertical="center" wrapText="1"/>
    </xf>
    <xf numFmtId="0" fontId="0" fillId="5" borderId="0" xfId="0" applyFill="1" applyAlignment="1">
      <alignment horizontal="left" wrapText="1"/>
    </xf>
    <xf numFmtId="0" fontId="1" fillId="10" borderId="3" xfId="0" applyFont="1" applyFill="1" applyBorder="1" applyAlignment="1">
      <alignment horizontal="center" vertical="top" wrapText="1"/>
    </xf>
    <xf numFmtId="0" fontId="0" fillId="13" borderId="3" xfId="0" applyFill="1" applyBorder="1" applyAlignment="1">
      <alignment horizontal="center" wrapText="1"/>
    </xf>
    <xf numFmtId="0" fontId="0" fillId="14" borderId="3" xfId="0" applyFill="1" applyBorder="1" applyAlignment="1">
      <alignment horizontal="center" vertical="center"/>
    </xf>
    <xf numFmtId="0" fontId="0" fillId="13" borderId="3" xfId="0" applyFill="1" applyBorder="1" applyAlignment="1">
      <alignment horizontal="center" vertical="center"/>
    </xf>
    <xf numFmtId="0" fontId="0" fillId="0" borderId="2" xfId="0" applyBorder="1"/>
    <xf numFmtId="49" fontId="4" fillId="0" borderId="2" xfId="0" applyNumberFormat="1" applyFont="1" applyBorder="1" applyAlignment="1">
      <alignment horizontal="left" vertical="center" wrapText="1"/>
    </xf>
    <xf numFmtId="0" fontId="6" fillId="0" borderId="2" xfId="0" applyFont="1" applyBorder="1" applyAlignment="1">
      <alignment wrapText="1"/>
    </xf>
    <xf numFmtId="0" fontId="9" fillId="0" borderId="7" xfId="0" applyFont="1" applyBorder="1"/>
    <xf numFmtId="0" fontId="0" fillId="0" borderId="11" xfId="0" applyBorder="1"/>
    <xf numFmtId="0" fontId="8" fillId="9" borderId="3" xfId="0" applyFont="1" applyFill="1" applyBorder="1" applyAlignment="1">
      <alignment horizontal="center" vertical="center" wrapText="1"/>
    </xf>
    <xf numFmtId="0" fontId="14" fillId="0" borderId="3" xfId="0" applyFont="1" applyBorder="1" applyAlignment="1">
      <alignment horizontal="center" vertical="center"/>
    </xf>
    <xf numFmtId="0" fontId="5" fillId="10" borderId="3" xfId="1" applyFill="1" applyBorder="1" applyAlignment="1">
      <alignment vertical="center" wrapText="1"/>
    </xf>
    <xf numFmtId="0" fontId="1" fillId="10" borderId="3" xfId="0" applyFont="1" applyFill="1" applyBorder="1" applyAlignment="1">
      <alignment vertical="center" wrapText="1"/>
    </xf>
    <xf numFmtId="0" fontId="0" fillId="5" borderId="3" xfId="0" applyFill="1" applyBorder="1" applyAlignment="1">
      <alignment vertical="center" wrapText="1"/>
    </xf>
    <xf numFmtId="0" fontId="14" fillId="5" borderId="3" xfId="0" applyFont="1" applyFill="1" applyBorder="1" applyAlignment="1">
      <alignment horizontal="center" vertical="center"/>
    </xf>
    <xf numFmtId="0" fontId="14" fillId="5" borderId="3" xfId="0" applyFont="1" applyFill="1" applyBorder="1" applyAlignment="1">
      <alignment vertical="center"/>
    </xf>
    <xf numFmtId="0" fontId="8" fillId="10" borderId="0" xfId="0" applyFont="1" applyFill="1" applyAlignment="1">
      <alignment horizontal="left" wrapText="1"/>
    </xf>
    <xf numFmtId="0" fontId="0" fillId="6" borderId="0" xfId="0" applyFill="1" applyAlignment="1">
      <alignment horizontal="left"/>
    </xf>
    <xf numFmtId="0" fontId="0" fillId="0" borderId="0" xfId="0" applyAlignment="1">
      <alignment horizontal="left"/>
    </xf>
    <xf numFmtId="0" fontId="8" fillId="10" borderId="3" xfId="0" applyFont="1" applyFill="1" applyBorder="1" applyAlignment="1">
      <alignment horizontal="left" wrapText="1"/>
    </xf>
    <xf numFmtId="0" fontId="16" fillId="0" borderId="0" xfId="0" applyFont="1" applyAlignment="1">
      <alignment vertical="center"/>
    </xf>
    <xf numFmtId="0" fontId="3" fillId="2" borderId="3" xfId="0" applyFont="1" applyFill="1" applyBorder="1" applyAlignment="1">
      <alignment horizontal="left" vertical="center" wrapText="1"/>
    </xf>
    <xf numFmtId="0" fontId="5" fillId="10" borderId="3" xfId="1" applyFill="1" applyBorder="1" applyAlignment="1">
      <alignment horizontal="center" vertical="center" wrapText="1"/>
    </xf>
    <xf numFmtId="0" fontId="14" fillId="0" borderId="3" xfId="0" applyFont="1" applyBorder="1" applyAlignment="1">
      <alignment horizontal="left" vertical="center"/>
    </xf>
    <xf numFmtId="0" fontId="24" fillId="0" borderId="3" xfId="0" applyFont="1" applyBorder="1" applyAlignment="1">
      <alignment horizontal="left" vertical="center"/>
    </xf>
    <xf numFmtId="0" fontId="4" fillId="0" borderId="3" xfId="0" applyFont="1" applyBorder="1" applyAlignment="1">
      <alignment horizontal="left" vertical="center"/>
    </xf>
    <xf numFmtId="0" fontId="0" fillId="0" borderId="3" xfId="0" applyBorder="1" applyAlignment="1">
      <alignment horizontal="left" vertical="center"/>
    </xf>
    <xf numFmtId="0" fontId="3" fillId="2" borderId="3" xfId="0"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0" fontId="12" fillId="5" borderId="0" xfId="0" applyFont="1" applyFill="1" applyAlignment="1">
      <alignment horizontal="left" vertical="center" wrapText="1"/>
    </xf>
    <xf numFmtId="0" fontId="0" fillId="25" borderId="0" xfId="0" applyFill="1"/>
    <xf numFmtId="0" fontId="30" fillId="5" borderId="0" xfId="0" applyFont="1" applyFill="1"/>
    <xf numFmtId="0" fontId="14" fillId="5" borderId="3" xfId="0" applyFont="1" applyFill="1" applyBorder="1" applyAlignment="1">
      <alignment horizontal="left" vertical="center" wrapText="1"/>
    </xf>
    <xf numFmtId="0" fontId="3" fillId="6" borderId="3" xfId="0" applyFont="1" applyFill="1" applyBorder="1" applyAlignment="1">
      <alignment horizontal="left" vertical="center" wrapText="1"/>
    </xf>
    <xf numFmtId="49" fontId="0" fillId="5" borderId="3" xfId="0" applyNumberFormat="1" applyFill="1" applyBorder="1" applyAlignment="1">
      <alignment horizontal="left" vertical="center" wrapText="1"/>
    </xf>
    <xf numFmtId="0" fontId="24" fillId="5" borderId="3" xfId="0" applyFont="1" applyFill="1" applyBorder="1" applyAlignment="1">
      <alignment horizontal="center" vertical="center" wrapText="1"/>
    </xf>
    <xf numFmtId="0" fontId="2" fillId="5" borderId="3" xfId="0" applyFont="1" applyFill="1" applyBorder="1" applyAlignment="1">
      <alignment horizontal="left" vertical="center" wrapText="1"/>
    </xf>
    <xf numFmtId="0" fontId="5" fillId="5" borderId="3" xfId="1" applyFill="1" applyBorder="1" applyAlignment="1">
      <alignment horizontal="left" vertical="center" wrapText="1"/>
    </xf>
    <xf numFmtId="0" fontId="5" fillId="5" borderId="3" xfId="1" applyFill="1" applyBorder="1" applyAlignment="1">
      <alignment vertical="center" wrapText="1"/>
    </xf>
    <xf numFmtId="49" fontId="5" fillId="5" borderId="3" xfId="1" applyNumberFormat="1" applyFill="1" applyBorder="1" applyAlignment="1">
      <alignment horizontal="left" vertical="center" wrapText="1"/>
    </xf>
    <xf numFmtId="0" fontId="8" fillId="5" borderId="3" xfId="0" applyFont="1" applyFill="1" applyBorder="1" applyAlignment="1">
      <alignment vertical="center" wrapText="1"/>
    </xf>
    <xf numFmtId="0" fontId="5" fillId="5" borderId="0" xfId="1" applyFill="1" applyAlignment="1">
      <alignment vertical="center" wrapText="1"/>
    </xf>
    <xf numFmtId="0" fontId="28" fillId="26" borderId="12" xfId="0" applyFont="1" applyFill="1" applyBorder="1" applyAlignment="1">
      <alignment vertical="center" wrapText="1"/>
    </xf>
    <xf numFmtId="0" fontId="28" fillId="27" borderId="12" xfId="0" applyFont="1" applyFill="1" applyBorder="1" applyAlignment="1">
      <alignment vertical="center" wrapText="1"/>
    </xf>
    <xf numFmtId="0" fontId="0" fillId="28" borderId="12" xfId="0" applyFill="1" applyBorder="1"/>
    <xf numFmtId="0" fontId="28" fillId="27" borderId="12" xfId="0" applyFont="1" applyFill="1" applyBorder="1" applyAlignment="1">
      <alignment horizontal="center" vertical="center" wrapText="1"/>
    </xf>
    <xf numFmtId="0" fontId="25" fillId="29" borderId="12" xfId="0" applyFont="1" applyFill="1" applyBorder="1" applyAlignment="1">
      <alignment vertical="center"/>
    </xf>
    <xf numFmtId="0" fontId="0" fillId="29" borderId="12" xfId="0" applyFill="1" applyBorder="1"/>
    <xf numFmtId="49" fontId="0" fillId="0" borderId="12" xfId="0" applyNumberFormat="1" applyBorder="1" applyAlignment="1">
      <alignment horizontal="left" vertical="center" wrapText="1"/>
    </xf>
    <xf numFmtId="0" fontId="0" fillId="0" borderId="12" xfId="0" applyBorder="1" applyAlignment="1">
      <alignment horizontal="left" vertical="center" wrapText="1"/>
    </xf>
    <xf numFmtId="0" fontId="31" fillId="29" borderId="12" xfId="0" applyFont="1" applyFill="1" applyBorder="1" applyAlignment="1">
      <alignment horizontal="center" vertical="center" wrapText="1"/>
    </xf>
    <xf numFmtId="49" fontId="6" fillId="0" borderId="12" xfId="0" applyNumberFormat="1" applyFont="1" applyBorder="1" applyAlignment="1">
      <alignment horizontal="left" vertical="center" wrapText="1"/>
    </xf>
    <xf numFmtId="0" fontId="0" fillId="0" borderId="12" xfId="0" applyBorder="1" applyAlignment="1">
      <alignment vertical="center" wrapText="1"/>
    </xf>
    <xf numFmtId="0" fontId="32" fillId="31" borderId="12" xfId="0" applyFont="1" applyFill="1" applyBorder="1" applyAlignment="1">
      <alignment vertical="center" wrapText="1"/>
    </xf>
    <xf numFmtId="0" fontId="32" fillId="32" borderId="12" xfId="0" applyFont="1" applyFill="1" applyBorder="1" applyAlignment="1">
      <alignment horizontal="center" vertical="center" wrapText="1"/>
    </xf>
    <xf numFmtId="49" fontId="0" fillId="0" borderId="12" xfId="0" applyNumberFormat="1" applyBorder="1" applyAlignment="1">
      <alignment vertical="center" wrapText="1"/>
    </xf>
    <xf numFmtId="0" fontId="0" fillId="0" borderId="12" xfId="0" applyBorder="1" applyAlignment="1">
      <alignment vertical="center"/>
    </xf>
    <xf numFmtId="0" fontId="33" fillId="29" borderId="12" xfId="0" applyFont="1" applyFill="1" applyBorder="1" applyAlignment="1">
      <alignment horizontal="center" vertical="center" wrapText="1"/>
    </xf>
    <xf numFmtId="49" fontId="0" fillId="33" borderId="12" xfId="0" applyNumberFormat="1" applyFill="1" applyBorder="1" applyAlignment="1">
      <alignment vertical="center" wrapText="1"/>
    </xf>
    <xf numFmtId="49" fontId="0" fillId="34" borderId="12" xfId="0" applyNumberFormat="1" applyFill="1" applyBorder="1" applyAlignment="1">
      <alignment vertical="center" wrapText="1"/>
    </xf>
    <xf numFmtId="49" fontId="0" fillId="34" borderId="12" xfId="0" applyNumberFormat="1" applyFill="1" applyBorder="1" applyAlignment="1">
      <alignment vertical="center"/>
    </xf>
    <xf numFmtId="49" fontId="0" fillId="34" borderId="14" xfId="0" applyNumberFormat="1" applyFill="1" applyBorder="1" applyAlignment="1">
      <alignment vertical="center" wrapText="1"/>
    </xf>
    <xf numFmtId="49" fontId="0" fillId="34" borderId="15" xfId="0" applyNumberFormat="1" applyFill="1" applyBorder="1" applyAlignment="1">
      <alignment vertical="center" wrapText="1"/>
    </xf>
    <xf numFmtId="0" fontId="34" fillId="0" borderId="12" xfId="0" applyFont="1" applyBorder="1" applyAlignment="1">
      <alignment vertical="center" wrapText="1"/>
    </xf>
    <xf numFmtId="0" fontId="0" fillId="33" borderId="12" xfId="0" applyFill="1" applyBorder="1" applyAlignment="1">
      <alignment vertical="center" wrapText="1"/>
    </xf>
    <xf numFmtId="0" fontId="5" fillId="0" borderId="12" xfId="1" applyBorder="1" applyAlignment="1">
      <alignment vertical="center" wrapText="1"/>
    </xf>
    <xf numFmtId="0" fontId="6" fillId="0" borderId="12" xfId="0" applyFont="1" applyBorder="1" applyAlignment="1">
      <alignment vertical="center" wrapText="1"/>
    </xf>
    <xf numFmtId="49" fontId="34" fillId="0" borderId="12" xfId="0" applyNumberFormat="1" applyFont="1" applyBorder="1" applyAlignment="1">
      <alignment horizontal="left" vertical="center" wrapText="1"/>
    </xf>
    <xf numFmtId="0" fontId="6" fillId="0" borderId="12" xfId="0" applyFont="1" applyBorder="1" applyAlignment="1">
      <alignment horizontal="left" vertical="center" wrapText="1"/>
    </xf>
    <xf numFmtId="0" fontId="34" fillId="0" borderId="12" xfId="0" applyFont="1" applyBorder="1" applyAlignment="1">
      <alignment horizontal="left" vertical="center" wrapText="1"/>
    </xf>
    <xf numFmtId="49" fontId="0" fillId="33" borderId="12" xfId="0" applyNumberFormat="1" applyFill="1" applyBorder="1" applyAlignment="1">
      <alignment horizontal="left" vertical="center" wrapText="1"/>
    </xf>
    <xf numFmtId="0" fontId="0" fillId="33" borderId="12" xfId="0" applyFill="1" applyBorder="1" applyAlignment="1">
      <alignment horizontal="left" vertical="center" wrapText="1"/>
    </xf>
    <xf numFmtId="0" fontId="35" fillId="0" borderId="12" xfId="0" applyFont="1" applyBorder="1" applyAlignment="1">
      <alignment vertical="center" wrapText="1"/>
    </xf>
    <xf numFmtId="0" fontId="36" fillId="0" borderId="0" xfId="0" applyFont="1"/>
    <xf numFmtId="0" fontId="31" fillId="30" borderId="12" xfId="0" applyFont="1" applyFill="1" applyBorder="1" applyAlignment="1">
      <alignment horizontal="center" vertical="center" wrapText="1"/>
    </xf>
    <xf numFmtId="49" fontId="6" fillId="0" borderId="12" xfId="0" applyNumberFormat="1" applyFont="1" applyBorder="1" applyAlignment="1">
      <alignment horizontal="left" vertical="top" wrapText="1"/>
    </xf>
    <xf numFmtId="49" fontId="0" fillId="0" borderId="12" xfId="0" applyNumberFormat="1" applyBorder="1" applyAlignment="1">
      <alignment horizontal="left" vertical="top" wrapText="1"/>
    </xf>
    <xf numFmtId="49" fontId="3" fillId="0" borderId="3" xfId="0" applyNumberFormat="1" applyFont="1" applyBorder="1" applyAlignment="1" applyProtection="1">
      <alignment vertical="center" wrapText="1"/>
      <protection locked="0"/>
    </xf>
    <xf numFmtId="0" fontId="0" fillId="0" borderId="3" xfId="0" applyBorder="1" applyAlignment="1" applyProtection="1">
      <alignment vertical="center" wrapText="1"/>
      <protection locked="0"/>
    </xf>
    <xf numFmtId="0" fontId="0" fillId="0" borderId="0" xfId="0" applyAlignment="1" applyProtection="1">
      <alignment vertical="center"/>
      <protection locked="0"/>
    </xf>
    <xf numFmtId="0" fontId="14" fillId="0" borderId="0" xfId="0" applyFont="1" applyAlignment="1" applyProtection="1">
      <alignment vertical="center"/>
      <protection locked="0"/>
    </xf>
    <xf numFmtId="0" fontId="8" fillId="9" borderId="0" xfId="0" applyFont="1" applyFill="1" applyAlignment="1" applyProtection="1">
      <alignment horizontal="center" vertical="center" wrapText="1"/>
      <protection locked="0"/>
    </xf>
    <xf numFmtId="0" fontId="0" fillId="0" borderId="0" xfId="0" applyProtection="1">
      <protection locked="0"/>
    </xf>
    <xf numFmtId="0" fontId="8" fillId="10" borderId="0" xfId="0" applyFont="1" applyFill="1" applyAlignment="1" applyProtection="1">
      <alignment wrapText="1"/>
      <protection locked="0"/>
    </xf>
    <xf numFmtId="0" fontId="0" fillId="12" borderId="0" xfId="0" applyFill="1" applyAlignment="1" applyProtection="1">
      <alignment horizontal="center" vertical="center"/>
      <protection locked="0"/>
    </xf>
    <xf numFmtId="0" fontId="0" fillId="6" borderId="0" xfId="0" applyFill="1" applyProtection="1">
      <protection locked="0"/>
    </xf>
    <xf numFmtId="0" fontId="3" fillId="0" borderId="3" xfId="0" applyFont="1" applyBorder="1" applyAlignment="1" applyProtection="1">
      <alignment horizontal="left" vertical="top" wrapText="1"/>
      <protection locked="0"/>
    </xf>
    <xf numFmtId="49" fontId="37" fillId="0" borderId="3" xfId="0" applyNumberFormat="1" applyFont="1" applyBorder="1" applyAlignment="1" applyProtection="1">
      <alignment horizontal="left" vertical="center" wrapText="1"/>
      <protection locked="0"/>
    </xf>
    <xf numFmtId="0" fontId="3" fillId="0" borderId="3" xfId="0" applyFont="1" applyBorder="1" applyAlignment="1" applyProtection="1">
      <alignment horizontal="left" vertical="center" wrapText="1"/>
      <protection locked="0"/>
    </xf>
    <xf numFmtId="0" fontId="3" fillId="0" borderId="3" xfId="0" applyFont="1" applyBorder="1" applyAlignment="1" applyProtection="1">
      <alignment horizontal="left" wrapText="1"/>
      <protection locked="0"/>
    </xf>
    <xf numFmtId="0" fontId="4" fillId="0" borderId="0" xfId="0" applyFont="1" applyProtection="1">
      <protection locked="0"/>
    </xf>
    <xf numFmtId="0" fontId="38" fillId="0" borderId="1" xfId="8" applyFont="1" applyBorder="1" applyAlignment="1">
      <alignment horizontal="left" vertical="center"/>
    </xf>
    <xf numFmtId="0" fontId="5" fillId="0" borderId="3" xfId="1" applyBorder="1"/>
    <xf numFmtId="49" fontId="5" fillId="0" borderId="12" xfId="1" applyNumberFormat="1" applyBorder="1" applyAlignment="1">
      <alignment horizontal="left" vertical="center" wrapText="1"/>
    </xf>
    <xf numFmtId="0" fontId="8" fillId="10" borderId="0" xfId="0" applyFont="1" applyFill="1" applyAlignment="1">
      <alignment vertical="center" wrapText="1"/>
    </xf>
    <xf numFmtId="0" fontId="0" fillId="6" borderId="0" xfId="0" applyFill="1" applyAlignment="1">
      <alignment vertical="center"/>
    </xf>
    <xf numFmtId="0" fontId="8" fillId="9" borderId="0" xfId="0" applyFont="1" applyFill="1" applyAlignment="1" applyProtection="1">
      <alignment horizontal="center" vertical="center"/>
      <protection locked="0"/>
    </xf>
    <xf numFmtId="0" fontId="1" fillId="11" borderId="3" xfId="0" applyFont="1" applyFill="1" applyBorder="1" applyAlignment="1" applyProtection="1">
      <alignment horizontal="center" vertical="center" wrapText="1"/>
      <protection locked="0"/>
    </xf>
    <xf numFmtId="0" fontId="40" fillId="5" borderId="3" xfId="0" applyFont="1" applyFill="1" applyBorder="1" applyAlignment="1">
      <alignment readingOrder="2"/>
    </xf>
    <xf numFmtId="0" fontId="40" fillId="5" borderId="0" xfId="0" applyFont="1" applyFill="1" applyAlignment="1">
      <alignment readingOrder="2"/>
    </xf>
    <xf numFmtId="0" fontId="40" fillId="5" borderId="16" xfId="0" applyFont="1" applyFill="1" applyBorder="1" applyAlignment="1">
      <alignment readingOrder="2"/>
    </xf>
    <xf numFmtId="0" fontId="1" fillId="10" borderId="7" xfId="0" applyFont="1" applyFill="1" applyBorder="1"/>
    <xf numFmtId="0" fontId="3" fillId="28" borderId="12" xfId="0" applyFont="1" applyFill="1" applyBorder="1"/>
    <xf numFmtId="0" fontId="41" fillId="6" borderId="0" xfId="0" applyFont="1" applyFill="1" applyAlignment="1">
      <alignment readingOrder="2"/>
    </xf>
    <xf numFmtId="0" fontId="39" fillId="0" borderId="0" xfId="0" applyFont="1" applyProtection="1">
      <protection locked="0"/>
    </xf>
    <xf numFmtId="49" fontId="4" fillId="6" borderId="0" xfId="0" applyNumberFormat="1" applyFont="1" applyFill="1" applyAlignment="1">
      <alignment wrapText="1"/>
    </xf>
    <xf numFmtId="0" fontId="4" fillId="6" borderId="0" xfId="0" applyFont="1" applyFill="1" applyAlignment="1">
      <alignment vertical="center"/>
    </xf>
    <xf numFmtId="0" fontId="4" fillId="6" borderId="0" xfId="0" applyFont="1" applyFill="1"/>
    <xf numFmtId="0" fontId="3" fillId="5" borderId="3" xfId="0" applyFont="1" applyFill="1" applyBorder="1" applyAlignment="1">
      <alignment horizontal="left" vertical="center"/>
    </xf>
    <xf numFmtId="0" fontId="42" fillId="6" borderId="3" xfId="0" applyFont="1" applyFill="1" applyBorder="1" applyAlignment="1">
      <alignment horizontal="center" vertical="center" wrapText="1"/>
    </xf>
    <xf numFmtId="0" fontId="3" fillId="0" borderId="3" xfId="0" applyFont="1" applyBorder="1" applyAlignment="1" applyProtection="1">
      <alignment wrapText="1"/>
      <protection locked="0"/>
    </xf>
    <xf numFmtId="0" fontId="42" fillId="6" borderId="3" xfId="0" applyFont="1" applyFill="1" applyBorder="1" applyAlignment="1" applyProtection="1">
      <alignment horizontal="center" vertical="center" wrapText="1"/>
      <protection locked="0"/>
    </xf>
    <xf numFmtId="0" fontId="3" fillId="0" borderId="3" xfId="0" applyFont="1" applyBorder="1" applyAlignment="1" applyProtection="1">
      <alignment horizontal="justify" vertical="center" wrapText="1"/>
      <protection locked="0"/>
    </xf>
    <xf numFmtId="49" fontId="3" fillId="0" borderId="3" xfId="0" applyNumberFormat="1" applyFont="1" applyBorder="1" applyAlignment="1" applyProtection="1">
      <alignment horizontal="left" vertical="center" wrapText="1"/>
      <protection locked="0"/>
    </xf>
    <xf numFmtId="49" fontId="3" fillId="0" borderId="12" xfId="0" applyNumberFormat="1" applyFont="1" applyBorder="1" applyAlignment="1">
      <alignment vertical="center" wrapText="1"/>
    </xf>
    <xf numFmtId="49" fontId="3" fillId="34" borderId="12" xfId="0" applyNumberFormat="1" applyFont="1" applyFill="1" applyBorder="1" applyAlignment="1">
      <alignment vertical="center" wrapText="1"/>
    </xf>
    <xf numFmtId="49" fontId="3" fillId="34" borderId="12" xfId="0" applyNumberFormat="1" applyFont="1" applyFill="1" applyBorder="1" applyAlignment="1">
      <alignment vertical="center"/>
    </xf>
    <xf numFmtId="49" fontId="43" fillId="0" borderId="3" xfId="1" applyNumberFormat="1" applyFont="1" applyBorder="1" applyAlignment="1">
      <alignment horizontal="left" vertical="center" wrapText="1"/>
    </xf>
    <xf numFmtId="0" fontId="43" fillId="0" borderId="3" xfId="1" applyFont="1" applyBorder="1" applyAlignment="1">
      <alignment horizontal="left" vertical="center" wrapText="1"/>
    </xf>
    <xf numFmtId="0" fontId="3" fillId="5" borderId="3" xfId="0" applyFont="1" applyFill="1" applyBorder="1" applyAlignment="1">
      <alignment vertical="center"/>
    </xf>
    <xf numFmtId="0" fontId="3" fillId="0" borderId="3" xfId="0" applyFont="1" applyBorder="1"/>
    <xf numFmtId="0" fontId="3" fillId="0" borderId="0" xfId="0" applyFont="1"/>
    <xf numFmtId="49" fontId="3" fillId="0" borderId="12" xfId="0" applyNumberFormat="1" applyFont="1" applyBorder="1" applyAlignment="1">
      <alignment horizontal="left" vertical="center" wrapText="1"/>
    </xf>
    <xf numFmtId="0" fontId="3" fillId="0" borderId="12" xfId="0" applyFont="1" applyBorder="1" applyAlignment="1">
      <alignment vertical="center" wrapText="1"/>
    </xf>
    <xf numFmtId="49" fontId="2" fillId="0" borderId="12" xfId="0" applyNumberFormat="1" applyFont="1" applyBorder="1" applyAlignment="1">
      <alignment horizontal="left" vertical="center" wrapText="1"/>
    </xf>
    <xf numFmtId="0" fontId="3" fillId="33" borderId="12" xfId="0" applyFont="1" applyFill="1" applyBorder="1" applyAlignment="1">
      <alignment horizontal="left" vertical="center" wrapText="1"/>
    </xf>
    <xf numFmtId="0" fontId="3" fillId="35" borderId="12" xfId="0" applyFont="1" applyFill="1" applyBorder="1" applyAlignment="1">
      <alignment vertical="center" wrapText="1"/>
    </xf>
    <xf numFmtId="0" fontId="44" fillId="6" borderId="3" xfId="0" applyFont="1" applyFill="1" applyBorder="1" applyAlignment="1">
      <alignment horizontal="center" vertical="center" wrapText="1"/>
    </xf>
    <xf numFmtId="0" fontId="44" fillId="0" borderId="3" xfId="0" applyFont="1" applyBorder="1" applyAlignment="1">
      <alignment horizontal="justify" vertical="center"/>
    </xf>
    <xf numFmtId="0" fontId="43" fillId="5" borderId="3" xfId="1" applyFont="1" applyFill="1" applyBorder="1" applyAlignment="1">
      <alignment horizontal="justify" vertical="center" wrapText="1"/>
    </xf>
    <xf numFmtId="0" fontId="43" fillId="0" borderId="0" xfId="1" applyFont="1" applyAlignment="1">
      <alignment vertical="center"/>
    </xf>
    <xf numFmtId="0" fontId="43" fillId="0" borderId="3" xfId="1" applyFont="1" applyBorder="1" applyAlignment="1">
      <alignment horizontal="justify" vertical="center"/>
    </xf>
    <xf numFmtId="0" fontId="3" fillId="36" borderId="3" xfId="0" applyFont="1" applyFill="1" applyBorder="1" applyAlignment="1">
      <alignment horizontal="left" vertical="center" wrapText="1"/>
    </xf>
    <xf numFmtId="0" fontId="3" fillId="0" borderId="8" xfId="0" applyFont="1" applyBorder="1" applyAlignment="1">
      <alignment vertical="center"/>
    </xf>
    <xf numFmtId="0" fontId="3" fillId="0" borderId="5" xfId="0" applyFont="1" applyBorder="1" applyAlignment="1">
      <alignment vertical="center"/>
    </xf>
    <xf numFmtId="0" fontId="44" fillId="6" borderId="5" xfId="0" applyFont="1" applyFill="1" applyBorder="1" applyAlignment="1">
      <alignment horizontal="center" vertical="center" wrapText="1"/>
    </xf>
    <xf numFmtId="0" fontId="21" fillId="0" borderId="3" xfId="0" applyFont="1" applyBorder="1" applyAlignment="1">
      <alignment wrapText="1"/>
    </xf>
    <xf numFmtId="0" fontId="3" fillId="0" borderId="3" xfId="0" applyFont="1" applyBorder="1" applyAlignment="1" applyProtection="1">
      <alignment vertical="center" wrapText="1"/>
      <protection locked="0"/>
    </xf>
    <xf numFmtId="0" fontId="43" fillId="0" borderId="0" xfId="1" applyFont="1" applyFill="1" applyBorder="1" applyAlignment="1" applyProtection="1">
      <alignment vertical="center"/>
      <protection locked="0"/>
    </xf>
    <xf numFmtId="0" fontId="3" fillId="0" borderId="0" xfId="0" applyFont="1" applyAlignment="1" applyProtection="1">
      <alignment vertical="center"/>
      <protection locked="0"/>
    </xf>
    <xf numFmtId="0" fontId="3" fillId="0" borderId="3" xfId="0" applyFont="1" applyBorder="1" applyAlignment="1" applyProtection="1">
      <alignment vertical="center"/>
      <protection locked="0"/>
    </xf>
    <xf numFmtId="0" fontId="43" fillId="0" borderId="3" xfId="1" applyFont="1" applyBorder="1"/>
    <xf numFmtId="49" fontId="3" fillId="39" borderId="12" xfId="0" applyNumberFormat="1" applyFont="1" applyFill="1" applyBorder="1" applyAlignment="1">
      <alignment horizontal="left" vertical="center" wrapText="1"/>
    </xf>
    <xf numFmtId="0" fontId="3" fillId="0" borderId="12" xfId="0" applyFont="1" applyBorder="1" applyAlignment="1">
      <alignment horizontal="left" vertical="center" wrapText="1"/>
    </xf>
    <xf numFmtId="49" fontId="3" fillId="39" borderId="3" xfId="0" applyNumberFormat="1" applyFont="1" applyFill="1" applyBorder="1" applyAlignment="1">
      <alignment horizontal="left" vertical="center" wrapText="1"/>
    </xf>
    <xf numFmtId="49" fontId="3" fillId="6" borderId="0" xfId="0" applyNumberFormat="1" applyFont="1" applyFill="1" applyAlignment="1">
      <alignment wrapText="1"/>
    </xf>
    <xf numFmtId="0" fontId="2" fillId="37" borderId="3" xfId="0" applyFont="1" applyFill="1" applyBorder="1" applyAlignment="1">
      <alignment wrapText="1" readingOrder="2"/>
    </xf>
    <xf numFmtId="0" fontId="2" fillId="0" borderId="16" xfId="0" applyFont="1" applyBorder="1" applyAlignment="1">
      <alignment wrapText="1" readingOrder="2"/>
    </xf>
    <xf numFmtId="0" fontId="2" fillId="37" borderId="16" xfId="0" applyFont="1" applyFill="1" applyBorder="1" applyAlignment="1">
      <alignment wrapText="1" readingOrder="2"/>
    </xf>
    <xf numFmtId="0" fontId="2" fillId="0" borderId="16" xfId="0" applyFont="1" applyBorder="1" applyAlignment="1">
      <alignment readingOrder="2"/>
    </xf>
    <xf numFmtId="0" fontId="2" fillId="0" borderId="12" xfId="0" applyFont="1" applyBorder="1" applyAlignment="1">
      <alignment wrapText="1" readingOrder="2"/>
    </xf>
    <xf numFmtId="0" fontId="2" fillId="0" borderId="17" xfId="0" applyFont="1" applyBorder="1" applyAlignment="1">
      <alignment wrapText="1" readingOrder="2"/>
    </xf>
    <xf numFmtId="0" fontId="3" fillId="5" borderId="3" xfId="0" applyFont="1" applyFill="1" applyBorder="1" applyAlignment="1">
      <alignment vertical="top" wrapText="1"/>
    </xf>
    <xf numFmtId="49" fontId="3" fillId="5" borderId="3" xfId="0" applyNumberFormat="1" applyFont="1" applyFill="1" applyBorder="1" applyAlignment="1">
      <alignment horizontal="left" vertical="top" wrapText="1"/>
    </xf>
    <xf numFmtId="0" fontId="3" fillId="5" borderId="0" xfId="0" applyFont="1" applyFill="1" applyAlignment="1" applyProtection="1">
      <alignment vertical="center"/>
      <protection locked="0"/>
    </xf>
    <xf numFmtId="49" fontId="3" fillId="5" borderId="12" xfId="0" applyNumberFormat="1" applyFont="1" applyFill="1" applyBorder="1" applyAlignment="1">
      <alignment vertical="center" wrapText="1"/>
    </xf>
    <xf numFmtId="49" fontId="4" fillId="0" borderId="12" xfId="0" applyNumberFormat="1" applyFont="1" applyBorder="1" applyAlignment="1">
      <alignment vertical="center" wrapText="1"/>
    </xf>
    <xf numFmtId="49" fontId="3" fillId="5" borderId="3" xfId="0" applyNumberFormat="1" applyFont="1" applyFill="1" applyBorder="1" applyAlignment="1" applyProtection="1">
      <alignment horizontal="left" vertical="top" wrapText="1"/>
      <protection locked="0"/>
    </xf>
    <xf numFmtId="0" fontId="2" fillId="0" borderId="17" xfId="0" applyFont="1" applyBorder="1" applyAlignment="1">
      <alignment vertical="top" wrapText="1" readingOrder="2"/>
    </xf>
    <xf numFmtId="0" fontId="2" fillId="0" borderId="3" xfId="0" applyFont="1" applyBorder="1" applyAlignment="1">
      <alignment readingOrder="2"/>
    </xf>
    <xf numFmtId="0" fontId="2" fillId="0" borderId="3" xfId="0" applyFont="1" applyBorder="1" applyAlignment="1">
      <alignment vertical="center" readingOrder="2"/>
    </xf>
    <xf numFmtId="0" fontId="2" fillId="0" borderId="16" xfId="0" applyFont="1" applyBorder="1" applyAlignment="1">
      <alignment wrapText="1"/>
    </xf>
    <xf numFmtId="0" fontId="2" fillId="0" borderId="16" xfId="0" applyFont="1" applyBorder="1" applyAlignment="1">
      <alignment vertical="center" readingOrder="2"/>
    </xf>
    <xf numFmtId="0" fontId="2" fillId="23" borderId="0" xfId="0" applyFont="1" applyFill="1" applyAlignment="1">
      <alignment readingOrder="2"/>
    </xf>
    <xf numFmtId="0" fontId="2" fillId="0" borderId="16" xfId="0" applyFont="1" applyBorder="1" applyAlignment="1">
      <alignment vertical="top" wrapText="1" readingOrder="2"/>
    </xf>
    <xf numFmtId="0" fontId="14" fillId="0" borderId="3" xfId="0" applyFont="1" applyBorder="1" applyAlignment="1" applyProtection="1">
      <alignment vertical="center"/>
      <protection locked="0"/>
    </xf>
    <xf numFmtId="0" fontId="2" fillId="5" borderId="16" xfId="0" applyFont="1" applyFill="1" applyBorder="1" applyAlignment="1">
      <alignment wrapText="1" readingOrder="2"/>
    </xf>
    <xf numFmtId="0" fontId="5" fillId="0" borderId="3" xfId="1" applyBorder="1" applyAlignment="1">
      <alignment horizontal="justify" vertical="center"/>
    </xf>
    <xf numFmtId="0" fontId="3" fillId="5" borderId="0" xfId="0" applyFont="1" applyFill="1" applyAlignment="1">
      <alignment vertical="center" wrapText="1"/>
    </xf>
    <xf numFmtId="0" fontId="25" fillId="29" borderId="0" xfId="0" applyFont="1" applyFill="1" applyAlignment="1">
      <alignment vertical="center"/>
    </xf>
    <xf numFmtId="0" fontId="3" fillId="7" borderId="3" xfId="0" applyFont="1" applyFill="1" applyBorder="1" applyAlignment="1">
      <alignment vertical="center" wrapText="1"/>
    </xf>
    <xf numFmtId="0" fontId="0" fillId="41" borderId="0" xfId="0" applyFill="1"/>
    <xf numFmtId="0" fontId="43" fillId="41" borderId="3" xfId="1" applyFont="1" applyFill="1" applyBorder="1" applyAlignment="1">
      <alignment horizontal="left" vertical="center" wrapText="1"/>
    </xf>
    <xf numFmtId="49" fontId="0" fillId="7" borderId="0" xfId="0" applyNumberFormat="1" applyFill="1" applyAlignment="1">
      <alignment wrapText="1"/>
    </xf>
    <xf numFmtId="49" fontId="4" fillId="7" borderId="0" xfId="0" applyNumberFormat="1" applyFont="1" applyFill="1" applyAlignment="1">
      <alignment wrapText="1"/>
    </xf>
    <xf numFmtId="49" fontId="3" fillId="7" borderId="0" xfId="0" applyNumberFormat="1" applyFont="1" applyFill="1" applyAlignment="1">
      <alignment wrapText="1"/>
    </xf>
    <xf numFmtId="49" fontId="0" fillId="18" borderId="0" xfId="0" applyNumberFormat="1" applyFill="1" applyAlignment="1">
      <alignment wrapText="1"/>
    </xf>
    <xf numFmtId="49" fontId="4" fillId="18" borderId="0" xfId="0" applyNumberFormat="1" applyFont="1" applyFill="1" applyAlignment="1">
      <alignment wrapText="1"/>
    </xf>
    <xf numFmtId="0" fontId="3" fillId="18" borderId="3" xfId="0" applyFont="1" applyFill="1" applyBorder="1" applyAlignment="1">
      <alignment vertical="center" wrapText="1"/>
    </xf>
    <xf numFmtId="49" fontId="3" fillId="18" borderId="3" xfId="0" applyNumberFormat="1" applyFont="1" applyFill="1" applyBorder="1" applyAlignment="1">
      <alignment horizontal="left" vertical="center" wrapText="1"/>
    </xf>
    <xf numFmtId="0" fontId="2" fillId="7" borderId="0" xfId="0" applyFont="1" applyFill="1"/>
    <xf numFmtId="0" fontId="21" fillId="42" borderId="0" xfId="0" applyFont="1" applyFill="1"/>
    <xf numFmtId="49" fontId="3" fillId="7" borderId="12" xfId="0" applyNumberFormat="1" applyFont="1" applyFill="1" applyBorder="1" applyAlignment="1">
      <alignment vertical="center" wrapText="1"/>
    </xf>
    <xf numFmtId="0" fontId="0" fillId="43" borderId="12" xfId="0" applyFill="1" applyBorder="1"/>
    <xf numFmtId="0" fontId="5" fillId="0" borderId="0" xfId="1" applyBorder="1"/>
    <xf numFmtId="49" fontId="3" fillId="36" borderId="12" xfId="0" applyNumberFormat="1" applyFont="1" applyFill="1" applyBorder="1" applyAlignment="1">
      <alignment vertical="center" wrapText="1"/>
    </xf>
    <xf numFmtId="0" fontId="4" fillId="40" borderId="3" xfId="0" applyFont="1" applyFill="1" applyBorder="1" applyAlignment="1">
      <alignment horizontal="left" vertical="center" wrapText="1"/>
    </xf>
    <xf numFmtId="0" fontId="4" fillId="18" borderId="0" xfId="0" applyFont="1" applyFill="1" applyAlignment="1">
      <alignment vertical="center"/>
    </xf>
    <xf numFmtId="49" fontId="4" fillId="18" borderId="12" xfId="0" applyNumberFormat="1" applyFont="1" applyFill="1" applyBorder="1" applyAlignment="1">
      <alignment vertical="center" wrapText="1"/>
    </xf>
    <xf numFmtId="0" fontId="1" fillId="10" borderId="5" xfId="0" applyFont="1" applyFill="1" applyBorder="1" applyAlignment="1">
      <alignment horizontal="center" vertical="center" wrapText="1"/>
    </xf>
    <xf numFmtId="0" fontId="46" fillId="0" borderId="0" xfId="9" applyFont="1" applyAlignment="1">
      <alignment horizontal="center" vertical="center"/>
    </xf>
    <xf numFmtId="0" fontId="8" fillId="5" borderId="3" xfId="0" applyFont="1" applyFill="1" applyBorder="1" applyAlignment="1">
      <alignment horizontal="left" vertical="center" wrapText="1"/>
    </xf>
    <xf numFmtId="0" fontId="8" fillId="5" borderId="3" xfId="0" applyFont="1" applyFill="1" applyBorder="1" applyAlignment="1" applyProtection="1">
      <alignment vertical="center"/>
      <protection locked="0"/>
    </xf>
    <xf numFmtId="0" fontId="8" fillId="5" borderId="0" xfId="0" applyFont="1" applyFill="1" applyAlignment="1" applyProtection="1">
      <alignment vertical="center"/>
      <protection locked="0"/>
    </xf>
    <xf numFmtId="0" fontId="47" fillId="5" borderId="16" xfId="0" applyFont="1" applyFill="1" applyBorder="1" applyAlignment="1">
      <alignment readingOrder="2"/>
    </xf>
    <xf numFmtId="0" fontId="8" fillId="5" borderId="3" xfId="0" applyFont="1" applyFill="1" applyBorder="1" applyAlignment="1" applyProtection="1">
      <alignment vertical="center" wrapText="1"/>
      <protection locked="0"/>
    </xf>
    <xf numFmtId="0" fontId="48" fillId="5" borderId="3" xfId="1" applyFont="1" applyFill="1" applyBorder="1"/>
    <xf numFmtId="49" fontId="8" fillId="5" borderId="3" xfId="0" applyNumberFormat="1" applyFont="1" applyFill="1" applyBorder="1" applyAlignment="1" applyProtection="1">
      <alignment horizontal="left" vertical="center" wrapText="1"/>
      <protection locked="0"/>
    </xf>
    <xf numFmtId="0" fontId="48" fillId="5" borderId="0" xfId="1" applyFont="1" applyFill="1" applyBorder="1" applyAlignment="1" applyProtection="1">
      <alignment vertical="center"/>
      <protection locked="0"/>
    </xf>
    <xf numFmtId="49" fontId="48" fillId="5" borderId="12" xfId="1" applyNumberFormat="1" applyFont="1" applyFill="1" applyBorder="1" applyAlignment="1">
      <alignment horizontal="left" vertical="center" wrapText="1"/>
    </xf>
    <xf numFmtId="0" fontId="8" fillId="5" borderId="0" xfId="0" applyFont="1" applyFill="1" applyAlignment="1">
      <alignment vertical="center"/>
    </xf>
    <xf numFmtId="0" fontId="50" fillId="5" borderId="3" xfId="0" applyFont="1" applyFill="1" applyBorder="1" applyAlignment="1">
      <alignment horizontal="center" vertical="center" wrapText="1"/>
    </xf>
    <xf numFmtId="0" fontId="49" fillId="5" borderId="3" xfId="0" applyFont="1" applyFill="1" applyBorder="1" applyAlignment="1" applyProtection="1">
      <alignment horizontal="center" vertical="center" wrapText="1"/>
      <protection locked="0"/>
    </xf>
    <xf numFmtId="0" fontId="0" fillId="7" borderId="0" xfId="0" applyFill="1" applyAlignment="1">
      <alignment vertical="center"/>
    </xf>
    <xf numFmtId="0" fontId="4" fillId="7" borderId="0" xfId="0" applyFont="1" applyFill="1" applyAlignment="1">
      <alignment vertical="center"/>
    </xf>
    <xf numFmtId="0" fontId="2" fillId="0" borderId="0" xfId="0" applyFont="1" applyAlignment="1">
      <alignment readingOrder="2"/>
    </xf>
    <xf numFmtId="0" fontId="2" fillId="5" borderId="8" xfId="0" applyFont="1" applyFill="1" applyBorder="1" applyAlignment="1">
      <alignment wrapText="1" readingOrder="2"/>
    </xf>
    <xf numFmtId="0" fontId="2" fillId="5" borderId="17" xfId="0" applyFont="1" applyFill="1" applyBorder="1" applyAlignment="1">
      <alignment wrapText="1" readingOrder="2"/>
    </xf>
    <xf numFmtId="0" fontId="2" fillId="5" borderId="18" xfId="0" applyFont="1" applyFill="1" applyBorder="1" applyAlignment="1">
      <alignment wrapText="1" readingOrder="2"/>
    </xf>
    <xf numFmtId="0" fontId="2" fillId="5" borderId="16" xfId="0" applyFont="1" applyFill="1" applyBorder="1" applyAlignment="1">
      <alignment readingOrder="2"/>
    </xf>
    <xf numFmtId="0" fontId="28" fillId="27" borderId="12" xfId="0" applyFont="1" applyFill="1" applyBorder="1" applyAlignment="1">
      <alignment wrapText="1"/>
    </xf>
    <xf numFmtId="0" fontId="2" fillId="28" borderId="17" xfId="0" applyFont="1" applyFill="1" applyBorder="1" applyAlignment="1">
      <alignment readingOrder="2"/>
    </xf>
    <xf numFmtId="0" fontId="2" fillId="38" borderId="0" xfId="0" applyFont="1" applyFill="1" applyAlignment="1">
      <alignment wrapText="1" readingOrder="2"/>
    </xf>
    <xf numFmtId="49" fontId="0" fillId="6" borderId="12" xfId="0" applyNumberFormat="1" applyFill="1" applyBorder="1" applyAlignment="1">
      <alignment horizontal="left" vertical="center" wrapText="1"/>
    </xf>
    <xf numFmtId="0" fontId="2" fillId="6" borderId="16" xfId="0" applyFont="1" applyFill="1" applyBorder="1" applyAlignment="1">
      <alignment wrapText="1" readingOrder="2"/>
    </xf>
    <xf numFmtId="0" fontId="3" fillId="6" borderId="3" xfId="0" applyFont="1" applyFill="1" applyBorder="1" applyAlignment="1">
      <alignment vertical="center"/>
    </xf>
    <xf numFmtId="0" fontId="3" fillId="6" borderId="3" xfId="0" applyFont="1" applyFill="1" applyBorder="1" applyAlignment="1">
      <alignment vertical="center" wrapText="1"/>
    </xf>
    <xf numFmtId="49" fontId="6" fillId="6" borderId="12" xfId="0" applyNumberFormat="1" applyFont="1" applyFill="1" applyBorder="1" applyAlignment="1">
      <alignment horizontal="left" vertical="center" wrapText="1"/>
    </xf>
    <xf numFmtId="49" fontId="0" fillId="44" borderId="12" xfId="0" applyNumberFormat="1" applyFill="1" applyBorder="1" applyAlignment="1">
      <alignment horizontal="left" vertical="center" wrapText="1"/>
    </xf>
    <xf numFmtId="49" fontId="3" fillId="6" borderId="12" xfId="0" applyNumberFormat="1" applyFont="1" applyFill="1" applyBorder="1" applyAlignment="1">
      <alignment horizontal="left" vertical="center" wrapText="1"/>
    </xf>
    <xf numFmtId="49" fontId="4" fillId="6" borderId="12" xfId="0" applyNumberFormat="1" applyFont="1" applyFill="1" applyBorder="1" applyAlignment="1">
      <alignment vertical="center" wrapText="1"/>
    </xf>
    <xf numFmtId="0" fontId="3" fillId="6" borderId="0" xfId="0" applyFont="1" applyFill="1"/>
    <xf numFmtId="0" fontId="0" fillId="6" borderId="12" xfId="0" applyFill="1" applyBorder="1" applyAlignment="1">
      <alignment horizontal="left" vertical="center" wrapText="1"/>
    </xf>
    <xf numFmtId="0" fontId="2" fillId="6" borderId="3" xfId="0" applyFont="1" applyFill="1" applyBorder="1" applyAlignment="1">
      <alignment wrapText="1" readingOrder="2"/>
    </xf>
    <xf numFmtId="0" fontId="51" fillId="21" borderId="0" xfId="0" applyFont="1" applyFill="1" applyAlignment="1">
      <alignment horizontal="center"/>
    </xf>
    <xf numFmtId="0" fontId="0" fillId="0" borderId="0" xfId="0" applyAlignment="1" applyProtection="1">
      <alignment horizontal="center" vertical="center"/>
      <protection locked="0"/>
    </xf>
    <xf numFmtId="49" fontId="4" fillId="0" borderId="0" xfId="0" applyNumberFormat="1" applyFont="1" applyAlignment="1">
      <alignment wrapText="1"/>
    </xf>
    <xf numFmtId="0" fontId="46" fillId="0" borderId="0" xfId="9" applyFont="1" applyAlignment="1">
      <alignment horizontal="left" vertical="center"/>
    </xf>
    <xf numFmtId="0" fontId="0" fillId="0" borderId="0" xfId="0" applyAlignment="1">
      <alignment wrapText="1"/>
    </xf>
    <xf numFmtId="49" fontId="5" fillId="18" borderId="3" xfId="1" applyNumberFormat="1" applyFill="1" applyBorder="1" applyAlignment="1">
      <alignment horizontal="left" vertical="center" wrapText="1"/>
    </xf>
    <xf numFmtId="0" fontId="2" fillId="23" borderId="0" xfId="0" applyFont="1" applyFill="1"/>
    <xf numFmtId="0" fontId="2" fillId="6" borderId="0" xfId="0" applyFont="1" applyFill="1" applyAlignment="1">
      <alignment vertical="center"/>
    </xf>
    <xf numFmtId="0" fontId="0" fillId="0" borderId="0" xfId="0" applyAlignment="1" applyProtection="1">
      <alignment horizontal="center"/>
      <protection locked="0"/>
    </xf>
    <xf numFmtId="0" fontId="8" fillId="36" borderId="0" xfId="0" applyFont="1" applyFill="1" applyAlignment="1" applyProtection="1">
      <alignment horizontal="center"/>
      <protection locked="0"/>
    </xf>
    <xf numFmtId="0" fontId="1" fillId="21" borderId="6" xfId="1" applyFont="1" applyFill="1" applyBorder="1" applyAlignment="1">
      <alignment horizontal="center" vertical="center" wrapText="1"/>
    </xf>
    <xf numFmtId="49" fontId="3" fillId="8" borderId="6" xfId="0" applyNumberFormat="1" applyFont="1" applyFill="1" applyBorder="1" applyAlignment="1">
      <alignment horizontal="center" vertical="center" wrapText="1"/>
    </xf>
    <xf numFmtId="0" fontId="22" fillId="0" borderId="1" xfId="1" applyFont="1" applyFill="1" applyBorder="1" applyAlignment="1">
      <alignment horizontal="center" vertical="top" wrapText="1"/>
    </xf>
    <xf numFmtId="0" fontId="6" fillId="0" borderId="14" xfId="0" applyFont="1" applyBorder="1"/>
    <xf numFmtId="0" fontId="0" fillId="5" borderId="0" xfId="0" applyFill="1" applyAlignment="1">
      <alignment horizontal="center"/>
    </xf>
    <xf numFmtId="0" fontId="0" fillId="5" borderId="1" xfId="0" applyFill="1" applyBorder="1" applyAlignment="1">
      <alignment horizontal="center" wrapText="1"/>
    </xf>
    <xf numFmtId="0" fontId="0" fillId="5" borderId="2" xfId="0" applyFill="1" applyBorder="1" applyAlignment="1">
      <alignment horizontal="center" wrapText="1"/>
    </xf>
    <xf numFmtId="0" fontId="0" fillId="5" borderId="6" xfId="0" applyFill="1" applyBorder="1" applyAlignment="1">
      <alignment horizontal="center" wrapText="1"/>
    </xf>
    <xf numFmtId="0" fontId="0" fillId="5" borderId="1" xfId="0" applyFill="1" applyBorder="1" applyAlignment="1">
      <alignment horizontal="center"/>
    </xf>
    <xf numFmtId="0" fontId="0" fillId="5" borderId="2" xfId="0" applyFill="1" applyBorder="1" applyAlignment="1">
      <alignment horizontal="center"/>
    </xf>
    <xf numFmtId="0" fontId="0" fillId="5" borderId="6" xfId="0" applyFill="1" applyBorder="1" applyAlignment="1">
      <alignment horizontal="center"/>
    </xf>
    <xf numFmtId="0" fontId="8" fillId="5" borderId="0" xfId="0" applyFont="1" applyFill="1" applyAlignment="1">
      <alignment horizontal="center" wrapText="1"/>
    </xf>
    <xf numFmtId="0" fontId="0" fillId="5" borderId="3" xfId="0" applyFill="1" applyBorder="1" applyAlignment="1">
      <alignment horizontal="center"/>
    </xf>
    <xf numFmtId="0" fontId="0" fillId="5" borderId="0" xfId="0" applyFill="1" applyAlignment="1">
      <alignment horizontal="left" wrapText="1"/>
    </xf>
    <xf numFmtId="0" fontId="0" fillId="5" borderId="0" xfId="0" applyFill="1" applyAlignment="1">
      <alignment horizontal="center" wrapText="1"/>
    </xf>
    <xf numFmtId="0" fontId="0" fillId="3" borderId="1" xfId="0" applyFill="1" applyBorder="1" applyAlignment="1">
      <alignment horizontal="center" wrapText="1"/>
    </xf>
    <xf numFmtId="0" fontId="0" fillId="3" borderId="2" xfId="0" applyFill="1" applyBorder="1" applyAlignment="1">
      <alignment horizontal="center" wrapText="1"/>
    </xf>
    <xf numFmtId="0" fontId="0" fillId="3" borderId="6" xfId="0" applyFill="1" applyBorder="1" applyAlignment="1">
      <alignment horizontal="center" wrapText="1"/>
    </xf>
    <xf numFmtId="0" fontId="5" fillId="10" borderId="1" xfId="1" applyFill="1" applyBorder="1" applyAlignment="1">
      <alignment horizontal="center" vertical="center" wrapText="1"/>
    </xf>
    <xf numFmtId="0" fontId="5" fillId="10" borderId="2" xfId="1" applyFill="1" applyBorder="1" applyAlignment="1">
      <alignment horizontal="center" vertical="center" wrapText="1"/>
    </xf>
    <xf numFmtId="0" fontId="5" fillId="10" borderId="6" xfId="1" applyFill="1" applyBorder="1" applyAlignment="1">
      <alignment horizontal="center" vertical="center" wrapText="1"/>
    </xf>
    <xf numFmtId="0" fontId="1" fillId="10" borderId="1" xfId="0" applyFont="1" applyFill="1" applyBorder="1" applyAlignment="1">
      <alignment horizontal="center" vertical="center" wrapText="1"/>
    </xf>
    <xf numFmtId="0" fontId="1" fillId="10" borderId="6" xfId="0" applyFont="1" applyFill="1" applyBorder="1" applyAlignment="1">
      <alignment horizontal="center" vertical="center" wrapText="1"/>
    </xf>
    <xf numFmtId="0" fontId="0" fillId="0" borderId="0" xfId="0" applyAlignment="1">
      <alignment horizontal="center" vertical="center"/>
    </xf>
    <xf numFmtId="0" fontId="1" fillId="21" borderId="1" xfId="1" applyFont="1" applyFill="1" applyBorder="1" applyAlignment="1">
      <alignment horizontal="center" vertical="center" wrapText="1"/>
    </xf>
    <xf numFmtId="0" fontId="1" fillId="21" borderId="2" xfId="1" applyFont="1" applyFill="1" applyBorder="1" applyAlignment="1">
      <alignment horizontal="center" vertical="center" wrapText="1"/>
    </xf>
    <xf numFmtId="0" fontId="1" fillId="21" borderId="6" xfId="1" applyFont="1" applyFill="1" applyBorder="1" applyAlignment="1">
      <alignment horizontal="center" vertical="center" wrapText="1"/>
    </xf>
    <xf numFmtId="0" fontId="1" fillId="21" borderId="10" xfId="1" applyFont="1" applyFill="1" applyBorder="1" applyAlignment="1">
      <alignment horizontal="center" vertical="center" wrapText="1"/>
    </xf>
    <xf numFmtId="0" fontId="1" fillId="21" borderId="7" xfId="1" applyFont="1" applyFill="1" applyBorder="1" applyAlignment="1">
      <alignment horizontal="center" vertical="center" wrapText="1"/>
    </xf>
    <xf numFmtId="0" fontId="1" fillId="21" borderId="9" xfId="1" applyFont="1" applyFill="1" applyBorder="1" applyAlignment="1">
      <alignment horizontal="center" vertical="center" wrapText="1"/>
    </xf>
    <xf numFmtId="49" fontId="3" fillId="8" borderId="1" xfId="0" applyNumberFormat="1" applyFont="1" applyFill="1" applyBorder="1" applyAlignment="1">
      <alignment horizontal="center" vertical="center"/>
    </xf>
    <xf numFmtId="49" fontId="3" fillId="8" borderId="2" xfId="0" applyNumberFormat="1" applyFont="1" applyFill="1" applyBorder="1" applyAlignment="1">
      <alignment horizontal="center" vertical="center"/>
    </xf>
    <xf numFmtId="49" fontId="3" fillId="8" borderId="6" xfId="0" applyNumberFormat="1" applyFont="1" applyFill="1" applyBorder="1" applyAlignment="1">
      <alignment horizontal="center" vertical="center"/>
    </xf>
    <xf numFmtId="0" fontId="1" fillId="21" borderId="3" xfId="1" applyFont="1" applyFill="1" applyBorder="1" applyAlignment="1">
      <alignment horizontal="center" vertical="center" wrapText="1"/>
    </xf>
    <xf numFmtId="0" fontId="32" fillId="31" borderId="13" xfId="0" applyFont="1" applyFill="1" applyBorder="1" applyAlignment="1">
      <alignment horizontal="center" vertical="center" wrapText="1"/>
    </xf>
    <xf numFmtId="49" fontId="3" fillId="8" borderId="1" xfId="0" applyNumberFormat="1" applyFont="1" applyFill="1" applyBorder="1" applyAlignment="1">
      <alignment horizontal="center" vertical="center" wrapText="1"/>
    </xf>
    <xf numFmtId="49" fontId="3" fillId="8" borderId="2" xfId="0" applyNumberFormat="1" applyFont="1" applyFill="1" applyBorder="1" applyAlignment="1">
      <alignment horizontal="center" vertical="center" wrapText="1"/>
    </xf>
    <xf numFmtId="49" fontId="3" fillId="8" borderId="6" xfId="0" applyNumberFormat="1" applyFont="1" applyFill="1" applyBorder="1" applyAlignment="1">
      <alignment horizontal="center" vertical="center" wrapText="1"/>
    </xf>
    <xf numFmtId="49" fontId="3" fillId="8" borderId="3" xfId="0" applyNumberFormat="1" applyFont="1" applyFill="1" applyBorder="1" applyAlignment="1">
      <alignment horizontal="center" vertical="center" wrapText="1"/>
    </xf>
    <xf numFmtId="0" fontId="1" fillId="10" borderId="0" xfId="0" applyFont="1" applyFill="1" applyAlignment="1">
      <alignment horizontal="center"/>
    </xf>
    <xf numFmtId="0" fontId="1" fillId="16" borderId="1" xfId="0" applyFont="1" applyFill="1" applyBorder="1" applyAlignment="1">
      <alignment horizontal="center" vertical="center" wrapText="1"/>
    </xf>
    <xf numFmtId="0" fontId="1" fillId="16" borderId="2" xfId="0" applyFont="1" applyFill="1" applyBorder="1" applyAlignment="1">
      <alignment horizontal="center" vertical="center" wrapText="1"/>
    </xf>
    <xf numFmtId="0" fontId="1" fillId="16" borderId="6" xfId="0" applyFont="1" applyFill="1" applyBorder="1" applyAlignment="1">
      <alignment horizontal="center" vertical="center" wrapText="1"/>
    </xf>
    <xf numFmtId="0" fontId="1" fillId="10" borderId="3" xfId="0" applyFont="1" applyFill="1" applyBorder="1" applyAlignment="1">
      <alignment horizontal="center" vertical="center" wrapText="1"/>
    </xf>
    <xf numFmtId="49" fontId="3" fillId="8" borderId="3" xfId="0" applyNumberFormat="1" applyFont="1" applyFill="1" applyBorder="1" applyAlignment="1">
      <alignment horizontal="left" vertical="center" wrapText="1"/>
    </xf>
    <xf numFmtId="0" fontId="0" fillId="13" borderId="3" xfId="0" applyFill="1" applyBorder="1" applyAlignment="1">
      <alignment horizontal="center" wrapText="1"/>
    </xf>
    <xf numFmtId="0" fontId="0" fillId="14" borderId="3" xfId="0" applyFill="1" applyBorder="1" applyAlignment="1">
      <alignment horizontal="center" vertical="center"/>
    </xf>
    <xf numFmtId="0" fontId="0" fillId="13" borderId="3" xfId="0" applyFill="1" applyBorder="1" applyAlignment="1">
      <alignment horizontal="center" vertical="center" wrapText="1"/>
    </xf>
    <xf numFmtId="0" fontId="0" fillId="13" borderId="3" xfId="0" applyFill="1" applyBorder="1" applyAlignment="1">
      <alignment horizontal="center" vertical="center"/>
    </xf>
    <xf numFmtId="0" fontId="1" fillId="10" borderId="3" xfId="0" applyFont="1" applyFill="1" applyBorder="1" applyAlignment="1">
      <alignment horizontal="center" vertical="top" wrapText="1"/>
    </xf>
    <xf numFmtId="0" fontId="9" fillId="0" borderId="3" xfId="0" applyFont="1" applyBorder="1" applyAlignment="1">
      <alignment horizontal="center"/>
    </xf>
    <xf numFmtId="49" fontId="0" fillId="5" borderId="0" xfId="0" applyNumberFormat="1" applyFill="1" applyBorder="1" applyAlignment="1">
      <alignment horizontal="left" vertical="center" wrapText="1"/>
    </xf>
    <xf numFmtId="49" fontId="3" fillId="5" borderId="0" xfId="0" applyNumberFormat="1" applyFont="1" applyFill="1" applyBorder="1" applyAlignment="1">
      <alignment horizontal="left" vertical="center" wrapText="1"/>
    </xf>
    <xf numFmtId="0" fontId="3" fillId="5" borderId="0" xfId="0" applyFont="1" applyFill="1" applyBorder="1" applyAlignment="1">
      <alignment horizontal="left" vertical="center" wrapText="1"/>
    </xf>
    <xf numFmtId="0" fontId="24" fillId="5" borderId="0" xfId="0" applyFont="1" applyFill="1" applyBorder="1" applyAlignment="1">
      <alignment horizontal="center" vertical="center" wrapText="1"/>
    </xf>
    <xf numFmtId="49" fontId="4" fillId="5" borderId="0" xfId="0" applyNumberFormat="1" applyFont="1" applyFill="1" applyBorder="1" applyAlignment="1">
      <alignment horizontal="left" vertical="center" wrapText="1"/>
    </xf>
    <xf numFmtId="0" fontId="5" fillId="5" borderId="0" xfId="1" applyFill="1" applyBorder="1" applyAlignment="1">
      <alignment horizontal="left" vertical="center" wrapText="1"/>
    </xf>
    <xf numFmtId="0" fontId="14" fillId="5" borderId="0" xfId="0" applyFont="1" applyFill="1" applyBorder="1" applyAlignment="1">
      <alignment vertical="center" wrapText="1"/>
    </xf>
    <xf numFmtId="0" fontId="6" fillId="0" borderId="14" xfId="0" applyFont="1" applyBorder="1" applyAlignment="1"/>
    <xf numFmtId="0" fontId="6" fillId="0" borderId="15" xfId="0" applyFont="1" applyBorder="1" applyAlignment="1"/>
  </cellXfs>
  <cellStyles count="10">
    <cellStyle name="Comma 2" xfId="2" xr:uid="{00000000-0005-0000-0000-000000000000}"/>
    <cellStyle name="Currency 2" xfId="4" xr:uid="{00000000-0005-0000-0000-000001000000}"/>
    <cellStyle name="Legal 8½ x 14 in" xfId="8" xr:uid="{9FD62CF0-875A-46A3-AA72-67101B58D9C5}"/>
    <cellStyle name="Lien hypertexte" xfId="1" builtinId="8"/>
    <cellStyle name="Lien hypertexte visité" xfId="3" builtinId="9" hidden="1"/>
    <cellStyle name="Normal" xfId="0" builtinId="0"/>
    <cellStyle name="Normal 2" xfId="5" xr:uid="{00000000-0005-0000-0000-000006000000}"/>
    <cellStyle name="Normal 3" xfId="6" xr:uid="{00000000-0005-0000-0000-000007000000}"/>
    <cellStyle name="Normal 5" xfId="9" xr:uid="{A7714EC9-69BA-4D4C-9F18-535F01DD64C5}"/>
    <cellStyle name="Satisfaisant" xfId="7" builtinId="26"/>
  </cellStyles>
  <dxfs count="129">
    <dxf>
      <border diagonalUp="0" diagonalDown="0">
        <left/>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scheme val="minor"/>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border diagonalUp="0" diagonalDown="0">
        <left/>
        <right/>
        <top style="thin">
          <color auto="1"/>
        </top>
        <bottom style="thin">
          <color auto="1"/>
        </bottom>
        <vertical/>
        <horizontal/>
      </border>
    </dxf>
    <dxf>
      <border outline="0">
        <top style="thin">
          <color auto="1"/>
        </top>
      </border>
    </dxf>
    <dxf>
      <border outline="0">
        <bottom style="thin">
          <color auto="1"/>
        </bottom>
      </border>
    </dxf>
    <dxf>
      <border outline="0">
        <left style="thin">
          <color auto="1"/>
        </left>
        <right style="thin">
          <color auto="1"/>
        </right>
        <top style="thin">
          <color auto="1"/>
        </top>
        <bottom style="thin">
          <color auto="1"/>
        </bottom>
      </border>
    </dxf>
    <dxf>
      <font>
        <b/>
        <i val="0"/>
        <strike val="0"/>
        <condense val="0"/>
        <extend val="0"/>
        <outline val="0"/>
        <shadow val="0"/>
        <u val="none"/>
        <vertAlign val="baseline"/>
        <sz val="11"/>
        <color theme="1"/>
        <name val="Calibri"/>
        <family val="2"/>
        <scheme val="minor"/>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C000"/>
        </patternFill>
      </fill>
    </dxf>
    <dxf>
      <fill>
        <patternFill>
          <bgColor rgb="FFFF0000"/>
        </patternFill>
      </fill>
    </dxf>
    <dxf>
      <fill>
        <patternFill>
          <bgColor theme="9"/>
        </patternFill>
      </fill>
    </dxf>
    <dxf>
      <fill>
        <patternFill>
          <bgColor rgb="FFFFC000"/>
        </patternFill>
      </fill>
    </dxf>
    <dxf>
      <fill>
        <patternFill>
          <bgColor rgb="FFFF0000"/>
        </patternFill>
      </fill>
    </dxf>
    <dxf>
      <font>
        <color rgb="FF006100"/>
      </font>
      <fill>
        <patternFill>
          <bgColor rgb="FFC6EFCE"/>
        </patternFill>
      </fill>
    </dxf>
    <dxf>
      <font>
        <color rgb="FF9C0006"/>
      </font>
      <fill>
        <patternFill>
          <bgColor rgb="FFFFC7CE"/>
        </patternFill>
      </fill>
    </dxf>
    <dxf>
      <fill>
        <patternFill>
          <bgColor theme="9"/>
        </patternFill>
      </fill>
    </dxf>
    <dxf>
      <fill>
        <patternFill>
          <bgColor rgb="FFFFC000"/>
        </patternFill>
      </fill>
    </dxf>
    <dxf>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fgColor rgb="FF70AD47"/>
          <bgColor rgb="FF70AD47"/>
        </patternFill>
      </fill>
    </dxf>
    <dxf>
      <fill>
        <patternFill patternType="solid">
          <fgColor rgb="FFFFC000"/>
          <bgColor rgb="FFFFC000"/>
        </patternFill>
      </fill>
    </dxf>
    <dxf>
      <fill>
        <patternFill patternType="solid">
          <fgColor rgb="FFFF0000"/>
          <bgColor rgb="FFFF0000"/>
        </patternFill>
      </fill>
    </dxf>
    <dxf>
      <fill>
        <patternFill>
          <bgColor theme="9"/>
        </patternFill>
      </fill>
    </dxf>
    <dxf>
      <fill>
        <patternFill>
          <bgColor rgb="FFFFC000"/>
        </patternFill>
      </fill>
    </dxf>
    <dxf>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bgColor rgb="FFC6EFCE"/>
        </patternFill>
      </fill>
    </dxf>
    <dxf>
      <font>
        <color rgb="FF9C0006"/>
      </font>
      <fill>
        <patternFill>
          <bgColor rgb="FFFFC7CE"/>
        </patternFill>
      </fill>
    </dxf>
    <dxf>
      <fill>
        <patternFill patternType="solid">
          <fgColor rgb="FF70AD47"/>
          <bgColor rgb="FF70AD47"/>
        </patternFill>
      </fill>
    </dxf>
    <dxf>
      <fill>
        <patternFill patternType="solid">
          <fgColor rgb="FFFFC000"/>
          <bgColor rgb="FFFFC000"/>
        </patternFill>
      </fill>
    </dxf>
    <dxf>
      <fill>
        <patternFill patternType="solid">
          <fgColor rgb="FFFF0000"/>
          <bgColor rgb="FFFF0000"/>
        </patternFill>
      </fill>
    </dxf>
    <dxf>
      <fill>
        <patternFill patternType="solid">
          <fgColor rgb="FF70AD47"/>
          <bgColor rgb="FF70AD47"/>
        </patternFill>
      </fill>
    </dxf>
    <dxf>
      <fill>
        <patternFill patternType="solid">
          <fgColor rgb="FFFFC000"/>
          <bgColor rgb="FFFFC000"/>
        </patternFill>
      </fill>
    </dxf>
    <dxf>
      <fill>
        <patternFill patternType="solid">
          <fgColor rgb="FFFF0000"/>
          <bgColor rgb="FFFF0000"/>
        </patternFill>
      </fill>
    </dxf>
    <dxf>
      <fill>
        <patternFill patternType="solid">
          <fgColor rgb="FF70AD47"/>
          <bgColor rgb="FF70AD47"/>
        </patternFill>
      </fill>
    </dxf>
    <dxf>
      <fill>
        <patternFill patternType="solid">
          <fgColor rgb="FFFFC000"/>
          <bgColor rgb="FFFFC000"/>
        </patternFill>
      </fill>
    </dxf>
    <dxf>
      <fill>
        <patternFill patternType="solid">
          <fgColor rgb="FFFF0000"/>
          <bgColor rgb="FFFF0000"/>
        </patternFill>
      </fill>
    </dxf>
    <dxf>
      <fill>
        <patternFill patternType="solid">
          <fgColor rgb="FF70AD47"/>
          <bgColor rgb="FF70AD47"/>
        </patternFill>
      </fill>
    </dxf>
    <dxf>
      <fill>
        <patternFill patternType="solid">
          <fgColor rgb="FFFFC000"/>
          <bgColor rgb="FFFFC000"/>
        </patternFill>
      </fill>
    </dxf>
    <dxf>
      <fill>
        <patternFill patternType="solid">
          <fgColor rgb="FFFF0000"/>
          <bgColor rgb="FFFF0000"/>
        </patternFill>
      </fill>
    </dxf>
    <dxf>
      <fill>
        <patternFill patternType="solid">
          <fgColor rgb="FF70AD47"/>
          <bgColor rgb="FF70AD47"/>
        </patternFill>
      </fill>
    </dxf>
    <dxf>
      <fill>
        <patternFill patternType="solid">
          <fgColor rgb="FFFFC000"/>
          <bgColor rgb="FFFFC000"/>
        </patternFill>
      </fill>
    </dxf>
    <dxf>
      <fill>
        <patternFill patternType="solid">
          <fgColor rgb="FFFF0000"/>
          <bgColor rgb="FFFF0000"/>
        </patternFill>
      </fill>
    </dxf>
    <dxf>
      <fill>
        <patternFill patternType="solid">
          <fgColor rgb="FF70AD47"/>
          <bgColor rgb="FF70AD47"/>
        </patternFill>
      </fill>
    </dxf>
    <dxf>
      <fill>
        <patternFill patternType="solid">
          <fgColor rgb="FFFFC000"/>
          <bgColor rgb="FFFFC000"/>
        </patternFill>
      </fill>
    </dxf>
    <dxf>
      <fill>
        <patternFill patternType="solid">
          <fgColor rgb="FFFF0000"/>
          <bgColor rgb="FFFF0000"/>
        </patternFill>
      </fill>
    </dxf>
    <dxf>
      <fill>
        <patternFill patternType="solid">
          <fgColor rgb="FF70AD47"/>
          <bgColor rgb="FF70AD47"/>
        </patternFill>
      </fill>
    </dxf>
    <dxf>
      <fill>
        <patternFill patternType="solid">
          <fgColor rgb="FFFFC000"/>
          <bgColor rgb="FFFFC000"/>
        </patternFill>
      </fill>
    </dxf>
    <dxf>
      <fill>
        <patternFill patternType="solid">
          <fgColor rgb="FFFF0000"/>
          <bgColor rgb="FFFF0000"/>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bgColor rgb="FFC6EFCE"/>
        </patternFill>
      </fill>
    </dxf>
    <dxf>
      <font>
        <color rgb="FF9C0006"/>
      </font>
      <fill>
        <patternFill>
          <bgColor rgb="FFFFC7CE"/>
        </patternFill>
      </fill>
    </dxf>
    <dxf>
      <fill>
        <patternFill patternType="solid">
          <fgColor rgb="FF70AD47"/>
          <bgColor rgb="FF70AD47"/>
        </patternFill>
      </fill>
    </dxf>
    <dxf>
      <fill>
        <patternFill patternType="solid">
          <fgColor rgb="FFFFC000"/>
          <bgColor rgb="FFFFC000"/>
        </patternFill>
      </fill>
    </dxf>
    <dxf>
      <fill>
        <patternFill patternType="solid">
          <fgColor rgb="FFFF0000"/>
          <bgColor rgb="FFFF0000"/>
        </patternFill>
      </fill>
    </dxf>
    <dxf>
      <fill>
        <patternFill patternType="solid">
          <fgColor rgb="FF70AD47"/>
          <bgColor rgb="FF70AD47"/>
        </patternFill>
      </fill>
    </dxf>
    <dxf>
      <fill>
        <patternFill patternType="solid">
          <fgColor rgb="FFFFC000"/>
          <bgColor rgb="FFFFC000"/>
        </patternFill>
      </fill>
    </dxf>
    <dxf>
      <fill>
        <patternFill patternType="solid">
          <fgColor rgb="FFFF0000"/>
          <bgColor rgb="FFFF0000"/>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bgColor theme="9"/>
        </patternFill>
      </fill>
    </dxf>
    <dxf>
      <fill>
        <patternFill>
          <bgColor rgb="FFFFC000"/>
        </patternFill>
      </fill>
    </dxf>
    <dxf>
      <fill>
        <patternFill>
          <bgColor rgb="FFFF0000"/>
        </patternFill>
      </fill>
    </dxf>
    <dxf>
      <font>
        <color rgb="FF9C0006"/>
      </font>
      <fill>
        <patternFill>
          <bgColor rgb="FFFFC7CE"/>
        </patternFill>
      </fill>
    </dxf>
    <dxf>
      <font>
        <color rgb="FF006100"/>
      </font>
      <fill>
        <patternFill>
          <bgColor rgb="FFC6EFCE"/>
        </patternFill>
      </fill>
    </dxf>
    <dxf>
      <fill>
        <patternFill>
          <bgColor theme="9"/>
        </patternFill>
      </fill>
    </dxf>
    <dxf>
      <fill>
        <patternFill>
          <bgColor rgb="FFFFC000"/>
        </patternFill>
      </fill>
    </dxf>
    <dxf>
      <fill>
        <patternFill>
          <bgColor rgb="FFFF0000"/>
        </patternFill>
      </fill>
    </dxf>
    <dxf>
      <fill>
        <patternFill>
          <bgColor theme="9"/>
        </patternFill>
      </fill>
    </dxf>
    <dxf>
      <fill>
        <patternFill>
          <bgColor rgb="FFFFC000"/>
        </patternFill>
      </fill>
    </dxf>
    <dxf>
      <fill>
        <patternFill>
          <bgColor rgb="FFFF0000"/>
        </patternFill>
      </fill>
    </dxf>
  </dxfs>
  <tableStyles count="1" defaultTableStyle="TableStyleMedium2" defaultPivotStyle="PivotStyleLight16">
    <tableStyle name="Invisible" pivot="0" table="0" count="0" xr9:uid="{1947D00C-3992-41F8-985F-CB11A17012C2}"/>
  </tableStyles>
  <colors>
    <mruColors>
      <color rgb="FFFF9900"/>
      <color rgb="FF8501CF"/>
      <color rgb="FFFF3399"/>
      <color rgb="FFFF5050"/>
      <color rgb="FFFF66FF"/>
      <color rgb="FFFFFFFF"/>
      <color rgb="FF007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microsoft.com/office/2017/10/relationships/person" Target="persons/person.xml"/><Relationship Id="rId45"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171450</xdr:colOff>
      <xdr:row>1</xdr:row>
      <xdr:rowOff>38100</xdr:rowOff>
    </xdr:from>
    <xdr:to>
      <xdr:col>2</xdr:col>
      <xdr:colOff>262213</xdr:colOff>
      <xdr:row>4</xdr:row>
      <xdr:rowOff>64190</xdr:rowOff>
    </xdr:to>
    <xdr:pic>
      <xdr:nvPicPr>
        <xdr:cNvPr id="3" name="Picture 2">
          <a:extLst>
            <a:ext uri="{FF2B5EF4-FFF2-40B4-BE49-F238E27FC236}">
              <a16:creationId xmlns:a16="http://schemas.microsoft.com/office/drawing/2014/main" id="{9AB8AFC6-635E-4701-9F44-059716CA74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228600"/>
          <a:ext cx="1290913" cy="597590"/>
        </a:xfrm>
        <a:prstGeom prst="roundRect">
          <a:avLst>
            <a:gd name="adj" fmla="val 8594"/>
          </a:avLst>
        </a:prstGeom>
        <a:solidFill>
          <a:srgbClr val="FFFFFF">
            <a:shade val="85000"/>
          </a:srgbClr>
        </a:solidFill>
        <a:ln>
          <a:noFill/>
        </a:ln>
        <a:effec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insighthq.sharepoint.com/sites/TCMoroccoJTI/Shared%20Documents/General/02.%20Questionnaire/TC%20Insight%20Morocco%20JTI%20Questionnaire%20Template%20-%20V2.xlsx" TargetMode="External"/><Relationship Id="rId1" Type="http://schemas.openxmlformats.org/officeDocument/2006/relationships/externalLinkPath" Target="/sites/TCMoroccoJTI/Shared%20Documents/General/02.%20Questionnaire/TC%20Insight%20Morocco%20JTI%20Questionnaire%20Template%20-%20V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insighthq.sharepoint.com/sites/TCCamerounJTI/Shared%20Documents/General/02.%20Questionnaire/TC%20Insight%20Morocco%20JTI%20Questionnaire%20Template.xlsx" TargetMode="External"/><Relationship Id="rId1" Type="http://schemas.openxmlformats.org/officeDocument/2006/relationships/externalLinkPath" Target="TC%20Insight%20Morocco%20JTI%20Questionnaire%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PbyGKS2-9kmooSCJ_uQT40xut-qBd2ZEu3qE5WVLFKi1HJqBXrBJRI41I4LH9dx1" itemId="01WIZFEW5RG4ARTRS475A3T7ZLO4QI52FB">
      <xxl21:absoluteUrl r:id="rId2"/>
    </xxl21:alternateUrls>
    <sheetNames>
      <sheetName val="Instructions"/>
      <sheetName val="Obs"/>
      <sheetName val="Profile"/>
      <sheetName val="Area"/>
      <sheetName val="AREA-LV2"/>
      <sheetName val="AREA-LV1"/>
      <sheetName val="AREA-LV3"/>
      <sheetName val="Level2 Builder"/>
      <sheetName val="Level1 Builder"/>
      <sheetName val="Level3 Builder"/>
      <sheetName val="Outlet details"/>
      <sheetName val="Interview Start"/>
      <sheetName val="Marketing"/>
      <sheetName val="Wholesaler"/>
      <sheetName val="Distribution"/>
      <sheetName val="Volume"/>
      <sheetName val="End"/>
      <sheetName val="I&amp;M Lists"/>
      <sheetName val="Province List"/>
      <sheetName val="Distributor Areas"/>
      <sheetName val="Sheet1"/>
      <sheetName val="JSON BuilderDistributor"/>
      <sheetName val="JSON BuilderDistributor-Old"/>
      <sheetName val="Level 2 List"/>
      <sheetName val="Volume &amp; Price List"/>
      <sheetName val="V60 SKU"/>
      <sheetName val="V70 BuilderSKU"/>
      <sheetName val="V60 BuilderSKU"/>
      <sheetName val="V70 SKU"/>
      <sheetName val="V80 SKU"/>
      <sheetName val="V80 BuilderSKU"/>
      <sheetName val="Cigarette List"/>
      <sheetName val="JSON BuilderV60"/>
      <sheetName val="Heated Sticks"/>
      <sheetName val="JSON BuilderV70"/>
      <sheetName val="Heated Devices"/>
      <sheetName val="JSON BuilderV80"/>
      <sheetName val="C&amp;C Lists"/>
      <sheetName val="C&amp;C Driver Start"/>
      <sheetName val="C&amp;C Driver"/>
      <sheetName val="Follow-up quality Distributor Q"/>
      <sheetName val="Anomalies"/>
      <sheetName val="Back Checking Rules"/>
      <sheetName val="Constants"/>
      <sheetName val="Constants (2)"/>
      <sheetName val="Level 3 List"/>
      <sheetName val="JSON BuilderChanne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3">
          <cell r="F3" t="str">
            <v>{ "v": "</v>
          </cell>
        </row>
        <row r="4">
          <cell r="F4" t="str">
            <v>", "n" : { "SYS": "</v>
          </cell>
        </row>
        <row r="5">
          <cell r="F5" t="str">
            <v>", "RP": "</v>
          </cell>
        </row>
        <row r="6">
          <cell r="F6" t="str">
            <v>"} },</v>
          </cell>
        </row>
        <row r="13">
          <cell r="F13" t="str">
            <v>"}, "Company": "</v>
          </cell>
        </row>
        <row r="14">
          <cell r="F14" t="str">
            <v>", "Category": "</v>
          </cell>
        </row>
        <row r="15">
          <cell r="F15" t="str">
            <v>", "Packtype": "</v>
          </cell>
        </row>
        <row r="16">
          <cell r="F16" t="str">
            <v>", "Brand": "</v>
          </cell>
        </row>
        <row r="17">
          <cell r="F17" t="str">
            <v>", "conv" : [</v>
          </cell>
        </row>
        <row r="18">
          <cell r="F18" t="str">
            <v>] },</v>
          </cell>
        </row>
        <row r="19">
          <cell r="F19" t="str">
            <v>" }, "vi" : [ { "r": "A-10", "o": "=", "t": "v", "v": "</v>
          </cell>
        </row>
        <row r="20">
          <cell r="F20" t="str">
            <v>" } ] },</v>
          </cell>
        </row>
        <row r="21">
          <cell r="F21" t="str">
            <v>" }, "vi" : [ { "r": "A-20", "o": "=", "t": "v", "v": "</v>
          </cell>
        </row>
        <row r="22">
          <cell r="F22" t="str">
            <v>" }, "vi" : [ { "or": [</v>
          </cell>
        </row>
        <row r="23">
          <cell r="F23" t="str">
            <v>{ "r": "A-10", "o": "=", "t": "v", "v": "</v>
          </cell>
        </row>
        <row r="24">
          <cell r="F24" t="str">
            <v>" } },</v>
          </cell>
        </row>
        <row r="25">
          <cell r="F25" t="str">
            <v>] } ] },</v>
          </cell>
        </row>
      </sheetData>
      <sheetData sheetId="44"/>
      <sheetData sheetId="45"/>
      <sheetData sheetId="4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Profile"/>
      <sheetName val="Obs"/>
      <sheetName val="Area"/>
      <sheetName val="AREA-LV1"/>
      <sheetName val="AREA-LV2"/>
      <sheetName val="AREA-LV3"/>
      <sheetName val="Level1 Builder"/>
      <sheetName val="Level2 Builder"/>
      <sheetName val="Level3 Builder"/>
      <sheetName val="Outlet details"/>
      <sheetName val="Interview Start"/>
      <sheetName val="Marketing"/>
      <sheetName val="Wholesaler"/>
      <sheetName val="Distribution"/>
      <sheetName val="Volume"/>
      <sheetName val="End"/>
      <sheetName val="I&amp;M Lists"/>
      <sheetName val="Province List"/>
      <sheetName val="Distributor Areas"/>
      <sheetName val="Sheet1"/>
      <sheetName val="JSON BuilderDistributor"/>
      <sheetName val="JSON BuilderDistributor-Old"/>
      <sheetName val="Level 2 List"/>
      <sheetName val="Volume &amp; Price List"/>
      <sheetName val="V60 SKU"/>
      <sheetName val="V60 BuilderSKU"/>
      <sheetName val="V70 SKU"/>
      <sheetName val="V70 BuilderSKU"/>
      <sheetName val="V80 SKU"/>
      <sheetName val="V80 BuilderSKU"/>
      <sheetName val="Cigarette List"/>
      <sheetName val="JSON BuilderV60"/>
      <sheetName val="Heated Sticks"/>
      <sheetName val="JSON BuilderV70"/>
      <sheetName val="Heated Devices"/>
      <sheetName val="JSON BuilderV80"/>
      <sheetName val="C&amp;C Lists"/>
      <sheetName val="C&amp;C Driver Start"/>
      <sheetName val="C&amp;C Driver"/>
      <sheetName val="Follow-up quality Distributor Q"/>
      <sheetName val="Anomalies"/>
      <sheetName val="Back Checking Rules"/>
      <sheetName val="Constants"/>
      <sheetName val="Constants (2)"/>
      <sheetName val="Level 3 List"/>
      <sheetName val="JSON BuilderChanne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persons/person.xml><?xml version="1.0" encoding="utf-8"?>
<personList xmlns="http://schemas.microsoft.com/office/spreadsheetml/2018/threadedcomments" xmlns:x="http://schemas.openxmlformats.org/spreadsheetml/2006/main">
  <person displayName="Axel Kangou" id="{CAE368BC-3AF7-492B-8506-B3D098D903D1}" userId="S::axel@insight-hq.com::1e5acc23-8a06-41ac-b503-180cc8ed619e" providerId="AD"/>
  <person displayName="Romeo Kouadio" id="{8BD5A42D-5FB9-4419-B018-16CAA4E5B599}" userId="S::romeo@insight-hq.com::490441dd-532b-464d-9760-f48368d6569a" providerId="AD"/>
  <person displayName="El Maaroufi, Soundous" id="{A83DDD38-0AE9-47F2-BAB6-B7A4CB008D08}" userId="S::CASELMAAS@CORP.JTI.COM::eb132e07-505f-4529-ba2b-2232a8f208ba" providerId="AD"/>
  <person displayName="Romeo Kouadio" id="{574DB494-6CF6-45F8-BC03-B0E19C82EFFB}" userId="S::romeo@creativestrategy.digital::ef2445cd-571c-4e6e-947d-33657ac6eab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2B91EA-12DE-4BDC-BA69-0874B7244E2F}" name="Table1" displayName="Table1" ref="A1:A16" totalsRowShown="0" headerRowDxfId="33" headerRowBorderDxfId="31" tableBorderDxfId="32" totalsRowBorderDxfId="30">
  <autoFilter ref="A1:A16" xr:uid="{21B5F3B0-2BCF-425F-A9F7-C7073614576D}"/>
  <tableColumns count="1">
    <tableColumn id="1" xr3:uid="{3AD95729-DB70-441A-8361-CF3B13D98CD1}" name="Answer Options"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DD5884-7D4C-4F0C-A1F1-D08664C65FF5}" name="Table13" displayName="Table13" ref="A1:A19" totalsRowShown="0" headerRowDxfId="4" headerRowBorderDxfId="2" tableBorderDxfId="3" totalsRowBorderDxfId="1">
  <autoFilter ref="A1:A19" xr:uid="{9EDD5884-7D4C-4F0C-A1F1-D08664C65FF5}"/>
  <tableColumns count="1">
    <tableColumn id="1" xr3:uid="{69B8CED2-AA5F-4CB8-88CD-8157D741750E}" name="Answer Option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5" dT="2024-10-04T10:06:29.27" personId="{CAE368BC-3AF7-492B-8506-B3D098D903D1}" id="{AD418AAC-3F7F-42EE-8754-5C281642949D}">
    <text>Possibility to remove this question?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D6" dT="2024-10-04T10:10:32.93" personId="{CAE368BC-3AF7-492B-8506-B3D098D903D1}" id="{1B03BE28-2E84-424B-A356-C84B26F6C71B}">
    <text>Not common in Cameroon</text>
  </threadedComment>
</ThreadedComments>
</file>

<file path=xl/threadedComments/threadedComment3.xml><?xml version="1.0" encoding="utf-8"?>
<ThreadedComments xmlns="http://schemas.microsoft.com/office/spreadsheetml/2018/threadedcomments" xmlns:x="http://schemas.openxmlformats.org/spreadsheetml/2006/main">
  <threadedComment ref="C10" dT="2024-10-04T10:11:44.38" personId="{CAE368BC-3AF7-492B-8506-B3D098D903D1}" id="{F6BD94D9-F21E-4FF9-BC83-EA0B18DAB009}">
    <text xml:space="preserve">Segment :
Grossiste: 
Semi-grossite: 
Detaillant:
</text>
  </threadedComment>
</ThreadedComments>
</file>

<file path=xl/threadedComments/threadedComment4.xml><?xml version="1.0" encoding="utf-8"?>
<ThreadedComments xmlns="http://schemas.microsoft.com/office/spreadsheetml/2018/threadedcomments" xmlns:x="http://schemas.openxmlformats.org/spreadsheetml/2006/main">
  <threadedComment ref="C11" dT="2024-10-04T10:32:37.98" personId="{CAE368BC-3AF7-492B-8506-B3D098D903D1}" id="{4E32BE03-BF40-46F7-9BA8-4A562579D4FB}">
    <text>Ask the question in pack</text>
  </threadedComment>
  <threadedComment ref="C15" dT="2024-10-10T13:20:45.58" personId="{8BD5A42D-5FB9-4419-B018-16CAA4E5B599}" id="{8F81114F-6F44-431E-B964-3F9821BE8E61}">
    <text>Change the question in therme of day not in week
And Add a question on the number of work days</text>
  </threadedComment>
  <threadedComment ref="C17" dT="2024-03-27T13:57:03.36" personId="{A83DDD38-0AE9-47F2-BAB6-B7A4CB008D08}" id="{7996AB23-BCC7-4CC3-85AA-56FC4BD145E5}">
    <text>Reword - among the packs you sell by day how many are sold in packs and how many are sold in sticks</text>
  </threadedComment>
</ThreadedComments>
</file>

<file path=xl/threadedComments/threadedComment5.xml><?xml version="1.0" encoding="utf-8"?>
<ThreadedComments xmlns="http://schemas.microsoft.com/office/spreadsheetml/2018/threadedcomments" xmlns:x="http://schemas.openxmlformats.org/spreadsheetml/2006/main">
  <threadedComment ref="C31" dT="2024-10-04T10:26:51.94" personId="{CAE368BC-3AF7-492B-8506-B3D098D903D1}" id="{3468F245-E765-4D80-A81D-7106AC9B30C3}">
    <text>Sub distributor &amp; Wholesaler : monthly or every 2 week
Sub Wholesaler : twice a week
Retailer : every day</text>
  </threadedComment>
</ThreadedComments>
</file>

<file path=xl/threadedComments/threadedComment6.xml><?xml version="1.0" encoding="utf-8"?>
<ThreadedComments xmlns="http://schemas.microsoft.com/office/spreadsheetml/2018/threadedcomments" xmlns:x="http://schemas.openxmlformats.org/spreadsheetml/2006/main">
  <threadedComment ref="C3" dT="2023-08-29T16:25:08.33" personId="{574DB494-6CF6-45F8-BC03-B0E19C82EFFB}" id="{64F20855-9124-495C-AD96-8397A849F882}">
    <text>Please check and update the list adding the arabic translation</text>
  </threadedComment>
  <threadedComment ref="C4" dT="2023-08-29T16:25:08.33" personId="{574DB494-6CF6-45F8-BC03-B0E19C82EFFB}" id="{D809F280-B334-475D-A127-4FE36427B050}">
    <text>Please check and update the list adding the arabic translation</text>
  </threadedComment>
  <threadedComment ref="C103" dT="2023-08-29T16:26:33.21" personId="{574DB494-6CF6-45F8-BC03-B0E19C82EFFB}" id="{38C38028-21AE-4A99-8C33-7551A0EE1642}" done="1">
    <text xml:space="preserve">The question is in </text>
  </threadedComment>
  <threadedComment ref="D104" dT="2024-10-04T10:49:41.86" personId="{CAE368BC-3AF7-492B-8506-B3D098D903D1}" id="{0BC2B693-F550-424A-B4AA-739D9EAE5411}">
    <text>Weekly frequency instead of monthly</text>
  </threadedComment>
</ThreadedComments>
</file>

<file path=xl/threadedComments/threadedComment7.xml><?xml version="1.0" encoding="utf-8"?>
<ThreadedComments xmlns="http://schemas.microsoft.com/office/spreadsheetml/2018/threadedcomments" xmlns:x="http://schemas.openxmlformats.org/spreadsheetml/2006/main">
  <threadedComment ref="E64" dT="2024-03-27T13:34:06.18" personId="{A83DDD38-0AE9-47F2-BAB6-B7A4CB008D08}" id="{38B6A8C4-7FB4-4382-A36A-621BB8E81729}">
    <text>They don't make a difference between both</text>
  </threadedComment>
  <threadedComment ref="G137" dT="2024-10-04T10:14:56.11" personId="{CAE368BC-3AF7-492B-8506-B3D098D903D1}" id="{048BE937-FDF3-4887-B0DA-A3EF6B4F0F7F}">
    <text>Boutique
Kiosque
Tablier
Convenience (Supermarche, station service)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microsoft.com/office/2017/10/relationships/threadedComment" Target="../threadedComments/threadedComment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rgb="FF7030A0"/>
  </sheetPr>
  <dimension ref="A1:Q30"/>
  <sheetViews>
    <sheetView zoomScale="85" zoomScaleNormal="130" workbookViewId="0">
      <selection activeCell="B27" sqref="B27:E27"/>
    </sheetView>
  </sheetViews>
  <sheetFormatPr defaultColWidth="0" defaultRowHeight="14.45" zeroHeight="1"/>
  <cols>
    <col min="1" max="2" width="9" style="22" customWidth="1"/>
    <col min="3" max="3" width="16.28515625" style="22" customWidth="1"/>
    <col min="4" max="6" width="9" style="22" customWidth="1"/>
    <col min="7" max="7" width="15.7109375" style="22" customWidth="1"/>
    <col min="8" max="8" width="16.28515625" style="22" customWidth="1"/>
    <col min="9" max="9" width="10.28515625" style="22" bestFit="1" customWidth="1"/>
    <col min="10" max="10" width="18.7109375" style="22" bestFit="1" customWidth="1"/>
    <col min="11" max="11" width="11" style="22" customWidth="1"/>
    <col min="12" max="12" width="9" style="22" customWidth="1"/>
    <col min="13" max="13" width="15.28515625" style="22" customWidth="1"/>
    <col min="14" max="14" width="17.7109375" style="22" customWidth="1"/>
    <col min="15" max="15" width="9" style="22" customWidth="1"/>
    <col min="16" max="17" width="9" style="22" hidden="1" customWidth="1"/>
    <col min="18" max="16384" width="9" hidden="1"/>
  </cols>
  <sheetData>
    <row r="1" spans="1:15"/>
    <row r="2" spans="1:15">
      <c r="L2" s="375" t="s">
        <v>0</v>
      </c>
      <c r="M2" s="375"/>
      <c r="N2" s="75"/>
    </row>
    <row r="3" spans="1:15">
      <c r="L3" s="375" t="s">
        <v>1</v>
      </c>
      <c r="M3" s="375"/>
      <c r="N3" s="75"/>
    </row>
    <row r="4" spans="1:15">
      <c r="L4" s="375" t="s">
        <v>2</v>
      </c>
      <c r="M4" s="375"/>
      <c r="N4" s="75"/>
    </row>
    <row r="5" spans="1:15"/>
    <row r="6" spans="1:15">
      <c r="A6" s="24"/>
      <c r="B6" s="24" t="s">
        <v>3</v>
      </c>
      <c r="C6" s="24"/>
      <c r="D6" s="24"/>
      <c r="E6" s="24"/>
      <c r="F6" s="24"/>
      <c r="G6" s="24"/>
      <c r="H6" s="24"/>
      <c r="I6" s="24"/>
      <c r="J6" s="24"/>
      <c r="K6" s="24"/>
      <c r="L6" s="20"/>
      <c r="M6" s="20"/>
      <c r="N6" s="20"/>
      <c r="O6" s="63"/>
    </row>
    <row r="7" spans="1:15">
      <c r="A7" s="24"/>
      <c r="B7" s="24" t="s">
        <v>4</v>
      </c>
      <c r="C7" s="24"/>
      <c r="D7" s="24"/>
      <c r="E7" s="24"/>
      <c r="F7" s="24"/>
      <c r="G7" s="24"/>
      <c r="H7" s="24"/>
      <c r="I7" s="24"/>
      <c r="J7" s="24"/>
      <c r="K7" s="24"/>
      <c r="L7" s="20"/>
      <c r="M7" s="20"/>
      <c r="N7" s="20"/>
      <c r="O7" s="63"/>
    </row>
    <row r="8" spans="1:15">
      <c r="A8" s="24"/>
      <c r="B8" s="24" t="s">
        <v>5</v>
      </c>
      <c r="C8" s="24"/>
      <c r="D8" s="24"/>
      <c r="E8" s="24"/>
      <c r="F8" s="24"/>
      <c r="G8" s="24"/>
      <c r="H8" s="24"/>
      <c r="I8" s="24"/>
      <c r="J8" s="24"/>
      <c r="K8" s="24"/>
      <c r="L8" s="20"/>
      <c r="M8" s="20"/>
      <c r="N8" s="20"/>
      <c r="O8" s="63"/>
    </row>
    <row r="9" spans="1:15"/>
    <row r="10" spans="1:15" ht="15" customHeight="1">
      <c r="B10" s="376" t="s">
        <v>6</v>
      </c>
      <c r="C10" s="376"/>
      <c r="D10" s="376"/>
      <c r="E10" s="376"/>
      <c r="F10" s="376"/>
      <c r="G10" s="376"/>
      <c r="H10" s="376"/>
      <c r="I10" s="376"/>
      <c r="J10" s="376"/>
      <c r="K10" s="376"/>
    </row>
    <row r="11" spans="1:15">
      <c r="B11" s="377"/>
      <c r="C11" s="377"/>
      <c r="D11" s="377"/>
      <c r="E11" s="377"/>
      <c r="F11" s="377"/>
      <c r="G11" s="377"/>
      <c r="H11" s="377"/>
      <c r="I11" s="377"/>
      <c r="J11" s="377"/>
      <c r="K11" s="377"/>
    </row>
    <row r="12" spans="1:15" ht="33" customHeight="1">
      <c r="B12" s="376" t="s">
        <v>7</v>
      </c>
      <c r="C12" s="376"/>
      <c r="D12" s="376"/>
      <c r="E12" s="376"/>
      <c r="F12" s="376"/>
      <c r="G12" s="376"/>
      <c r="H12" s="376"/>
      <c r="I12" s="376"/>
      <c r="J12" s="376"/>
      <c r="K12" s="376"/>
    </row>
    <row r="13" spans="1:15">
      <c r="A13" s="128"/>
      <c r="B13" s="128"/>
      <c r="C13" s="128"/>
      <c r="D13" s="128"/>
      <c r="E13" s="128"/>
      <c r="F13" s="128"/>
      <c r="G13" s="128"/>
      <c r="H13" s="128"/>
      <c r="I13" s="128"/>
      <c r="J13" s="128"/>
      <c r="K13" s="128"/>
    </row>
    <row r="14" spans="1:15">
      <c r="B14" s="20"/>
      <c r="C14" s="22" t="s">
        <v>8</v>
      </c>
    </row>
    <row r="15" spans="1:15">
      <c r="B15" s="8"/>
      <c r="C15" s="22" t="s">
        <v>9</v>
      </c>
    </row>
    <row r="16" spans="1:15">
      <c r="B16" s="21"/>
      <c r="C16" s="22" t="s">
        <v>10</v>
      </c>
    </row>
    <row r="17" spans="1:14" ht="14.25" customHeight="1">
      <c r="B17" s="27"/>
      <c r="C17" s="22" t="s">
        <v>11</v>
      </c>
      <c r="J17" s="374"/>
      <c r="K17" s="374"/>
      <c r="L17" s="374"/>
      <c r="M17" s="374"/>
      <c r="N17" s="374"/>
    </row>
    <row r="18" spans="1:14">
      <c r="B18" s="159"/>
      <c r="C18" s="22" t="s">
        <v>12</v>
      </c>
      <c r="J18" s="53"/>
      <c r="K18" s="53"/>
      <c r="L18" s="53"/>
      <c r="M18" s="53"/>
      <c r="N18" s="53"/>
    </row>
    <row r="19" spans="1:14">
      <c r="B19" s="50"/>
      <c r="C19" s="22" t="s">
        <v>13</v>
      </c>
      <c r="K19" s="51"/>
      <c r="L19" s="51"/>
      <c r="M19" s="52"/>
      <c r="N19" s="52"/>
    </row>
    <row r="20" spans="1:14">
      <c r="B20" s="158"/>
      <c r="K20" s="51"/>
      <c r="L20" s="51"/>
      <c r="M20" s="52"/>
      <c r="N20" s="52"/>
    </row>
    <row r="21" spans="1:14" ht="15.6">
      <c r="B21" s="160" t="s">
        <v>14</v>
      </c>
      <c r="K21" s="51"/>
      <c r="L21" s="51"/>
      <c r="M21" s="52"/>
      <c r="N21" s="52"/>
    </row>
    <row r="22" spans="1:14">
      <c r="B22" s="26" t="s">
        <v>15</v>
      </c>
      <c r="C22" s="26"/>
      <c r="D22" s="26"/>
      <c r="E22" s="26"/>
      <c r="F22" s="26"/>
      <c r="G22" s="26"/>
      <c r="H22" s="26"/>
      <c r="I22" s="26"/>
      <c r="L22" s="51"/>
      <c r="M22" s="52"/>
      <c r="N22" s="52"/>
    </row>
    <row r="23" spans="1:14">
      <c r="B23" s="76" t="s">
        <v>16</v>
      </c>
      <c r="C23" s="77"/>
      <c r="D23" s="77"/>
      <c r="E23" s="78"/>
      <c r="F23" s="74" t="s">
        <v>17</v>
      </c>
      <c r="G23" s="76" t="s">
        <v>18</v>
      </c>
      <c r="H23" s="77"/>
      <c r="I23" s="77"/>
      <c r="J23" s="77"/>
      <c r="K23" s="77"/>
      <c r="L23" s="78"/>
      <c r="M23" s="52"/>
      <c r="N23" s="52"/>
    </row>
    <row r="24" spans="1:14" ht="28.35" customHeight="1">
      <c r="B24" s="368"/>
      <c r="C24" s="369"/>
      <c r="D24" s="369"/>
      <c r="E24" s="370"/>
      <c r="F24" s="23"/>
      <c r="G24" s="378"/>
      <c r="H24" s="379"/>
      <c r="I24" s="379"/>
      <c r="J24" s="379"/>
      <c r="K24" s="379"/>
      <c r="L24" s="380"/>
      <c r="M24" s="52"/>
      <c r="N24" s="52"/>
    </row>
    <row r="25" spans="1:14" ht="30.75" customHeight="1">
      <c r="B25" s="368"/>
      <c r="C25" s="369"/>
      <c r="D25" s="369"/>
      <c r="E25" s="370"/>
      <c r="F25" s="23"/>
      <c r="G25" s="378"/>
      <c r="H25" s="379"/>
      <c r="I25" s="379"/>
      <c r="J25" s="379"/>
      <c r="K25" s="379"/>
      <c r="L25" s="380"/>
      <c r="M25" s="52"/>
      <c r="N25" s="52"/>
    </row>
    <row r="26" spans="1:14" ht="27.75" customHeight="1">
      <c r="B26" s="368"/>
      <c r="C26" s="369"/>
      <c r="D26" s="369"/>
      <c r="E26" s="370"/>
      <c r="F26" s="23"/>
      <c r="G26" s="378"/>
      <c r="H26" s="379"/>
      <c r="I26" s="379"/>
      <c r="J26" s="379"/>
      <c r="K26" s="379"/>
      <c r="L26" s="380"/>
      <c r="M26" s="52"/>
      <c r="N26" s="52"/>
    </row>
    <row r="27" spans="1:14">
      <c r="B27" s="371"/>
      <c r="C27" s="372"/>
      <c r="D27" s="372"/>
      <c r="E27" s="373"/>
      <c r="F27" s="23"/>
      <c r="G27" s="378"/>
      <c r="H27" s="379"/>
      <c r="I27" s="379"/>
      <c r="J27" s="379"/>
      <c r="K27" s="379"/>
      <c r="L27" s="380"/>
      <c r="M27" s="52"/>
      <c r="N27" s="52"/>
    </row>
    <row r="28" spans="1:14">
      <c r="B28" s="368"/>
      <c r="C28" s="369"/>
      <c r="D28" s="369"/>
      <c r="E28" s="370"/>
      <c r="F28" s="23"/>
      <c r="G28" s="378"/>
      <c r="H28" s="379"/>
      <c r="I28" s="379"/>
      <c r="J28" s="379"/>
      <c r="K28" s="379"/>
      <c r="L28" s="380"/>
      <c r="M28" s="52"/>
      <c r="N28" s="52"/>
    </row>
    <row r="29" spans="1:14">
      <c r="B29" s="368"/>
      <c r="C29" s="369"/>
      <c r="D29" s="369"/>
      <c r="E29" s="370"/>
      <c r="F29" s="23"/>
      <c r="G29" s="378"/>
      <c r="H29" s="379"/>
      <c r="I29" s="379"/>
      <c r="J29" s="379"/>
      <c r="K29" s="379"/>
      <c r="L29" s="380"/>
    </row>
    <row r="30" spans="1:14">
      <c r="A30" s="367"/>
      <c r="B30" s="367"/>
      <c r="C30" s="367"/>
      <c r="D30" s="367"/>
    </row>
  </sheetData>
  <mergeCells count="20">
    <mergeCell ref="G29:L29"/>
    <mergeCell ref="G24:L24"/>
    <mergeCell ref="G25:L25"/>
    <mergeCell ref="G26:L26"/>
    <mergeCell ref="G27:L27"/>
    <mergeCell ref="G28:L28"/>
    <mergeCell ref="J17:N17"/>
    <mergeCell ref="L2:M2"/>
    <mergeCell ref="L4:M4"/>
    <mergeCell ref="L3:M3"/>
    <mergeCell ref="B10:K10"/>
    <mergeCell ref="B12:K12"/>
    <mergeCell ref="B11:K11"/>
    <mergeCell ref="A30:D30"/>
    <mergeCell ref="B24:E24"/>
    <mergeCell ref="B25:E25"/>
    <mergeCell ref="B26:E26"/>
    <mergeCell ref="B27:E27"/>
    <mergeCell ref="B28:E28"/>
    <mergeCell ref="B29:E29"/>
  </mergeCells>
  <pageMargins left="0.7" right="0.7" top="0.75" bottom="0.75" header="0.3" footer="0.3"/>
  <pageSetup paperSize="9" orientation="portrait"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7030A0"/>
  </sheetPr>
  <dimension ref="A1:K14"/>
  <sheetViews>
    <sheetView zoomScaleNormal="100" workbookViewId="0">
      <selection activeCell="H4" sqref="H4"/>
    </sheetView>
  </sheetViews>
  <sheetFormatPr defaultColWidth="0" defaultRowHeight="15" customHeight="1" zeroHeight="1"/>
  <cols>
    <col min="1" max="2" width="13.7109375" customWidth="1"/>
    <col min="3" max="3" width="36.42578125" bestFit="1" customWidth="1"/>
    <col min="4" max="4" width="22.7109375" bestFit="1" customWidth="1"/>
    <col min="5" max="5" width="15.7109375" customWidth="1"/>
    <col min="6" max="6" width="17.28515625" customWidth="1"/>
    <col min="7" max="7" width="48.28515625" customWidth="1"/>
    <col min="8" max="8" width="46.7109375" customWidth="1"/>
    <col min="9" max="9" width="18.7109375" customWidth="1"/>
    <col min="10" max="10" width="15.7109375" customWidth="1"/>
    <col min="11" max="11" width="8.7109375" customWidth="1"/>
    <col min="12" max="16384" width="8.7109375" hidden="1"/>
  </cols>
  <sheetData>
    <row r="1" spans="1:11" s="84" customFormat="1" ht="14.45" customHeight="1">
      <c r="A1" s="381"/>
      <c r="B1" s="382"/>
      <c r="C1" s="382"/>
      <c r="D1" s="382"/>
      <c r="E1" s="382"/>
      <c r="F1" s="382"/>
      <c r="G1" s="382"/>
      <c r="H1" s="383"/>
      <c r="I1" s="384" t="s">
        <v>19</v>
      </c>
      <c r="J1" s="385"/>
    </row>
    <row r="2" spans="1:11" s="84" customFormat="1" ht="30.75">
      <c r="A2" s="86" t="s">
        <v>20</v>
      </c>
      <c r="B2" s="86" t="s">
        <v>21</v>
      </c>
      <c r="C2" s="86" t="s">
        <v>22</v>
      </c>
      <c r="D2" s="86" t="s">
        <v>23</v>
      </c>
      <c r="E2" s="86" t="s">
        <v>24</v>
      </c>
      <c r="F2" s="86" t="s">
        <v>25</v>
      </c>
      <c r="G2" s="86" t="s">
        <v>26</v>
      </c>
      <c r="H2" s="86" t="s">
        <v>27</v>
      </c>
      <c r="I2" s="86" t="s">
        <v>28</v>
      </c>
      <c r="J2" s="86" t="s">
        <v>29</v>
      </c>
      <c r="K2" s="86" t="s">
        <v>29</v>
      </c>
    </row>
    <row r="3" spans="1:11" s="84" customFormat="1">
      <c r="A3" s="80" t="s">
        <v>30</v>
      </c>
      <c r="B3" s="80"/>
      <c r="C3" s="98"/>
      <c r="D3" s="98"/>
      <c r="E3" s="156"/>
      <c r="F3" s="150"/>
      <c r="G3" s="156"/>
      <c r="H3" s="110"/>
      <c r="I3" s="81"/>
      <c r="J3" s="81"/>
      <c r="K3" s="81"/>
    </row>
    <row r="4" spans="1:11" s="84" customFormat="1">
      <c r="A4" s="80" t="s">
        <v>31</v>
      </c>
      <c r="B4" s="80"/>
      <c r="C4" s="98" t="s">
        <v>32</v>
      </c>
      <c r="D4" s="98" t="str">
        <f>A4&amp;" "&amp;C4</f>
        <v>P-10 Surname</v>
      </c>
      <c r="E4" s="156" t="s">
        <v>33</v>
      </c>
      <c r="F4" s="150" t="s">
        <v>34</v>
      </c>
      <c r="G4" s="156" t="s">
        <v>35</v>
      </c>
      <c r="H4" s="110"/>
      <c r="I4" s="81"/>
      <c r="J4" s="81"/>
      <c r="K4" s="81"/>
    </row>
    <row r="5" spans="1:11" s="84" customFormat="1">
      <c r="A5" s="80" t="s">
        <v>36</v>
      </c>
      <c r="B5" s="80"/>
      <c r="C5" s="98" t="s">
        <v>37</v>
      </c>
      <c r="D5" s="98" t="str">
        <f t="shared" ref="D5:D9" si="0">A5&amp;" "&amp;C5</f>
        <v>P-20 Name</v>
      </c>
      <c r="E5" s="156" t="s">
        <v>33</v>
      </c>
      <c r="F5" s="150" t="s">
        <v>34</v>
      </c>
      <c r="G5" s="156"/>
      <c r="H5" s="110" t="s">
        <v>38</v>
      </c>
      <c r="I5" s="81"/>
      <c r="J5" s="81"/>
      <c r="K5" s="81"/>
    </row>
    <row r="6" spans="1:11" s="84" customFormat="1">
      <c r="A6" s="80" t="s">
        <v>39</v>
      </c>
      <c r="B6" s="80"/>
      <c r="C6" s="98" t="s">
        <v>40</v>
      </c>
      <c r="D6" s="98" t="str">
        <f t="shared" si="0"/>
        <v>P-30 Enumerator Code</v>
      </c>
      <c r="E6" s="157" t="s">
        <v>41</v>
      </c>
      <c r="F6" s="150" t="s">
        <v>34</v>
      </c>
      <c r="G6" s="156"/>
      <c r="H6" s="110" t="s">
        <v>38</v>
      </c>
      <c r="I6" s="81"/>
      <c r="J6" s="81"/>
      <c r="K6" s="81"/>
    </row>
    <row r="7" spans="1:11" s="84" customFormat="1">
      <c r="A7" s="80" t="s">
        <v>42</v>
      </c>
      <c r="B7" s="80"/>
      <c r="C7" s="98" t="s">
        <v>43</v>
      </c>
      <c r="D7" s="98" t="str">
        <f t="shared" si="0"/>
        <v>P-40 Supervisor Code</v>
      </c>
      <c r="E7" s="157" t="s">
        <v>41</v>
      </c>
      <c r="F7" s="150" t="s">
        <v>34</v>
      </c>
      <c r="G7" s="156"/>
      <c r="H7" s="110" t="s">
        <v>38</v>
      </c>
      <c r="I7" s="81"/>
      <c r="J7" s="81"/>
      <c r="K7" s="81"/>
    </row>
    <row r="8" spans="1:11" s="84" customFormat="1">
      <c r="A8" s="80" t="s">
        <v>44</v>
      </c>
      <c r="B8" s="80"/>
      <c r="C8" s="2" t="s">
        <v>45</v>
      </c>
      <c r="D8" s="98" t="str">
        <f t="shared" si="0"/>
        <v>P-50 Date</v>
      </c>
      <c r="E8" s="157" t="s">
        <v>41</v>
      </c>
      <c r="F8" s="150"/>
      <c r="G8" s="3" t="s">
        <v>46</v>
      </c>
      <c r="H8" s="110" t="s">
        <v>38</v>
      </c>
      <c r="I8" s="81"/>
      <c r="J8" s="81"/>
      <c r="K8" s="81"/>
    </row>
    <row r="9" spans="1:11" s="84" customFormat="1">
      <c r="A9" s="80" t="s">
        <v>47</v>
      </c>
      <c r="B9" s="80"/>
      <c r="C9" s="2" t="s">
        <v>48</v>
      </c>
      <c r="D9" s="98" t="str">
        <f t="shared" si="0"/>
        <v>P-60 Telephone number</v>
      </c>
      <c r="E9" s="157" t="s">
        <v>41</v>
      </c>
      <c r="F9" s="150" t="s">
        <v>34</v>
      </c>
      <c r="G9" s="3"/>
      <c r="H9" s="110"/>
      <c r="I9" s="81"/>
      <c r="J9" s="81"/>
      <c r="K9" s="81"/>
    </row>
    <row r="10" spans="1:11" s="84" customFormat="1">
      <c r="A10" s="80" t="s">
        <v>49</v>
      </c>
      <c r="B10" s="80"/>
      <c r="C10" s="2" t="s">
        <v>50</v>
      </c>
      <c r="D10" s="2" t="s">
        <v>51</v>
      </c>
      <c r="E10" s="157" t="s">
        <v>41</v>
      </c>
      <c r="F10" s="150" t="s">
        <v>34</v>
      </c>
      <c r="G10" s="3" t="s">
        <v>46</v>
      </c>
      <c r="H10" s="110" t="s">
        <v>52</v>
      </c>
      <c r="I10" s="81"/>
      <c r="J10" s="81"/>
      <c r="K10" s="81"/>
    </row>
    <row r="11" spans="1:11">
      <c r="A11" s="10"/>
      <c r="B11" s="10"/>
      <c r="C11" s="11"/>
      <c r="E11" s="12"/>
      <c r="H11" s="13"/>
    </row>
    <row r="12" spans="1:11" hidden="1">
      <c r="A12" s="10"/>
      <c r="B12" s="10"/>
      <c r="C12" s="11"/>
      <c r="E12" s="12"/>
      <c r="H12" s="13"/>
    </row>
    <row r="13" spans="1:11" hidden="1">
      <c r="A13" s="10"/>
      <c r="B13" s="10"/>
      <c r="C13" s="11"/>
      <c r="E13" s="12"/>
      <c r="G13" s="14"/>
      <c r="H13" s="15"/>
    </row>
    <row r="14" spans="1:11" hidden="1">
      <c r="C14" s="11"/>
    </row>
  </sheetData>
  <mergeCells count="2">
    <mergeCell ref="A1:H1"/>
    <mergeCell ref="I1:J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4" tint="-0.249977111117893"/>
  </sheetPr>
  <dimension ref="A1:D102"/>
  <sheetViews>
    <sheetView zoomScale="85" zoomScaleNormal="85" workbookViewId="0">
      <selection activeCell="A33" sqref="A33"/>
    </sheetView>
  </sheetViews>
  <sheetFormatPr defaultRowHeight="14.45"/>
  <cols>
    <col min="1" max="1" width="44.5703125" bestFit="1" customWidth="1"/>
    <col min="2" max="2" width="124.5703125" customWidth="1"/>
    <col min="3" max="3" width="18.5703125" bestFit="1" customWidth="1"/>
    <col min="4" max="4" width="31.28515625" bestFit="1" customWidth="1"/>
  </cols>
  <sheetData>
    <row r="1" spans="1:4">
      <c r="A1" s="111" t="s">
        <v>20</v>
      </c>
      <c r="B1" s="111" t="s">
        <v>53</v>
      </c>
      <c r="C1" s="111" t="s">
        <v>54</v>
      </c>
      <c r="D1" s="111" t="s">
        <v>55</v>
      </c>
    </row>
    <row r="2" spans="1:4">
      <c r="A2" s="58" t="s">
        <v>56</v>
      </c>
    </row>
    <row r="3" spans="1:4">
      <c r="A3" s="1" t="s">
        <v>57</v>
      </c>
      <c r="B3" t="s">
        <v>58</v>
      </c>
      <c r="C3" t="s">
        <v>59</v>
      </c>
      <c r="D3" t="s">
        <v>60</v>
      </c>
    </row>
    <row r="4" spans="1:4">
      <c r="A4" t="s">
        <v>61</v>
      </c>
      <c r="C4" t="s">
        <v>59</v>
      </c>
      <c r="D4" t="s">
        <v>60</v>
      </c>
    </row>
    <row r="5" spans="1:4">
      <c r="A5" t="s">
        <v>62</v>
      </c>
      <c r="B5" t="s">
        <v>63</v>
      </c>
      <c r="C5" t="s">
        <v>59</v>
      </c>
      <c r="D5" t="s">
        <v>59</v>
      </c>
    </row>
    <row r="6" spans="1:4">
      <c r="A6" t="s">
        <v>64</v>
      </c>
    </row>
    <row r="7" spans="1:4">
      <c r="A7" s="8" t="s">
        <v>65</v>
      </c>
    </row>
    <row r="8" spans="1:4">
      <c r="A8" t="s">
        <v>66</v>
      </c>
      <c r="C8" t="s">
        <v>59</v>
      </c>
      <c r="D8" t="s">
        <v>60</v>
      </c>
    </row>
    <row r="9" spans="1:4">
      <c r="A9" t="s">
        <v>67</v>
      </c>
      <c r="C9" t="s">
        <v>59</v>
      </c>
      <c r="D9" t="s">
        <v>60</v>
      </c>
    </row>
    <row r="10" spans="1:4">
      <c r="A10" t="s">
        <v>68</v>
      </c>
      <c r="B10" t="s">
        <v>69</v>
      </c>
      <c r="C10" t="s">
        <v>60</v>
      </c>
      <c r="D10" t="s">
        <v>59</v>
      </c>
    </row>
    <row r="11" spans="1:4">
      <c r="A11" t="s">
        <v>70</v>
      </c>
      <c r="C11" t="s">
        <v>59</v>
      </c>
      <c r="D11" t="s">
        <v>60</v>
      </c>
    </row>
    <row r="12" spans="1:4">
      <c r="A12" t="s">
        <v>71</v>
      </c>
      <c r="B12" t="s">
        <v>72</v>
      </c>
      <c r="C12" t="s">
        <v>59</v>
      </c>
      <c r="D12" t="s">
        <v>73</v>
      </c>
    </row>
    <row r="13" spans="1:4">
      <c r="A13" t="s">
        <v>74</v>
      </c>
      <c r="B13" t="s">
        <v>69</v>
      </c>
      <c r="C13" t="s">
        <v>60</v>
      </c>
      <c r="D13" t="s">
        <v>59</v>
      </c>
    </row>
    <row r="14" spans="1:4">
      <c r="A14" t="s">
        <v>75</v>
      </c>
      <c r="B14" t="s">
        <v>76</v>
      </c>
      <c r="C14" t="s">
        <v>60</v>
      </c>
      <c r="D14" t="s">
        <v>60</v>
      </c>
    </row>
    <row r="15" spans="1:4">
      <c r="A15" t="s">
        <v>77</v>
      </c>
      <c r="B15" t="s">
        <v>78</v>
      </c>
      <c r="C15" t="s">
        <v>60</v>
      </c>
      <c r="D15" t="s">
        <v>60</v>
      </c>
    </row>
    <row r="16" spans="1:4">
      <c r="A16" t="s">
        <v>79</v>
      </c>
      <c r="B16" t="s">
        <v>80</v>
      </c>
      <c r="C16" t="s">
        <v>60</v>
      </c>
      <c r="D16" t="s">
        <v>60</v>
      </c>
    </row>
    <row r="17" spans="1:4">
      <c r="A17" t="s">
        <v>79</v>
      </c>
      <c r="B17" t="s">
        <v>81</v>
      </c>
      <c r="C17" t="s">
        <v>60</v>
      </c>
      <c r="D17" t="s">
        <v>60</v>
      </c>
    </row>
    <row r="18" spans="1:4">
      <c r="A18" t="s">
        <v>79</v>
      </c>
      <c r="B18" t="s">
        <v>82</v>
      </c>
      <c r="C18" t="s">
        <v>60</v>
      </c>
      <c r="D18" t="s">
        <v>60</v>
      </c>
    </row>
    <row r="19" spans="1:4">
      <c r="A19" t="s">
        <v>83</v>
      </c>
      <c r="B19" t="s">
        <v>69</v>
      </c>
      <c r="C19" t="s">
        <v>60</v>
      </c>
      <c r="D19" t="s">
        <v>59</v>
      </c>
    </row>
    <row r="20" spans="1:4">
      <c r="A20" t="s">
        <v>84</v>
      </c>
      <c r="B20" t="s">
        <v>85</v>
      </c>
    </row>
    <row r="21" spans="1:4">
      <c r="A21" s="59" t="s">
        <v>86</v>
      </c>
    </row>
    <row r="22" spans="1:4">
      <c r="A22" t="s">
        <v>87</v>
      </c>
      <c r="C22" t="s">
        <v>59</v>
      </c>
      <c r="D22" t="s">
        <v>59</v>
      </c>
    </row>
    <row r="23" spans="1:4">
      <c r="A23" t="s">
        <v>88</v>
      </c>
      <c r="B23" t="s">
        <v>89</v>
      </c>
      <c r="C23" t="s">
        <v>59</v>
      </c>
      <c r="D23" t="s">
        <v>60</v>
      </c>
    </row>
    <row r="24" spans="1:4">
      <c r="A24" t="s">
        <v>90</v>
      </c>
      <c r="B24" t="s">
        <v>91</v>
      </c>
      <c r="C24" t="s">
        <v>59</v>
      </c>
      <c r="D24" t="s">
        <v>60</v>
      </c>
    </row>
    <row r="25" spans="1:4">
      <c r="A25" t="s">
        <v>92</v>
      </c>
      <c r="B25" t="s">
        <v>93</v>
      </c>
      <c r="C25" t="s">
        <v>59</v>
      </c>
      <c r="D25" t="s">
        <v>59</v>
      </c>
    </row>
    <row r="26" spans="1:4">
      <c r="A26" t="s">
        <v>94</v>
      </c>
      <c r="B26" t="s">
        <v>95</v>
      </c>
      <c r="C26" t="s">
        <v>59</v>
      </c>
      <c r="D26" t="s">
        <v>60</v>
      </c>
    </row>
    <row r="27" spans="1:4">
      <c r="A27" t="s">
        <v>96</v>
      </c>
      <c r="B27" t="s">
        <v>97</v>
      </c>
      <c r="C27" t="s">
        <v>60</v>
      </c>
      <c r="D27" t="s">
        <v>59</v>
      </c>
    </row>
    <row r="28" spans="1:4">
      <c r="A28" t="s">
        <v>98</v>
      </c>
      <c r="B28" t="s">
        <v>99</v>
      </c>
      <c r="C28" t="s">
        <v>60</v>
      </c>
      <c r="D28" t="s">
        <v>59</v>
      </c>
    </row>
    <row r="29" spans="1:4">
      <c r="A29" t="s">
        <v>100</v>
      </c>
      <c r="B29" t="s">
        <v>99</v>
      </c>
      <c r="C29" t="s">
        <v>60</v>
      </c>
      <c r="D29" t="s">
        <v>59</v>
      </c>
    </row>
    <row r="30" spans="1:4">
      <c r="A30" t="s">
        <v>101</v>
      </c>
      <c r="B30" t="s">
        <v>99</v>
      </c>
      <c r="C30" t="s">
        <v>60</v>
      </c>
      <c r="D30" t="s">
        <v>59</v>
      </c>
    </row>
    <row r="31" spans="1:4">
      <c r="A31" t="s">
        <v>102</v>
      </c>
      <c r="B31" t="s">
        <v>103</v>
      </c>
      <c r="C31" t="s">
        <v>59</v>
      </c>
      <c r="D31" t="s">
        <v>60</v>
      </c>
    </row>
    <row r="32" spans="1:4">
      <c r="A32" t="s">
        <v>104</v>
      </c>
      <c r="B32" t="s">
        <v>105</v>
      </c>
      <c r="C32" t="s">
        <v>60</v>
      </c>
      <c r="D32" t="s">
        <v>59</v>
      </c>
    </row>
    <row r="33" spans="1:4">
      <c r="A33" t="s">
        <v>106</v>
      </c>
      <c r="B33" t="s">
        <v>107</v>
      </c>
      <c r="C33" t="s">
        <v>59</v>
      </c>
      <c r="D33" t="s">
        <v>73</v>
      </c>
    </row>
    <row r="34" spans="1:4">
      <c r="A34" t="s">
        <v>108</v>
      </c>
      <c r="B34" t="s">
        <v>109</v>
      </c>
      <c r="C34" t="s">
        <v>59</v>
      </c>
      <c r="D34" t="s">
        <v>60</v>
      </c>
    </row>
    <row r="35" spans="1:4">
      <c r="A35" t="s">
        <v>110</v>
      </c>
      <c r="B35" t="s">
        <v>103</v>
      </c>
      <c r="C35" t="s">
        <v>60</v>
      </c>
      <c r="D35" t="s">
        <v>59</v>
      </c>
    </row>
    <row r="36" spans="1:4">
      <c r="A36" t="s">
        <v>111</v>
      </c>
      <c r="B36" t="s">
        <v>103</v>
      </c>
      <c r="C36" t="s">
        <v>59</v>
      </c>
      <c r="D36" t="s">
        <v>60</v>
      </c>
    </row>
    <row r="37" spans="1:4">
      <c r="A37" t="s">
        <v>112</v>
      </c>
      <c r="B37" t="s">
        <v>103</v>
      </c>
      <c r="C37" t="s">
        <v>59</v>
      </c>
      <c r="D37" t="s">
        <v>60</v>
      </c>
    </row>
    <row r="38" spans="1:4">
      <c r="A38" t="s">
        <v>113</v>
      </c>
      <c r="B38" t="s">
        <v>103</v>
      </c>
      <c r="C38" t="s">
        <v>59</v>
      </c>
      <c r="D38" t="s">
        <v>60</v>
      </c>
    </row>
    <row r="39" spans="1:4">
      <c r="A39" t="s">
        <v>114</v>
      </c>
      <c r="B39" t="s">
        <v>103</v>
      </c>
      <c r="C39" t="s">
        <v>59</v>
      </c>
      <c r="D39" t="s">
        <v>60</v>
      </c>
    </row>
    <row r="40" spans="1:4">
      <c r="A40" t="s">
        <v>115</v>
      </c>
      <c r="B40" t="s">
        <v>103</v>
      </c>
      <c r="C40" t="s">
        <v>59</v>
      </c>
      <c r="D40" t="s">
        <v>60</v>
      </c>
    </row>
    <row r="41" spans="1:4">
      <c r="A41" t="s">
        <v>116</v>
      </c>
      <c r="B41" t="s">
        <v>103</v>
      </c>
      <c r="C41" t="s">
        <v>59</v>
      </c>
      <c r="D41" t="s">
        <v>60</v>
      </c>
    </row>
    <row r="42" spans="1:4">
      <c r="A42" s="61" t="s">
        <v>117</v>
      </c>
    </row>
    <row r="43" spans="1:4">
      <c r="A43" t="s">
        <v>118</v>
      </c>
      <c r="C43" t="s">
        <v>59</v>
      </c>
      <c r="D43" t="s">
        <v>60</v>
      </c>
    </row>
    <row r="44" spans="1:4">
      <c r="A44" t="s">
        <v>119</v>
      </c>
      <c r="B44" t="s">
        <v>120</v>
      </c>
    </row>
    <row r="45" spans="1:4">
      <c r="A45" t="s">
        <v>121</v>
      </c>
      <c r="C45" t="s">
        <v>59</v>
      </c>
      <c r="D45" t="s">
        <v>60</v>
      </c>
    </row>
    <row r="46" spans="1:4">
      <c r="A46" s="60" t="s">
        <v>122</v>
      </c>
      <c r="B46" s="60" t="s">
        <v>123</v>
      </c>
      <c r="C46" t="s">
        <v>60</v>
      </c>
      <c r="D46" t="s">
        <v>59</v>
      </c>
    </row>
    <row r="47" spans="1:4">
      <c r="A47" t="s">
        <v>124</v>
      </c>
      <c r="B47" t="s">
        <v>125</v>
      </c>
      <c r="C47" t="s">
        <v>59</v>
      </c>
      <c r="D47" t="s">
        <v>60</v>
      </c>
    </row>
    <row r="48" spans="1:4">
      <c r="A48" t="s">
        <v>126</v>
      </c>
      <c r="B48" t="s">
        <v>127</v>
      </c>
      <c r="C48" t="s">
        <v>60</v>
      </c>
      <c r="D48" t="s">
        <v>59</v>
      </c>
    </row>
    <row r="49" spans="1:4">
      <c r="A49" t="s">
        <v>128</v>
      </c>
      <c r="B49" t="s">
        <v>129</v>
      </c>
      <c r="C49" t="s">
        <v>60</v>
      </c>
      <c r="D49" t="s">
        <v>59</v>
      </c>
    </row>
    <row r="50" spans="1:4">
      <c r="A50" t="s">
        <v>130</v>
      </c>
      <c r="B50" t="s">
        <v>131</v>
      </c>
      <c r="C50" t="s">
        <v>60</v>
      </c>
      <c r="D50" t="s">
        <v>59</v>
      </c>
    </row>
    <row r="51" spans="1:4">
      <c r="A51" t="s">
        <v>132</v>
      </c>
      <c r="B51" t="s">
        <v>133</v>
      </c>
      <c r="C51" t="s">
        <v>60</v>
      </c>
      <c r="D51" t="s">
        <v>59</v>
      </c>
    </row>
    <row r="52" spans="1:4">
      <c r="A52" t="s">
        <v>134</v>
      </c>
      <c r="B52" t="s">
        <v>135</v>
      </c>
      <c r="C52" t="s">
        <v>60</v>
      </c>
      <c r="D52" t="s">
        <v>59</v>
      </c>
    </row>
    <row r="53" spans="1:4">
      <c r="A53" t="s">
        <v>136</v>
      </c>
      <c r="B53" t="s">
        <v>135</v>
      </c>
      <c r="C53" t="s">
        <v>60</v>
      </c>
      <c r="D53" t="s">
        <v>59</v>
      </c>
    </row>
    <row r="54" spans="1:4">
      <c r="A54" t="s">
        <v>137</v>
      </c>
      <c r="B54" t="s">
        <v>135</v>
      </c>
      <c r="C54" t="s">
        <v>60</v>
      </c>
      <c r="D54" t="s">
        <v>59</v>
      </c>
    </row>
    <row r="55" spans="1:4">
      <c r="A55" t="s">
        <v>138</v>
      </c>
      <c r="C55" t="s">
        <v>59</v>
      </c>
      <c r="D55" t="s">
        <v>60</v>
      </c>
    </row>
    <row r="56" spans="1:4">
      <c r="A56" t="s">
        <v>139</v>
      </c>
      <c r="B56" t="s">
        <v>140</v>
      </c>
      <c r="C56" t="s">
        <v>60</v>
      </c>
      <c r="D56" t="s">
        <v>60</v>
      </c>
    </row>
    <row r="57" spans="1:4">
      <c r="A57" t="s">
        <v>141</v>
      </c>
      <c r="C57" t="s">
        <v>59</v>
      </c>
      <c r="D57" t="s">
        <v>60</v>
      </c>
    </row>
    <row r="58" spans="1:4">
      <c r="A58" t="s">
        <v>142</v>
      </c>
      <c r="C58" t="s">
        <v>59</v>
      </c>
      <c r="D58" t="s">
        <v>60</v>
      </c>
    </row>
    <row r="59" spans="1:4">
      <c r="A59" t="s">
        <v>143</v>
      </c>
      <c r="C59" t="s">
        <v>59</v>
      </c>
      <c r="D59" t="s">
        <v>59</v>
      </c>
    </row>
    <row r="60" spans="1:4">
      <c r="A60" s="64" t="s">
        <v>144</v>
      </c>
    </row>
    <row r="61" spans="1:4">
      <c r="A61" s="29" t="s">
        <v>145</v>
      </c>
    </row>
    <row r="62" spans="1:4">
      <c r="A62" t="s">
        <v>146</v>
      </c>
      <c r="B62" t="s">
        <v>147</v>
      </c>
      <c r="C62" t="s">
        <v>59</v>
      </c>
      <c r="D62" t="s">
        <v>59</v>
      </c>
    </row>
    <row r="63" spans="1:4">
      <c r="A63" t="s">
        <v>148</v>
      </c>
      <c r="B63" t="s">
        <v>149</v>
      </c>
      <c r="C63" t="s">
        <v>59</v>
      </c>
      <c r="D63" t="s">
        <v>59</v>
      </c>
    </row>
    <row r="64" spans="1:4">
      <c r="A64" t="s">
        <v>150</v>
      </c>
      <c r="C64" t="s">
        <v>59</v>
      </c>
      <c r="D64" t="s">
        <v>60</v>
      </c>
    </row>
    <row r="65" spans="1:4">
      <c r="A65" t="s">
        <v>151</v>
      </c>
      <c r="B65" t="s">
        <v>103</v>
      </c>
      <c r="C65" t="s">
        <v>59</v>
      </c>
      <c r="D65" t="s">
        <v>59</v>
      </c>
    </row>
    <row r="66" spans="1:4">
      <c r="A66" t="s">
        <v>152</v>
      </c>
      <c r="C66" t="s">
        <v>59</v>
      </c>
      <c r="D66" t="s">
        <v>59</v>
      </c>
    </row>
    <row r="67" spans="1:4">
      <c r="A67" t="s">
        <v>153</v>
      </c>
      <c r="C67" t="s">
        <v>59</v>
      </c>
      <c r="D67" t="s">
        <v>59</v>
      </c>
    </row>
    <row r="68" spans="1:4">
      <c r="A68" t="s">
        <v>154</v>
      </c>
      <c r="C68" t="s">
        <v>59</v>
      </c>
      <c r="D68" t="s">
        <v>59</v>
      </c>
    </row>
    <row r="69" spans="1:4">
      <c r="A69" t="s">
        <v>155</v>
      </c>
      <c r="C69" t="s">
        <v>59</v>
      </c>
      <c r="D69" t="s">
        <v>59</v>
      </c>
    </row>
    <row r="70" spans="1:4">
      <c r="A70" t="s">
        <v>156</v>
      </c>
      <c r="C70" t="s">
        <v>59</v>
      </c>
      <c r="D70" t="s">
        <v>59</v>
      </c>
    </row>
    <row r="71" spans="1:4">
      <c r="A71" t="s">
        <v>157</v>
      </c>
      <c r="B71" t="s">
        <v>103</v>
      </c>
      <c r="C71" t="s">
        <v>59</v>
      </c>
      <c r="D71" t="s">
        <v>59</v>
      </c>
    </row>
    <row r="72" spans="1:4">
      <c r="A72" s="62" t="s">
        <v>158</v>
      </c>
    </row>
    <row r="73" spans="1:4">
      <c r="A73" t="s">
        <v>159</v>
      </c>
      <c r="B73" t="s">
        <v>160</v>
      </c>
      <c r="C73" t="s">
        <v>59</v>
      </c>
      <c r="D73" t="s">
        <v>59</v>
      </c>
    </row>
    <row r="74" spans="1:4">
      <c r="A74" t="s">
        <v>161</v>
      </c>
      <c r="B74" t="s">
        <v>160</v>
      </c>
      <c r="C74" t="s">
        <v>59</v>
      </c>
      <c r="D74" t="s">
        <v>59</v>
      </c>
    </row>
    <row r="75" spans="1:4">
      <c r="A75" t="s">
        <v>162</v>
      </c>
      <c r="B75" t="s">
        <v>163</v>
      </c>
      <c r="C75" t="s">
        <v>59</v>
      </c>
      <c r="D75" t="s">
        <v>59</v>
      </c>
    </row>
    <row r="76" spans="1:4">
      <c r="A76" t="s">
        <v>164</v>
      </c>
      <c r="B76" t="s">
        <v>103</v>
      </c>
      <c r="C76" t="s">
        <v>59</v>
      </c>
      <c r="D76" t="s">
        <v>59</v>
      </c>
    </row>
    <row r="77" spans="1:4">
      <c r="A77" t="s">
        <v>165</v>
      </c>
      <c r="B77" t="s">
        <v>166</v>
      </c>
      <c r="C77" t="s">
        <v>60</v>
      </c>
      <c r="D77" t="s">
        <v>60</v>
      </c>
    </row>
    <row r="78" spans="1:4">
      <c r="A78" t="s">
        <v>167</v>
      </c>
      <c r="B78" t="s">
        <v>166</v>
      </c>
      <c r="C78" t="s">
        <v>60</v>
      </c>
      <c r="D78" t="s">
        <v>60</v>
      </c>
    </row>
    <row r="79" spans="1:4">
      <c r="A79" t="s">
        <v>168</v>
      </c>
      <c r="B79" t="s">
        <v>169</v>
      </c>
      <c r="C79" t="s">
        <v>59</v>
      </c>
      <c r="D79" t="s">
        <v>59</v>
      </c>
    </row>
    <row r="80" spans="1:4">
      <c r="A80" t="s">
        <v>170</v>
      </c>
      <c r="B80" t="s">
        <v>171</v>
      </c>
      <c r="C80" t="s">
        <v>59</v>
      </c>
      <c r="D80" t="s">
        <v>59</v>
      </c>
    </row>
    <row r="81" spans="1:4">
      <c r="A81" t="s">
        <v>172</v>
      </c>
      <c r="B81" t="s">
        <v>173</v>
      </c>
      <c r="C81" t="s">
        <v>59</v>
      </c>
      <c r="D81" t="s">
        <v>60</v>
      </c>
    </row>
    <row r="82" spans="1:4">
      <c r="A82" t="s">
        <v>174</v>
      </c>
      <c r="B82" t="s">
        <v>175</v>
      </c>
      <c r="C82" t="s">
        <v>60</v>
      </c>
      <c r="D82" t="s">
        <v>59</v>
      </c>
    </row>
    <row r="83" spans="1:4">
      <c r="A83" t="s">
        <v>176</v>
      </c>
      <c r="B83" t="s">
        <v>177</v>
      </c>
      <c r="C83" t="s">
        <v>59</v>
      </c>
      <c r="D83" t="s">
        <v>59</v>
      </c>
    </row>
    <row r="84" spans="1:4">
      <c r="A84" t="s">
        <v>178</v>
      </c>
      <c r="B84" t="s">
        <v>179</v>
      </c>
      <c r="C84" t="s">
        <v>60</v>
      </c>
      <c r="D84" t="s">
        <v>59</v>
      </c>
    </row>
    <row r="85" spans="1:4">
      <c r="A85" t="s">
        <v>180</v>
      </c>
      <c r="B85" t="s">
        <v>177</v>
      </c>
      <c r="C85" t="s">
        <v>59</v>
      </c>
      <c r="D85" t="s">
        <v>59</v>
      </c>
    </row>
    <row r="86" spans="1:4">
      <c r="A86" t="s">
        <v>181</v>
      </c>
      <c r="B86" t="s">
        <v>177</v>
      </c>
      <c r="C86" t="s">
        <v>59</v>
      </c>
      <c r="D86" t="s">
        <v>59</v>
      </c>
    </row>
    <row r="87" spans="1:4">
      <c r="A87" t="s">
        <v>182</v>
      </c>
      <c r="B87" t="s">
        <v>183</v>
      </c>
      <c r="C87" t="s">
        <v>59</v>
      </c>
      <c r="D87" t="s">
        <v>59</v>
      </c>
    </row>
    <row r="88" spans="1:4">
      <c r="A88" t="s">
        <v>184</v>
      </c>
      <c r="C88" t="s">
        <v>59</v>
      </c>
      <c r="D88" t="s">
        <v>59</v>
      </c>
    </row>
    <row r="89" spans="1:4">
      <c r="A89" t="s">
        <v>185</v>
      </c>
      <c r="B89" t="s">
        <v>186</v>
      </c>
      <c r="C89" t="s">
        <v>60</v>
      </c>
      <c r="D89" t="s">
        <v>60</v>
      </c>
    </row>
    <row r="90" spans="1:4">
      <c r="A90" t="s">
        <v>187</v>
      </c>
      <c r="B90" t="s">
        <v>188</v>
      </c>
      <c r="C90" t="s">
        <v>59</v>
      </c>
      <c r="D90" t="s">
        <v>59</v>
      </c>
    </row>
    <row r="91" spans="1:4">
      <c r="A91" s="63" t="s">
        <v>189</v>
      </c>
    </row>
    <row r="92" spans="1:4">
      <c r="A92" t="s">
        <v>190</v>
      </c>
      <c r="C92" t="s">
        <v>59</v>
      </c>
      <c r="D92" t="s">
        <v>60</v>
      </c>
    </row>
    <row r="93" spans="1:4">
      <c r="A93" t="s">
        <v>191</v>
      </c>
      <c r="C93" t="s">
        <v>59</v>
      </c>
      <c r="D93" t="s">
        <v>60</v>
      </c>
    </row>
    <row r="94" spans="1:4">
      <c r="A94" t="s">
        <v>192</v>
      </c>
      <c r="C94" t="s">
        <v>59</v>
      </c>
      <c r="D94" t="s">
        <v>60</v>
      </c>
    </row>
    <row r="95" spans="1:4">
      <c r="A95" t="s">
        <v>193</v>
      </c>
      <c r="C95" t="s">
        <v>59</v>
      </c>
      <c r="D95" t="s">
        <v>60</v>
      </c>
    </row>
    <row r="96" spans="1:4">
      <c r="A96" t="s">
        <v>194</v>
      </c>
      <c r="C96" t="s">
        <v>59</v>
      </c>
      <c r="D96" t="s">
        <v>60</v>
      </c>
    </row>
    <row r="97" spans="1:4">
      <c r="A97" t="s">
        <v>195</v>
      </c>
      <c r="C97" t="s">
        <v>59</v>
      </c>
      <c r="D97" t="s">
        <v>60</v>
      </c>
    </row>
    <row r="98" spans="1:4">
      <c r="A98" t="s">
        <v>196</v>
      </c>
      <c r="C98" t="s">
        <v>59</v>
      </c>
      <c r="D98" t="s">
        <v>60</v>
      </c>
    </row>
    <row r="99" spans="1:4">
      <c r="A99" t="s">
        <v>197</v>
      </c>
      <c r="C99" t="s">
        <v>59</v>
      </c>
      <c r="D99" t="s">
        <v>60</v>
      </c>
    </row>
    <row r="100" spans="1:4">
      <c r="A100" t="s">
        <v>198</v>
      </c>
      <c r="B100" s="386" t="s">
        <v>199</v>
      </c>
      <c r="C100" t="s">
        <v>59</v>
      </c>
      <c r="D100" t="s">
        <v>59</v>
      </c>
    </row>
    <row r="101" spans="1:4">
      <c r="A101" t="s">
        <v>200</v>
      </c>
      <c r="B101" s="386"/>
      <c r="C101" t="s">
        <v>59</v>
      </c>
      <c r="D101" t="s">
        <v>59</v>
      </c>
    </row>
    <row r="102" spans="1:4">
      <c r="A102" t="s">
        <v>201</v>
      </c>
      <c r="B102" s="386"/>
      <c r="C102" t="s">
        <v>59</v>
      </c>
      <c r="D102" t="s">
        <v>59</v>
      </c>
    </row>
  </sheetData>
  <mergeCells count="1">
    <mergeCell ref="B100:B10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2B7A2-A78D-4B1C-974D-6FA82372DB0B}">
  <sheetPr codeName="Sheet4">
    <tabColor rgb="FFFFFF00"/>
  </sheetPr>
  <dimension ref="A1:O22"/>
  <sheetViews>
    <sheetView zoomScale="110" zoomScaleNormal="110" workbookViewId="0">
      <pane xSplit="3" ySplit="2" topLeftCell="I3" activePane="bottomRight" state="frozen"/>
      <selection pane="bottomRight" activeCell="L3" sqref="L3"/>
      <selection pane="bottomLeft" activeCell="A3" sqref="A3"/>
      <selection pane="topRight" activeCell="D1" sqref="D1"/>
    </sheetView>
  </sheetViews>
  <sheetFormatPr defaultRowHeight="14.45" zeroHeight="1"/>
  <cols>
    <col min="3" max="3" width="50.28515625" customWidth="1"/>
    <col min="4" max="4" width="44.85546875" customWidth="1"/>
    <col min="5" max="5" width="27" customWidth="1"/>
    <col min="6" max="6" width="12" customWidth="1"/>
    <col min="7" max="7" width="15.7109375" customWidth="1"/>
    <col min="8" max="8" width="28.42578125" customWidth="1"/>
    <col min="9" max="9" width="20.7109375" customWidth="1"/>
    <col min="10" max="11" width="9.28515625"/>
    <col min="12" max="12" width="12.7109375" customWidth="1"/>
    <col min="13" max="13" width="9.28515625"/>
  </cols>
  <sheetData>
    <row r="1" spans="1:15">
      <c r="A1" s="387" t="s">
        <v>202</v>
      </c>
      <c r="B1" s="388"/>
      <c r="C1" s="388"/>
      <c r="D1" s="388"/>
      <c r="E1" s="388"/>
      <c r="F1" s="389"/>
      <c r="G1" s="387" t="s">
        <v>203</v>
      </c>
      <c r="H1" s="388"/>
      <c r="I1" s="389"/>
      <c r="J1" s="390" t="s">
        <v>204</v>
      </c>
      <c r="K1" s="391"/>
      <c r="L1" s="392"/>
      <c r="M1" s="387" t="s">
        <v>205</v>
      </c>
      <c r="N1" s="388"/>
      <c r="O1" s="389"/>
    </row>
    <row r="2" spans="1:15" ht="53.25">
      <c r="A2" s="79" t="s">
        <v>20</v>
      </c>
      <c r="B2" s="79" t="s">
        <v>21</v>
      </c>
      <c r="C2" s="79" t="s">
        <v>22</v>
      </c>
      <c r="D2" s="79" t="s">
        <v>206</v>
      </c>
      <c r="E2" s="79" t="s">
        <v>207</v>
      </c>
      <c r="F2" s="79" t="s">
        <v>208</v>
      </c>
      <c r="G2" s="79" t="s">
        <v>23</v>
      </c>
      <c r="H2" s="79" t="s">
        <v>24</v>
      </c>
      <c r="I2" s="79" t="s">
        <v>25</v>
      </c>
      <c r="J2" s="79" t="s">
        <v>209</v>
      </c>
      <c r="K2" s="79" t="s">
        <v>210</v>
      </c>
      <c r="L2" s="79" t="s">
        <v>211</v>
      </c>
      <c r="M2" s="79" t="s">
        <v>212</v>
      </c>
      <c r="N2" s="79" t="s">
        <v>28</v>
      </c>
      <c r="O2" s="79" t="s">
        <v>29</v>
      </c>
    </row>
    <row r="3" spans="1:15" ht="15">
      <c r="A3" s="80" t="s">
        <v>30</v>
      </c>
      <c r="B3" s="80"/>
      <c r="C3" s="248"/>
      <c r="D3" s="248" t="s">
        <v>213</v>
      </c>
      <c r="E3" s="2"/>
      <c r="F3" s="65">
        <v>1</v>
      </c>
      <c r="G3" s="81" t="s">
        <v>214</v>
      </c>
      <c r="H3" s="82" t="s">
        <v>215</v>
      </c>
      <c r="I3" s="83"/>
      <c r="J3" s="81"/>
      <c r="K3" s="81"/>
      <c r="L3" s="81"/>
      <c r="M3" s="81"/>
      <c r="N3" s="36"/>
      <c r="O3" s="81"/>
    </row>
    <row r="4" spans="1:15">
      <c r="A4" s="80" t="s">
        <v>57</v>
      </c>
      <c r="B4" s="80"/>
      <c r="C4" s="248" t="s">
        <v>216</v>
      </c>
      <c r="D4" s="248" t="s">
        <v>213</v>
      </c>
      <c r="E4" s="2"/>
      <c r="F4" s="65">
        <v>1</v>
      </c>
      <c r="G4" s="81" t="s">
        <v>214</v>
      </c>
      <c r="H4" s="82" t="s">
        <v>215</v>
      </c>
      <c r="I4" s="83" t="s">
        <v>217</v>
      </c>
      <c r="J4" s="81" t="s">
        <v>218</v>
      </c>
      <c r="K4" s="81" t="s">
        <v>218</v>
      </c>
      <c r="L4" s="81" t="s">
        <v>218</v>
      </c>
      <c r="M4" s="81"/>
      <c r="N4" s="36"/>
      <c r="O4" s="81"/>
    </row>
    <row r="5" spans="1:15">
      <c r="A5" s="80" t="s">
        <v>219</v>
      </c>
      <c r="B5" s="80"/>
      <c r="C5" s="248" t="s">
        <v>220</v>
      </c>
      <c r="D5" s="344" t="s">
        <v>221</v>
      </c>
      <c r="E5" s="2"/>
      <c r="F5" s="65">
        <v>1</v>
      </c>
      <c r="G5" s="81" t="s">
        <v>222</v>
      </c>
      <c r="H5" s="82" t="s">
        <v>215</v>
      </c>
      <c r="I5" s="83" t="s">
        <v>223</v>
      </c>
      <c r="J5" s="81" t="s">
        <v>218</v>
      </c>
      <c r="K5" s="81" t="s">
        <v>218</v>
      </c>
      <c r="L5" s="81" t="s">
        <v>218</v>
      </c>
      <c r="M5" s="81"/>
      <c r="N5" s="36"/>
      <c r="O5" s="81"/>
    </row>
    <row r="6" spans="1:15">
      <c r="A6" s="80" t="s">
        <v>62</v>
      </c>
      <c r="B6" s="80"/>
      <c r="C6" s="248" t="s">
        <v>224</v>
      </c>
      <c r="D6" s="345" t="s">
        <v>225</v>
      </c>
      <c r="E6" s="2"/>
      <c r="F6" s="65">
        <v>1</v>
      </c>
      <c r="G6" s="81" t="s">
        <v>226</v>
      </c>
      <c r="H6" s="82" t="s">
        <v>215</v>
      </c>
      <c r="I6" s="83" t="s">
        <v>227</v>
      </c>
      <c r="J6" s="81" t="s">
        <v>218</v>
      </c>
      <c r="K6" s="81" t="s">
        <v>218</v>
      </c>
      <c r="L6" s="81" t="s">
        <v>218</v>
      </c>
      <c r="M6" s="81"/>
      <c r="N6" s="81"/>
      <c r="O6" s="81"/>
    </row>
    <row r="7" spans="1:15" ht="15">
      <c r="A7" s="80" t="s">
        <v>228</v>
      </c>
      <c r="B7" s="80"/>
      <c r="C7" s="248" t="s">
        <v>229</v>
      </c>
      <c r="D7" s="344" t="s">
        <v>230</v>
      </c>
      <c r="E7" s="80"/>
      <c r="F7" s="65">
        <v>1</v>
      </c>
      <c r="G7" s="80" t="s">
        <v>231</v>
      </c>
      <c r="H7" s="82" t="s">
        <v>215</v>
      </c>
      <c r="I7" s="80" t="s">
        <v>232</v>
      </c>
      <c r="J7" s="81" t="s">
        <v>218</v>
      </c>
      <c r="K7" s="81" t="s">
        <v>218</v>
      </c>
      <c r="L7" s="81" t="s">
        <v>218</v>
      </c>
      <c r="M7" s="80"/>
      <c r="N7" s="80"/>
      <c r="O7" s="80"/>
    </row>
    <row r="8" spans="1:15" hidden="1">
      <c r="A8" s="80" t="s">
        <v>233</v>
      </c>
      <c r="B8" s="80"/>
      <c r="C8" s="92" t="s">
        <v>234</v>
      </c>
      <c r="D8" s="277"/>
      <c r="E8" s="80"/>
      <c r="F8" s="65">
        <v>-1</v>
      </c>
      <c r="G8" s="80" t="s">
        <v>235</v>
      </c>
      <c r="H8" s="82" t="s">
        <v>215</v>
      </c>
      <c r="I8" s="80" t="s">
        <v>236</v>
      </c>
      <c r="J8" s="81" t="s">
        <v>218</v>
      </c>
      <c r="K8" s="81" t="s">
        <v>218</v>
      </c>
      <c r="L8" s="81" t="s">
        <v>218</v>
      </c>
      <c r="M8" s="80"/>
      <c r="N8" s="80"/>
      <c r="O8" s="80"/>
    </row>
    <row r="9" spans="1:15" hidden="1">
      <c r="A9" s="80" t="s">
        <v>237</v>
      </c>
      <c r="B9" s="80"/>
      <c r="C9" s="92" t="s">
        <v>238</v>
      </c>
      <c r="D9" s="277"/>
      <c r="E9" s="80"/>
      <c r="F9" s="65">
        <v>-1</v>
      </c>
      <c r="G9" s="34" t="s">
        <v>239</v>
      </c>
      <c r="H9" s="82" t="s">
        <v>215</v>
      </c>
      <c r="I9" s="80" t="s">
        <v>236</v>
      </c>
      <c r="J9" s="81" t="s">
        <v>218</v>
      </c>
      <c r="K9" s="81" t="s">
        <v>218</v>
      </c>
      <c r="L9" s="81" t="s">
        <v>218</v>
      </c>
      <c r="M9" s="80"/>
      <c r="N9" s="80"/>
      <c r="O9" s="80"/>
    </row>
    <row r="10" spans="1:15" hidden="1">
      <c r="A10" s="80" t="s">
        <v>240</v>
      </c>
      <c r="B10" s="80"/>
      <c r="C10" s="282" t="s">
        <v>241</v>
      </c>
      <c r="D10" s="278"/>
      <c r="E10" s="2"/>
      <c r="F10" s="65">
        <v>1</v>
      </c>
      <c r="G10" t="s">
        <v>242</v>
      </c>
      <c r="H10" s="82" t="s">
        <v>215</v>
      </c>
      <c r="I10" s="80" t="s">
        <v>236</v>
      </c>
      <c r="J10" s="81" t="s">
        <v>218</v>
      </c>
      <c r="K10" s="81" t="s">
        <v>218</v>
      </c>
      <c r="L10" s="81" t="s">
        <v>218</v>
      </c>
      <c r="M10" s="81"/>
      <c r="N10" s="81"/>
      <c r="O10" s="81"/>
    </row>
    <row r="11" spans="1:15" hidden="1">
      <c r="A11" s="80"/>
      <c r="B11" s="80"/>
      <c r="C11" s="80"/>
      <c r="D11" s="80"/>
      <c r="E11" s="80"/>
      <c r="F11" s="65"/>
      <c r="G11" s="80"/>
      <c r="H11" s="80"/>
      <c r="I11" s="80"/>
      <c r="J11" s="80"/>
      <c r="K11" s="80"/>
      <c r="L11" s="80"/>
      <c r="M11" s="80"/>
      <c r="N11" s="80"/>
      <c r="O11" s="80"/>
    </row>
    <row r="12" spans="1:15" hidden="1">
      <c r="A12" s="80"/>
      <c r="B12" s="80"/>
      <c r="C12" s="80"/>
      <c r="D12" s="80"/>
      <c r="E12" s="80"/>
      <c r="F12" s="65"/>
      <c r="G12" s="80"/>
      <c r="H12" s="80"/>
      <c r="I12" s="80"/>
      <c r="J12" s="80"/>
      <c r="K12" s="80"/>
      <c r="L12" s="80"/>
      <c r="M12" s="80"/>
      <c r="N12" s="80"/>
      <c r="O12" s="80"/>
    </row>
    <row r="13" spans="1:15" hidden="1">
      <c r="A13" s="80"/>
      <c r="B13" s="80"/>
      <c r="C13" s="80"/>
      <c r="D13" s="80"/>
      <c r="E13" s="80"/>
      <c r="F13" s="65"/>
      <c r="G13" s="80"/>
      <c r="H13" s="80"/>
      <c r="I13" s="80"/>
      <c r="J13" s="80"/>
      <c r="K13" s="80"/>
      <c r="L13" s="80"/>
      <c r="M13" s="80"/>
      <c r="N13" s="80"/>
      <c r="O13" s="80"/>
    </row>
    <row r="14" spans="1:15" hidden="1">
      <c r="A14" s="80"/>
      <c r="B14" s="80"/>
      <c r="C14" s="80"/>
      <c r="D14" s="80"/>
      <c r="E14" s="80"/>
      <c r="F14" s="65"/>
      <c r="G14" s="80"/>
      <c r="H14" s="80"/>
      <c r="I14" s="80"/>
      <c r="J14" s="80"/>
      <c r="K14" s="80"/>
      <c r="L14" s="80"/>
      <c r="M14" s="80"/>
      <c r="N14" s="80"/>
      <c r="O14" s="80"/>
    </row>
    <row r="15" spans="1:15" hidden="1">
      <c r="A15" s="80"/>
      <c r="B15" s="80"/>
      <c r="C15" s="80"/>
      <c r="D15" s="80"/>
      <c r="E15" s="80"/>
      <c r="F15" s="65"/>
      <c r="G15" s="80"/>
      <c r="H15" s="80"/>
      <c r="I15" s="80"/>
      <c r="J15" s="80"/>
      <c r="K15" s="80"/>
      <c r="L15" s="80"/>
      <c r="M15" s="80"/>
      <c r="N15" s="80"/>
      <c r="O15" s="80"/>
    </row>
    <row r="16" spans="1:15" hidden="1">
      <c r="A16" s="80"/>
      <c r="B16" s="80"/>
      <c r="C16" s="80"/>
      <c r="D16" s="80"/>
      <c r="E16" s="80"/>
      <c r="F16" s="65"/>
      <c r="G16" s="80"/>
      <c r="H16" s="80"/>
      <c r="I16" s="80"/>
      <c r="J16" s="80"/>
      <c r="K16" s="80"/>
      <c r="L16" s="80"/>
      <c r="M16" s="80"/>
      <c r="N16" s="80"/>
      <c r="O16" s="80"/>
    </row>
    <row r="17" spans="1:15" hidden="1">
      <c r="A17" s="80"/>
      <c r="B17" s="80"/>
      <c r="C17" s="80"/>
      <c r="D17" s="80"/>
      <c r="E17" s="80"/>
      <c r="F17" s="65"/>
      <c r="G17" s="80"/>
      <c r="H17" s="80"/>
      <c r="I17" s="80"/>
      <c r="J17" s="80"/>
      <c r="K17" s="80"/>
      <c r="L17" s="80"/>
      <c r="M17" s="80"/>
      <c r="N17" s="80"/>
      <c r="O17" s="80"/>
    </row>
    <row r="18" spans="1:15" hidden="1">
      <c r="A18" s="80"/>
      <c r="B18" s="80"/>
      <c r="C18" s="80"/>
      <c r="D18" s="80"/>
      <c r="E18" s="80"/>
      <c r="F18" s="65"/>
      <c r="G18" s="80"/>
      <c r="H18" s="80"/>
      <c r="I18" s="80"/>
      <c r="J18" s="80"/>
      <c r="K18" s="80"/>
      <c r="L18" s="80"/>
      <c r="M18" s="80"/>
      <c r="N18" s="80"/>
      <c r="O18" s="80"/>
    </row>
    <row r="19" spans="1:15" hidden="1">
      <c r="A19" s="80"/>
      <c r="B19" s="80"/>
      <c r="C19" s="80"/>
      <c r="D19" s="80"/>
      <c r="E19" s="80"/>
      <c r="F19" s="65"/>
      <c r="G19" s="80"/>
      <c r="H19" s="80"/>
      <c r="I19" s="80"/>
      <c r="J19" s="80"/>
      <c r="K19" s="80"/>
      <c r="L19" s="80"/>
      <c r="M19" s="80"/>
      <c r="N19" s="80"/>
      <c r="O19" s="80"/>
    </row>
    <row r="20" spans="1:15" hidden="1">
      <c r="A20" s="80"/>
      <c r="B20" s="80"/>
      <c r="C20" s="80"/>
      <c r="D20" s="80"/>
      <c r="E20" s="80"/>
      <c r="F20" s="65"/>
      <c r="G20" s="80"/>
      <c r="H20" s="80"/>
      <c r="I20" s="80"/>
      <c r="J20" s="80"/>
      <c r="K20" s="80"/>
      <c r="L20" s="80"/>
      <c r="M20" s="80"/>
      <c r="N20" s="80"/>
      <c r="O20" s="80"/>
    </row>
    <row r="22" spans="1:15"/>
  </sheetData>
  <protectedRanges>
    <protectedRange algorithmName="SHA-512" hashValue="3aPxfSFQRsqnD2m9OZ17HrEk9bAKa2CPc+4V+8h5EcJJi9dDQkDqTmK36csxtIc1DW3fipdvcwtHsgrDCIzBqQ==" saltValue="+y/FVHJer+fo7XVT8ZeTzw==" spinCount="100000" sqref="G7:H7 H8:I10 E3:E7 M3:O7 G3:I6" name="Area locked"/>
    <protectedRange algorithmName="SHA-512" hashValue="Z9ycIa4oHidBQMiAt2AX+gEEC8jqt1cFsinus+ISfocoorFUftCWJCXseWx0PHeGIDpFuelXNgjA0mo9HX1gdw==" saltValue="XRg85kHByHmpaZ1VL1h73w==" spinCount="100000" sqref="F3:F10 D3:D7" name="Outlet Details"/>
    <protectedRange algorithmName="SHA-512" hashValue="3aPxfSFQRsqnD2m9OZ17HrEk9bAKa2CPc+4V+8h5EcJJi9dDQkDqTmK36csxtIc1DW3fipdvcwtHsgrDCIzBqQ==" saltValue="+y/FVHJer+fo7XVT8ZeTzw==" spinCount="100000" sqref="J3:L10" name="Area locked_1_1"/>
    <protectedRange algorithmName="SHA-512" hashValue="3aPxfSFQRsqnD2m9OZ17HrEk9bAKa2CPc+4V+8h5EcJJi9dDQkDqTmK36csxtIc1DW3fipdvcwtHsgrDCIzBqQ==" saltValue="+y/FVHJer+fo7XVT8ZeTzw==" spinCount="100000" sqref="M10:O10 E10" name="Area locked_1"/>
    <protectedRange algorithmName="SHA-512" hashValue="Z9ycIa4oHidBQMiAt2AX+gEEC8jqt1cFsinus+ISfocoorFUftCWJCXseWx0PHeGIDpFuelXNgjA0mo9HX1gdw==" saltValue="XRg85kHByHmpaZ1VL1h73w==" spinCount="100000" sqref="D10" name="Outlet Details_1"/>
    <protectedRange algorithmName="SHA-512" hashValue="Z9ycIa4oHidBQMiAt2AX+gEEC8jqt1cFsinus+ISfocoorFUftCWJCXseWx0PHeGIDpFuelXNgjA0mo9HX1gdw==" saltValue="XRg85kHByHmpaZ1VL1h73w==" spinCount="100000" sqref="G9" name="Outlet Details_4"/>
  </protectedRanges>
  <mergeCells count="4">
    <mergeCell ref="M1:O1"/>
    <mergeCell ref="G1:I1"/>
    <mergeCell ref="A1:F1"/>
    <mergeCell ref="J1:L1"/>
  </mergeCells>
  <phoneticPr fontId="19" type="noConversion"/>
  <conditionalFormatting sqref="F3:F20">
    <cfRule type="cellIs" dxfId="128" priority="4" operator="equal">
      <formula>-1</formula>
    </cfRule>
    <cfRule type="cellIs" dxfId="127" priority="5" operator="equal">
      <formula>0</formula>
    </cfRule>
    <cfRule type="cellIs" dxfId="126" priority="6" operator="equal">
      <formula>1</formula>
    </cfRule>
  </conditionalFormatting>
  <hyperlinks>
    <hyperlink ref="I5" location="'Province List'!C2" display="See District List" xr:uid="{65EB1327-5F29-4060-93F0-A366C8BE1508}"/>
    <hyperlink ref="I6" location="'Province List'!D2" display="See LLG List" xr:uid="{903CE3B4-7B3E-4BA4-AEB6-A9C8770D81C1}"/>
    <hyperlink ref="I4" location="'Province List'!B2" display="See Province List" xr:uid="{8593B5CE-374A-4901-8ACA-8E8FFBED7023}"/>
  </hyperlink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5A4FB61-3FB2-4CF4-964B-4CB14B486E35}">
          <x14:formula1>
            <xm:f>Constants!$A$2:$A$15</xm:f>
          </x14:formula1>
          <xm:sqref>H3:H10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3BC2F-E3CD-44E0-8D57-AB0A9D1A9BB4}">
  <sheetPr codeName="Sheet5">
    <tabColor rgb="FFFFFF00"/>
  </sheetPr>
  <dimension ref="A1:O23"/>
  <sheetViews>
    <sheetView zoomScaleNormal="100" workbookViewId="0">
      <pane xSplit="3" ySplit="2" topLeftCell="D3" activePane="bottomRight" state="frozen"/>
      <selection pane="bottomRight" activeCell="L28" sqref="L28"/>
      <selection pane="bottomLeft" activeCell="A3" sqref="A3"/>
      <selection pane="topRight" activeCell="D1" sqref="D1"/>
    </sheetView>
  </sheetViews>
  <sheetFormatPr defaultColWidth="9.28515625" defaultRowHeight="14.45"/>
  <cols>
    <col min="3" max="3" width="46" bestFit="1" customWidth="1"/>
    <col min="4" max="4" width="49.28515625" customWidth="1"/>
    <col min="5" max="5" width="27" customWidth="1"/>
    <col min="6" max="6" width="12" customWidth="1"/>
    <col min="7" max="7" width="18.7109375" customWidth="1"/>
    <col min="8" max="8" width="28.42578125" customWidth="1"/>
    <col min="9" max="9" width="37.7109375" customWidth="1"/>
    <col min="12" max="12" width="12.5703125" bestFit="1" customWidth="1"/>
  </cols>
  <sheetData>
    <row r="1" spans="1:15">
      <c r="A1" s="387" t="s">
        <v>202</v>
      </c>
      <c r="B1" s="388"/>
      <c r="C1" s="388"/>
      <c r="D1" s="388"/>
      <c r="E1" s="388"/>
      <c r="F1" s="389"/>
      <c r="G1" s="387" t="s">
        <v>203</v>
      </c>
      <c r="H1" s="388"/>
      <c r="I1" s="389"/>
      <c r="J1" s="390" t="s">
        <v>204</v>
      </c>
      <c r="K1" s="391"/>
      <c r="L1" s="392"/>
      <c r="M1" s="387" t="s">
        <v>205</v>
      </c>
      <c r="N1" s="388"/>
      <c r="O1" s="389"/>
    </row>
    <row r="2" spans="1:15" ht="69">
      <c r="A2" s="79" t="s">
        <v>20</v>
      </c>
      <c r="B2" s="79" t="s">
        <v>21</v>
      </c>
      <c r="C2" s="79" t="s">
        <v>22</v>
      </c>
      <c r="D2" s="79" t="s">
        <v>206</v>
      </c>
      <c r="E2" s="79" t="s">
        <v>207</v>
      </c>
      <c r="F2" s="79" t="s">
        <v>208</v>
      </c>
      <c r="G2" s="79" t="s">
        <v>23</v>
      </c>
      <c r="H2" s="79" t="s">
        <v>24</v>
      </c>
      <c r="I2" s="79" t="s">
        <v>25</v>
      </c>
      <c r="J2" s="79" t="s">
        <v>209</v>
      </c>
      <c r="K2" s="79" t="s">
        <v>210</v>
      </c>
      <c r="L2" s="79" t="s">
        <v>211</v>
      </c>
      <c r="M2" s="79" t="s">
        <v>212</v>
      </c>
      <c r="N2" s="79" t="s">
        <v>28</v>
      </c>
      <c r="O2" s="79" t="s">
        <v>29</v>
      </c>
    </row>
    <row r="3" spans="1:15" ht="15">
      <c r="A3" s="1" t="s">
        <v>30</v>
      </c>
      <c r="B3" s="80"/>
      <c r="C3" s="282"/>
      <c r="D3" s="275"/>
      <c r="E3" s="2"/>
      <c r="F3" s="65"/>
      <c r="G3" s="7"/>
      <c r="H3" s="5"/>
      <c r="I3" s="6"/>
      <c r="J3" s="81"/>
      <c r="K3" s="81"/>
      <c r="L3" s="81"/>
      <c r="M3" s="81"/>
      <c r="N3" s="36"/>
      <c r="O3" s="81"/>
    </row>
    <row r="4" spans="1:15">
      <c r="A4" s="1" t="s">
        <v>66</v>
      </c>
      <c r="B4" s="80"/>
      <c r="C4" s="282" t="s">
        <v>243</v>
      </c>
      <c r="D4" s="275" t="s">
        <v>244</v>
      </c>
      <c r="E4" s="2"/>
      <c r="F4" s="65">
        <v>1</v>
      </c>
      <c r="G4" s="7" t="s">
        <v>245</v>
      </c>
      <c r="H4" s="5" t="s">
        <v>246</v>
      </c>
      <c r="I4" s="6" t="s">
        <v>247</v>
      </c>
      <c r="J4" s="81" t="s">
        <v>218</v>
      </c>
      <c r="K4" s="81" t="s">
        <v>218</v>
      </c>
      <c r="L4" s="81" t="s">
        <v>218</v>
      </c>
      <c r="M4" s="81"/>
      <c r="N4" s="36"/>
      <c r="O4" s="81"/>
    </row>
    <row r="5" spans="1:15" ht="28.9">
      <c r="A5" s="1" t="s">
        <v>70</v>
      </c>
      <c r="B5" s="80"/>
      <c r="C5" s="282" t="s">
        <v>248</v>
      </c>
      <c r="D5" s="293" t="s">
        <v>249</v>
      </c>
      <c r="E5" s="2"/>
      <c r="F5" s="65">
        <v>1</v>
      </c>
      <c r="G5" s="34" t="s">
        <v>250</v>
      </c>
      <c r="H5" s="68" t="s">
        <v>33</v>
      </c>
      <c r="I5" s="4" t="s">
        <v>251</v>
      </c>
      <c r="J5" s="81" t="s">
        <v>218</v>
      </c>
      <c r="K5" s="81" t="s">
        <v>218</v>
      </c>
      <c r="L5" s="81" t="s">
        <v>218</v>
      </c>
      <c r="M5" s="81"/>
      <c r="N5" s="81"/>
      <c r="O5" s="81"/>
    </row>
    <row r="6" spans="1:15">
      <c r="A6" s="1" t="s">
        <v>252</v>
      </c>
      <c r="B6" s="80"/>
      <c r="C6" s="282" t="s">
        <v>253</v>
      </c>
      <c r="D6" s="282" t="s">
        <v>254</v>
      </c>
      <c r="E6" s="2"/>
      <c r="F6" s="65">
        <v>1</v>
      </c>
      <c r="G6" s="34" t="s">
        <v>255</v>
      </c>
      <c r="H6" s="68" t="s">
        <v>33</v>
      </c>
      <c r="I6" s="4" t="s">
        <v>251</v>
      </c>
      <c r="J6" s="81" t="s">
        <v>218</v>
      </c>
      <c r="K6" s="81" t="s">
        <v>218</v>
      </c>
      <c r="L6" s="81" t="s">
        <v>218</v>
      </c>
      <c r="M6" s="81"/>
      <c r="N6" s="81"/>
      <c r="O6" s="81"/>
    </row>
    <row r="7" spans="1:15" ht="28.9" hidden="1">
      <c r="A7" s="1" t="s">
        <v>256</v>
      </c>
      <c r="B7" s="80"/>
      <c r="C7" s="282" t="s">
        <v>257</v>
      </c>
      <c r="D7" s="282" t="s">
        <v>258</v>
      </c>
      <c r="E7" s="2"/>
      <c r="F7" s="65">
        <v>-1</v>
      </c>
      <c r="G7" s="34" t="s">
        <v>259</v>
      </c>
      <c r="H7" s="68" t="s">
        <v>33</v>
      </c>
      <c r="I7" s="4" t="s">
        <v>251</v>
      </c>
      <c r="J7" s="81" t="s">
        <v>218</v>
      </c>
      <c r="K7" s="81" t="s">
        <v>218</v>
      </c>
      <c r="L7" s="81" t="s">
        <v>218</v>
      </c>
      <c r="M7" s="81"/>
      <c r="N7" s="81"/>
      <c r="O7" s="81"/>
    </row>
    <row r="8" spans="1:15" hidden="1">
      <c r="A8" s="1" t="s">
        <v>260</v>
      </c>
      <c r="B8" s="80"/>
      <c r="C8" s="282" t="s">
        <v>261</v>
      </c>
      <c r="D8" s="282" t="s">
        <v>262</v>
      </c>
      <c r="E8" s="2"/>
      <c r="F8" s="65">
        <v>-1</v>
      </c>
      <c r="G8" s="34" t="s">
        <v>263</v>
      </c>
      <c r="H8" s="68" t="s">
        <v>33</v>
      </c>
      <c r="I8" s="4" t="s">
        <v>251</v>
      </c>
      <c r="J8" s="81" t="s">
        <v>218</v>
      </c>
      <c r="K8" s="81" t="s">
        <v>218</v>
      </c>
      <c r="L8" s="81" t="s">
        <v>218</v>
      </c>
      <c r="M8" s="81"/>
      <c r="N8" s="81"/>
      <c r="O8" s="81"/>
    </row>
    <row r="9" spans="1:15" hidden="1">
      <c r="A9" s="1" t="s">
        <v>71</v>
      </c>
      <c r="B9" s="80"/>
      <c r="C9" s="282" t="s">
        <v>264</v>
      </c>
      <c r="D9" s="277"/>
      <c r="E9" s="80"/>
      <c r="F9" s="65">
        <v>-1</v>
      </c>
      <c r="G9" s="7" t="s">
        <v>265</v>
      </c>
      <c r="H9" s="5" t="s">
        <v>33</v>
      </c>
      <c r="I9" s="4" t="s">
        <v>251</v>
      </c>
      <c r="J9" s="81" t="s">
        <v>218</v>
      </c>
      <c r="K9" s="81" t="s">
        <v>218</v>
      </c>
      <c r="L9" s="81" t="s">
        <v>218</v>
      </c>
      <c r="M9" s="80"/>
      <c r="N9" s="80"/>
      <c r="O9" s="80"/>
    </row>
    <row r="10" spans="1:15">
      <c r="A10" s="1" t="s">
        <v>74</v>
      </c>
      <c r="B10" s="80"/>
      <c r="C10" s="282" t="s">
        <v>266</v>
      </c>
      <c r="D10" s="282" t="s">
        <v>267</v>
      </c>
      <c r="E10" s="80"/>
      <c r="F10" s="65">
        <v>1</v>
      </c>
      <c r="G10" s="34" t="s">
        <v>268</v>
      </c>
      <c r="H10" s="68" t="s">
        <v>33</v>
      </c>
      <c r="I10" s="4" t="s">
        <v>251</v>
      </c>
      <c r="J10" s="81" t="s">
        <v>218</v>
      </c>
      <c r="K10" s="81" t="s">
        <v>218</v>
      </c>
      <c r="L10" s="81" t="s">
        <v>218</v>
      </c>
      <c r="M10" s="80"/>
      <c r="N10" s="80"/>
      <c r="O10" s="80"/>
    </row>
    <row r="11" spans="1:15" ht="30.75">
      <c r="A11" s="1" t="s">
        <v>269</v>
      </c>
      <c r="B11" s="80"/>
      <c r="C11" s="282" t="s">
        <v>270</v>
      </c>
      <c r="D11" s="282" t="s">
        <v>271</v>
      </c>
      <c r="E11" s="80"/>
      <c r="F11" s="65">
        <v>1</v>
      </c>
      <c r="G11" s="34" t="s">
        <v>272</v>
      </c>
      <c r="H11" s="68" t="s">
        <v>33</v>
      </c>
      <c r="I11" s="4"/>
      <c r="J11" s="81" t="s">
        <v>218</v>
      </c>
      <c r="K11" s="81" t="s">
        <v>218</v>
      </c>
      <c r="L11" s="81" t="s">
        <v>218</v>
      </c>
      <c r="M11" s="80"/>
      <c r="N11" s="80"/>
      <c r="O11" s="80"/>
    </row>
    <row r="12" spans="1:15" ht="15.6" hidden="1">
      <c r="A12" s="80"/>
      <c r="B12" s="80"/>
      <c r="C12" s="220" t="s">
        <v>273</v>
      </c>
      <c r="D12" s="80"/>
      <c r="E12" s="80"/>
      <c r="F12" s="65"/>
      <c r="G12" s="80"/>
      <c r="H12" s="80"/>
      <c r="I12" s="80"/>
      <c r="J12" s="80"/>
      <c r="K12" s="80"/>
      <c r="L12" s="80"/>
      <c r="M12" s="80"/>
      <c r="N12" s="80"/>
      <c r="O12" s="80"/>
    </row>
    <row r="13" spans="1:15" hidden="1">
      <c r="A13" s="80"/>
      <c r="B13" s="80"/>
      <c r="C13" s="80"/>
      <c r="D13" s="80"/>
      <c r="E13" s="80"/>
      <c r="F13" s="65"/>
      <c r="G13" s="80"/>
      <c r="H13" s="80"/>
      <c r="I13" s="80"/>
      <c r="J13" s="80"/>
      <c r="K13" s="80"/>
      <c r="L13" s="80"/>
      <c r="M13" s="80"/>
      <c r="N13" s="80"/>
      <c r="O13" s="80"/>
    </row>
    <row r="14" spans="1:15" hidden="1">
      <c r="A14" s="80"/>
      <c r="B14" s="80"/>
      <c r="C14" s="80"/>
      <c r="D14" s="80"/>
      <c r="E14" s="80"/>
      <c r="F14" s="65"/>
      <c r="G14" s="80"/>
      <c r="H14" s="80"/>
      <c r="I14" s="80"/>
      <c r="J14" s="80"/>
      <c r="K14" s="80"/>
      <c r="L14" s="80"/>
      <c r="M14" s="80"/>
      <c r="N14" s="80"/>
      <c r="O14" s="80"/>
    </row>
    <row r="15" spans="1:15" hidden="1">
      <c r="A15" s="80"/>
      <c r="B15" s="80"/>
      <c r="C15" s="80"/>
      <c r="D15" s="80"/>
      <c r="E15" s="80"/>
      <c r="F15" s="65"/>
      <c r="G15" s="80"/>
      <c r="H15" s="80"/>
      <c r="I15" s="80"/>
      <c r="J15" s="80"/>
      <c r="K15" s="80"/>
      <c r="L15" s="80"/>
      <c r="M15" s="80"/>
      <c r="N15" s="80"/>
      <c r="O15" s="80"/>
    </row>
    <row r="16" spans="1:15" hidden="1">
      <c r="A16" s="80"/>
      <c r="B16" s="80"/>
      <c r="C16" s="80"/>
      <c r="D16" s="80"/>
      <c r="E16" s="80"/>
      <c r="F16" s="65"/>
      <c r="G16" s="80"/>
      <c r="H16" s="80"/>
      <c r="I16" s="80"/>
      <c r="J16" s="80"/>
      <c r="K16" s="80"/>
      <c r="L16" s="80"/>
      <c r="M16" s="80"/>
      <c r="N16" s="80"/>
      <c r="O16" s="80"/>
    </row>
    <row r="17" spans="1:15" hidden="1">
      <c r="A17" s="80"/>
      <c r="B17" s="80"/>
      <c r="C17" s="80"/>
      <c r="D17" s="80"/>
      <c r="E17" s="80"/>
      <c r="F17" s="65"/>
      <c r="G17" s="80"/>
      <c r="H17" s="80"/>
      <c r="I17" s="80"/>
      <c r="J17" s="80"/>
      <c r="K17" s="80"/>
      <c r="L17" s="80"/>
      <c r="M17" s="80"/>
      <c r="N17" s="80"/>
      <c r="O17" s="80"/>
    </row>
    <row r="18" spans="1:15" hidden="1">
      <c r="A18" s="80"/>
      <c r="B18" s="80"/>
      <c r="C18" s="80"/>
      <c r="D18" s="80"/>
      <c r="E18" s="80"/>
      <c r="F18" s="65"/>
      <c r="G18" s="80"/>
      <c r="H18" s="80"/>
      <c r="I18" s="80"/>
      <c r="J18" s="80"/>
      <c r="K18" s="80"/>
      <c r="L18" s="80"/>
      <c r="M18" s="80"/>
      <c r="N18" s="80"/>
      <c r="O18" s="80"/>
    </row>
    <row r="19" spans="1:15" hidden="1">
      <c r="A19" s="80"/>
      <c r="B19" s="80"/>
      <c r="C19" s="80"/>
      <c r="D19" s="80"/>
      <c r="E19" s="80"/>
      <c r="F19" s="65"/>
      <c r="G19" s="80"/>
      <c r="H19" s="80"/>
      <c r="I19" s="80"/>
      <c r="J19" s="80"/>
      <c r="K19" s="80"/>
      <c r="L19" s="80"/>
      <c r="M19" s="80"/>
      <c r="N19" s="80"/>
      <c r="O19" s="80"/>
    </row>
    <row r="20" spans="1:15" hidden="1">
      <c r="A20" s="80"/>
      <c r="B20" s="80"/>
      <c r="C20" s="80"/>
      <c r="D20" s="80"/>
      <c r="E20" s="80"/>
      <c r="F20" s="65"/>
      <c r="G20" s="80"/>
      <c r="H20" s="80"/>
      <c r="I20" s="80"/>
      <c r="J20" s="80"/>
      <c r="K20" s="80"/>
      <c r="L20" s="80"/>
      <c r="M20" s="80"/>
      <c r="N20" s="80"/>
      <c r="O20" s="80"/>
    </row>
    <row r="21" spans="1:15" hidden="1">
      <c r="A21" s="80"/>
      <c r="B21" s="80"/>
      <c r="C21" s="80"/>
      <c r="D21" s="80"/>
      <c r="E21" s="80"/>
      <c r="F21" s="65"/>
      <c r="G21" s="80"/>
      <c r="H21" s="80"/>
      <c r="I21" s="80"/>
      <c r="J21" s="80"/>
      <c r="K21" s="80"/>
      <c r="L21" s="80"/>
      <c r="M21" s="80"/>
      <c r="N21" s="80"/>
      <c r="O21" s="80"/>
    </row>
    <row r="22" spans="1:15" hidden="1">
      <c r="A22" s="80"/>
      <c r="B22" s="80"/>
      <c r="C22" s="80"/>
      <c r="D22" s="80"/>
      <c r="E22" s="80"/>
      <c r="F22" s="65"/>
      <c r="G22" s="80"/>
      <c r="H22" s="80"/>
      <c r="I22" s="80"/>
      <c r="J22" s="80"/>
      <c r="K22" s="80"/>
      <c r="L22" s="80"/>
      <c r="M22" s="80"/>
      <c r="N22" s="80"/>
      <c r="O22" s="80"/>
    </row>
    <row r="23" spans="1:15" hidden="1">
      <c r="A23" s="80"/>
      <c r="B23" s="80"/>
      <c r="C23" s="80"/>
      <c r="D23" s="80"/>
      <c r="E23" s="80"/>
      <c r="F23" s="65"/>
      <c r="G23" s="80"/>
      <c r="H23" s="80"/>
      <c r="I23" s="80"/>
      <c r="J23" s="80"/>
      <c r="K23" s="80"/>
      <c r="L23" s="80"/>
      <c r="M23" s="80"/>
      <c r="N23" s="80"/>
      <c r="O23" s="80"/>
    </row>
  </sheetData>
  <protectedRanges>
    <protectedRange algorithmName="SHA-512" hashValue="3aPxfSFQRsqnD2m9OZ17HrEk9bAKa2CPc+4V+8h5EcJJi9dDQkDqTmK36csxtIc1DW3fipdvcwtHsgrDCIzBqQ==" saltValue="+y/FVHJer+fo7XVT8ZeTzw==" spinCount="100000" sqref="M6:O9 J6:L11 E3:E9 J3:O5" name="Area locked_1"/>
    <protectedRange algorithmName="SHA-512" hashValue="Z9ycIa4oHidBQMiAt2AX+gEEC8jqt1cFsinus+ISfocoorFUftCWJCXseWx0PHeGIDpFuelXNgjA0mo9HX1gdw==" saltValue="XRg85kHByHmpaZ1VL1h73w==" spinCount="100000" sqref="F3:F9 D3:D9" name="Outlet Details_1"/>
    <protectedRange algorithmName="SHA-512" hashValue="Z9ycIa4oHidBQMiAt2AX+gEEC8jqt1cFsinus+ISfocoorFUftCWJCXseWx0PHeGIDpFuelXNgjA0mo9HX1gdw==" saltValue="XRg85kHByHmpaZ1VL1h73w==" spinCount="100000" sqref="H3:I11" name="Outlet Details_3"/>
    <protectedRange algorithmName="SHA-512" hashValue="Z9ycIa4oHidBQMiAt2AX+gEEC8jqt1cFsinus+ISfocoorFUftCWJCXseWx0PHeGIDpFuelXNgjA0mo9HX1gdw==" saltValue="XRg85kHByHmpaZ1VL1h73w==" spinCount="100000" sqref="G3:G11" name="Outlet Details_4"/>
  </protectedRanges>
  <mergeCells count="4">
    <mergeCell ref="A1:F1"/>
    <mergeCell ref="G1:I1"/>
    <mergeCell ref="M1:O1"/>
    <mergeCell ref="J1:L1"/>
  </mergeCells>
  <conditionalFormatting sqref="F3:F23">
    <cfRule type="cellIs" dxfId="125" priority="3" operator="equal">
      <formula>-1</formula>
    </cfRule>
    <cfRule type="cellIs" dxfId="124" priority="4" operator="equal">
      <formula>0</formula>
    </cfRule>
    <cfRule type="cellIs" dxfId="123" priority="5" operator="equal">
      <formula>1</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8C2FC98-0042-432C-B57C-446CE857D1D9}">
          <x14:formula1>
            <xm:f>Constants!$A$2:$A$15</xm:f>
          </x14:formula1>
          <xm:sqref>H3:H11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B97BF-8EDC-437F-A15F-2BD35B710A58}">
  <sheetPr codeName="Sheet6">
    <tabColor rgb="FFFFFF00"/>
  </sheetPr>
  <dimension ref="A1:P28"/>
  <sheetViews>
    <sheetView zoomScale="80" zoomScaleNormal="80" workbookViewId="0">
      <pane xSplit="3" ySplit="2" topLeftCell="D3" activePane="bottomRight" state="frozen"/>
      <selection pane="bottomRight" activeCell="L3" sqref="L3"/>
      <selection pane="bottomLeft" activeCell="A3" sqref="A3"/>
      <selection pane="topRight" activeCell="D1" sqref="D1"/>
    </sheetView>
  </sheetViews>
  <sheetFormatPr defaultColWidth="0" defaultRowHeight="14.45" zeroHeight="1"/>
  <cols>
    <col min="1" max="1" width="9.28515625" style="91" customWidth="1"/>
    <col min="2" max="2" width="14.42578125" style="91" bestFit="1" customWidth="1"/>
    <col min="3" max="3" width="63.85546875" style="91" customWidth="1"/>
    <col min="4" max="4" width="54.42578125" style="91" customWidth="1"/>
    <col min="5" max="5" width="27" style="91" customWidth="1"/>
    <col min="6" max="6" width="19.7109375" style="91" customWidth="1"/>
    <col min="7" max="7" width="25.42578125" style="91" customWidth="1"/>
    <col min="8" max="8" width="28.42578125" style="91" customWidth="1"/>
    <col min="9" max="9" width="29.28515625" style="91" bestFit="1" customWidth="1"/>
    <col min="10" max="11" width="9.28515625" style="91" customWidth="1"/>
    <col min="12" max="12" width="12.7109375" style="91" customWidth="1"/>
    <col min="13" max="13" width="9.28515625" style="91" customWidth="1"/>
    <col min="14" max="14" width="21.5703125" style="91" customWidth="1"/>
    <col min="15" max="16" width="9.28515625" style="91" customWidth="1"/>
    <col min="17" max="16384" width="9.28515625" style="91" hidden="1"/>
  </cols>
  <sheetData>
    <row r="1" spans="1:15">
      <c r="A1" s="396" t="s">
        <v>202</v>
      </c>
      <c r="B1" s="396"/>
      <c r="C1" s="396"/>
      <c r="D1" s="396"/>
      <c r="E1" s="396"/>
      <c r="F1" s="396"/>
      <c r="G1" s="396" t="s">
        <v>203</v>
      </c>
      <c r="H1" s="396"/>
      <c r="I1" s="396"/>
      <c r="J1" s="396" t="s">
        <v>204</v>
      </c>
      <c r="K1" s="396"/>
      <c r="L1" s="396"/>
      <c r="M1" s="396" t="s">
        <v>205</v>
      </c>
      <c r="N1" s="396"/>
      <c r="O1" s="396"/>
    </row>
    <row r="2" spans="1:15" ht="52.5" customHeight="1">
      <c r="A2" s="86" t="s">
        <v>20</v>
      </c>
      <c r="B2" s="86" t="s">
        <v>21</v>
      </c>
      <c r="C2" s="86" t="s">
        <v>22</v>
      </c>
      <c r="D2" s="79" t="s">
        <v>206</v>
      </c>
      <c r="E2" s="86" t="s">
        <v>207</v>
      </c>
      <c r="F2" s="86" t="s">
        <v>208</v>
      </c>
      <c r="G2" s="86" t="s">
        <v>23</v>
      </c>
      <c r="H2" s="86" t="s">
        <v>24</v>
      </c>
      <c r="I2" s="86" t="s">
        <v>25</v>
      </c>
      <c r="J2" s="86" t="s">
        <v>209</v>
      </c>
      <c r="K2" s="86" t="s">
        <v>210</v>
      </c>
      <c r="L2" s="86" t="s">
        <v>211</v>
      </c>
      <c r="M2" s="86" t="s">
        <v>212</v>
      </c>
      <c r="N2" s="86" t="s">
        <v>28</v>
      </c>
      <c r="O2" s="86" t="s">
        <v>29</v>
      </c>
    </row>
    <row r="3" spans="1:15" ht="52.5" customHeight="1">
      <c r="A3" s="80" t="s">
        <v>30</v>
      </c>
      <c r="B3" s="7"/>
      <c r="C3" s="3"/>
      <c r="D3" s="3"/>
      <c r="E3" s="80"/>
      <c r="F3" s="256"/>
      <c r="G3" s="67"/>
      <c r="H3" s="7"/>
      <c r="I3" s="257"/>
      <c r="J3" s="2"/>
      <c r="K3" s="2"/>
      <c r="L3" s="2"/>
      <c r="M3" s="7"/>
      <c r="N3" s="3"/>
      <c r="O3" s="3"/>
    </row>
    <row r="4" spans="1:15" ht="30.75">
      <c r="A4" s="80" t="s">
        <v>87</v>
      </c>
      <c r="B4" s="7"/>
      <c r="C4" s="3" t="s">
        <v>274</v>
      </c>
      <c r="D4" s="3" t="s">
        <v>275</v>
      </c>
      <c r="E4" s="80"/>
      <c r="F4" s="256">
        <v>1</v>
      </c>
      <c r="G4" s="67" t="s">
        <v>276</v>
      </c>
      <c r="H4" s="7" t="s">
        <v>277</v>
      </c>
      <c r="I4" s="257"/>
      <c r="J4" s="2" t="s">
        <v>218</v>
      </c>
      <c r="K4" s="2" t="s">
        <v>218</v>
      </c>
      <c r="L4" s="2" t="s">
        <v>278</v>
      </c>
      <c r="M4" s="7"/>
      <c r="N4" s="3"/>
      <c r="O4" s="3"/>
    </row>
    <row r="5" spans="1:15">
      <c r="A5" s="85" t="s">
        <v>279</v>
      </c>
      <c r="B5" s="7"/>
      <c r="C5" s="7" t="s">
        <v>280</v>
      </c>
      <c r="D5" s="7" t="s">
        <v>281</v>
      </c>
      <c r="E5" s="80"/>
      <c r="F5" s="256">
        <v>1</v>
      </c>
      <c r="G5" s="67" t="s">
        <v>282</v>
      </c>
      <c r="H5" s="7" t="s">
        <v>215</v>
      </c>
      <c r="I5" s="260" t="s">
        <v>283</v>
      </c>
      <c r="J5" s="2" t="s">
        <v>218</v>
      </c>
      <c r="K5" s="2" t="s">
        <v>218</v>
      </c>
      <c r="L5" s="2" t="s">
        <v>218</v>
      </c>
      <c r="M5" s="7"/>
      <c r="N5" s="3"/>
      <c r="O5" s="3"/>
    </row>
    <row r="6" spans="1:15" ht="76.5">
      <c r="A6" s="85" t="s">
        <v>284</v>
      </c>
      <c r="B6" s="7"/>
      <c r="C6" s="7" t="s">
        <v>285</v>
      </c>
      <c r="D6" s="7" t="s">
        <v>286</v>
      </c>
      <c r="E6" s="80"/>
      <c r="F6" s="256">
        <v>1</v>
      </c>
      <c r="G6" s="67" t="s">
        <v>287</v>
      </c>
      <c r="H6" s="7" t="s">
        <v>277</v>
      </c>
      <c r="I6" s="2"/>
      <c r="J6" s="2" t="s">
        <v>218</v>
      </c>
      <c r="K6" s="2" t="s">
        <v>218</v>
      </c>
      <c r="L6" s="2" t="s">
        <v>278</v>
      </c>
      <c r="M6" s="7"/>
      <c r="N6" s="3"/>
      <c r="O6" s="3"/>
    </row>
    <row r="7" spans="1:15" ht="91.5">
      <c r="A7" s="85" t="s">
        <v>92</v>
      </c>
      <c r="B7" s="7"/>
      <c r="C7" s="7" t="s">
        <v>288</v>
      </c>
      <c r="D7" s="7" t="s">
        <v>289</v>
      </c>
      <c r="E7" s="80"/>
      <c r="F7" s="256">
        <v>1</v>
      </c>
      <c r="G7" s="67" t="s">
        <v>290</v>
      </c>
      <c r="H7" s="7" t="s">
        <v>277</v>
      </c>
      <c r="I7" s="257"/>
      <c r="J7" s="2" t="s">
        <v>278</v>
      </c>
      <c r="K7" s="2" t="s">
        <v>291</v>
      </c>
      <c r="L7" s="2" t="s">
        <v>278</v>
      </c>
      <c r="M7" s="7"/>
      <c r="N7" s="3"/>
      <c r="O7" s="3"/>
    </row>
    <row r="8" spans="1:15" ht="43.15">
      <c r="A8" s="85" t="s">
        <v>292</v>
      </c>
      <c r="B8" s="3"/>
      <c r="C8" s="85" t="s">
        <v>293</v>
      </c>
      <c r="D8" s="85" t="s">
        <v>294</v>
      </c>
      <c r="E8" s="80"/>
      <c r="F8" s="256">
        <v>1</v>
      </c>
      <c r="G8" s="67" t="s">
        <v>295</v>
      </c>
      <c r="H8" s="7" t="s">
        <v>215</v>
      </c>
      <c r="I8" s="258" t="s">
        <v>296</v>
      </c>
      <c r="J8" s="2" t="s">
        <v>218</v>
      </c>
      <c r="K8" s="2" t="s">
        <v>218</v>
      </c>
      <c r="L8" s="2" t="s">
        <v>278</v>
      </c>
      <c r="M8" s="3"/>
      <c r="N8" s="3"/>
      <c r="O8" s="3"/>
    </row>
    <row r="9" spans="1:15">
      <c r="A9" s="393" t="s">
        <v>297</v>
      </c>
      <c r="B9" s="394"/>
      <c r="C9" s="394"/>
      <c r="D9" s="394"/>
      <c r="E9" s="394"/>
      <c r="F9" s="394"/>
      <c r="G9" s="394"/>
      <c r="H9" s="394"/>
      <c r="I9" s="394"/>
      <c r="J9" s="394"/>
      <c r="K9" s="394"/>
      <c r="L9" s="394"/>
      <c r="M9" s="394"/>
      <c r="N9" s="394"/>
      <c r="O9" s="395"/>
    </row>
    <row r="10" spans="1:15">
      <c r="A10" s="92" t="s">
        <v>110</v>
      </c>
      <c r="B10" s="92"/>
      <c r="C10" s="92" t="s">
        <v>298</v>
      </c>
      <c r="D10" s="162" t="s">
        <v>299</v>
      </c>
      <c r="E10" s="85"/>
      <c r="F10" s="256">
        <v>1</v>
      </c>
      <c r="G10" s="67" t="s">
        <v>300</v>
      </c>
      <c r="H10" s="7" t="s">
        <v>215</v>
      </c>
      <c r="I10" s="259" t="s">
        <v>301</v>
      </c>
      <c r="J10" s="2" t="s">
        <v>218</v>
      </c>
      <c r="K10" s="85" t="s">
        <v>218</v>
      </c>
      <c r="L10" s="85" t="s">
        <v>278</v>
      </c>
      <c r="M10" s="80"/>
      <c r="N10" s="80"/>
      <c r="O10" s="80"/>
    </row>
    <row r="11" spans="1:15" hidden="1">
      <c r="A11" s="92" t="s">
        <v>302</v>
      </c>
      <c r="B11" s="261"/>
      <c r="C11" s="92" t="s">
        <v>303</v>
      </c>
      <c r="D11" s="334"/>
      <c r="E11" s="85"/>
      <c r="F11" s="256">
        <v>1</v>
      </c>
      <c r="G11" s="67" t="s">
        <v>304</v>
      </c>
      <c r="H11" s="7" t="s">
        <v>215</v>
      </c>
      <c r="I11" s="251" t="s">
        <v>305</v>
      </c>
      <c r="J11" s="2" t="s">
        <v>218</v>
      </c>
      <c r="K11" s="262" t="s">
        <v>218</v>
      </c>
      <c r="L11" s="262" t="s">
        <v>278</v>
      </c>
      <c r="M11" s="80"/>
      <c r="N11" s="93" t="s">
        <v>306</v>
      </c>
      <c r="O11" s="80"/>
    </row>
    <row r="12" spans="1:15" ht="15">
      <c r="A12" s="92" t="s">
        <v>111</v>
      </c>
      <c r="B12" s="69" t="s">
        <v>307</v>
      </c>
      <c r="C12" s="92" t="s">
        <v>308</v>
      </c>
      <c r="D12" s="352" t="s">
        <v>309</v>
      </c>
      <c r="E12" s="85"/>
      <c r="F12" s="256">
        <v>1</v>
      </c>
      <c r="G12" s="67" t="s">
        <v>310</v>
      </c>
      <c r="H12" s="7" t="s">
        <v>215</v>
      </c>
      <c r="I12" s="296" t="s">
        <v>311</v>
      </c>
      <c r="J12" s="2" t="s">
        <v>218</v>
      </c>
      <c r="K12" s="2" t="s">
        <v>218</v>
      </c>
      <c r="L12" s="2" t="s">
        <v>278</v>
      </c>
      <c r="M12" s="80"/>
      <c r="N12" s="80"/>
      <c r="O12" s="80"/>
    </row>
    <row r="13" spans="1:15" ht="28.9" hidden="1">
      <c r="A13" s="92" t="s">
        <v>112</v>
      </c>
      <c r="B13" s="69" t="s">
        <v>312</v>
      </c>
      <c r="C13" s="92" t="s">
        <v>313</v>
      </c>
      <c r="D13" s="295"/>
      <c r="E13" s="85"/>
      <c r="F13" s="256">
        <v>-1</v>
      </c>
      <c r="G13" s="67" t="s">
        <v>314</v>
      </c>
      <c r="H13" s="7" t="s">
        <v>215</v>
      </c>
      <c r="I13" s="260" t="s">
        <v>315</v>
      </c>
      <c r="J13" s="2" t="s">
        <v>218</v>
      </c>
      <c r="K13" s="263" t="s">
        <v>218</v>
      </c>
      <c r="L13" s="263" t="s">
        <v>278</v>
      </c>
      <c r="M13" s="80"/>
      <c r="N13" s="80"/>
      <c r="O13" s="80"/>
    </row>
    <row r="14" spans="1:15" ht="15">
      <c r="A14" s="92" t="s">
        <v>113</v>
      </c>
      <c r="B14" s="85" t="s">
        <v>307</v>
      </c>
      <c r="C14" s="92" t="s">
        <v>316</v>
      </c>
      <c r="D14" s="343" t="s">
        <v>317</v>
      </c>
      <c r="E14" s="85"/>
      <c r="F14" s="264">
        <v>1</v>
      </c>
      <c r="G14" s="67" t="s">
        <v>318</v>
      </c>
      <c r="H14" s="7" t="s">
        <v>215</v>
      </c>
      <c r="I14" s="296" t="s">
        <v>319</v>
      </c>
      <c r="J14" s="2" t="s">
        <v>218</v>
      </c>
      <c r="K14" s="262" t="s">
        <v>218</v>
      </c>
      <c r="L14" s="262" t="s">
        <v>278</v>
      </c>
      <c r="M14" s="80"/>
      <c r="N14" s="80"/>
      <c r="O14" s="80"/>
    </row>
    <row r="15" spans="1:15" s="208" customFormat="1" ht="15">
      <c r="A15" s="92" t="s">
        <v>320</v>
      </c>
      <c r="B15" s="206" t="s">
        <v>307</v>
      </c>
      <c r="C15" s="92" t="s">
        <v>321</v>
      </c>
      <c r="D15" s="162" t="s">
        <v>322</v>
      </c>
      <c r="E15" s="265"/>
      <c r="F15" s="240">
        <v>1</v>
      </c>
      <c r="G15" s="206" t="s">
        <v>323</v>
      </c>
      <c r="H15" s="266" t="s">
        <v>215</v>
      </c>
      <c r="I15" s="251" t="s">
        <v>305</v>
      </c>
      <c r="J15" s="242" t="s">
        <v>218</v>
      </c>
      <c r="K15" s="242" t="s">
        <v>218</v>
      </c>
      <c r="L15" s="266"/>
      <c r="M15" s="266"/>
      <c r="N15" s="267"/>
      <c r="O15" s="268"/>
    </row>
    <row r="16" spans="1:15" s="208" customFormat="1" ht="15">
      <c r="A16" s="92" t="s">
        <v>324</v>
      </c>
      <c r="B16" s="85" t="s">
        <v>307</v>
      </c>
      <c r="C16" s="92" t="s">
        <v>325</v>
      </c>
      <c r="D16" s="162" t="s">
        <v>326</v>
      </c>
      <c r="E16" s="265"/>
      <c r="F16" s="240">
        <v>1</v>
      </c>
      <c r="G16" s="206" t="s">
        <v>327</v>
      </c>
      <c r="H16" s="266" t="s">
        <v>215</v>
      </c>
      <c r="I16" s="251" t="s">
        <v>305</v>
      </c>
      <c r="J16" s="242" t="s">
        <v>218</v>
      </c>
      <c r="K16" s="242" t="s">
        <v>218</v>
      </c>
      <c r="L16" s="266"/>
      <c r="M16" s="266"/>
      <c r="N16" s="267"/>
      <c r="O16" s="268"/>
    </row>
    <row r="17" spans="1:15" s="209" customFormat="1">
      <c r="A17" s="92" t="s">
        <v>328</v>
      </c>
      <c r="B17" s="294"/>
      <c r="C17" s="315" t="s">
        <v>329</v>
      </c>
      <c r="D17" s="162" t="s">
        <v>330</v>
      </c>
      <c r="E17" s="265"/>
      <c r="F17" s="240">
        <v>1</v>
      </c>
      <c r="G17" s="269" t="s">
        <v>331</v>
      </c>
      <c r="H17" s="266" t="s">
        <v>215</v>
      </c>
      <c r="I17" s="270" t="s">
        <v>332</v>
      </c>
      <c r="J17" s="242" t="s">
        <v>218</v>
      </c>
      <c r="K17" s="242" t="s">
        <v>218</v>
      </c>
      <c r="L17" s="269"/>
      <c r="M17" s="269"/>
      <c r="N17" s="267"/>
      <c r="O17" s="268"/>
    </row>
    <row r="18" spans="1:15" s="322" customFormat="1">
      <c r="A18" s="320"/>
      <c r="B18" s="321"/>
      <c r="D18" s="320"/>
      <c r="E18" s="323"/>
      <c r="F18" s="331"/>
      <c r="G18" s="321"/>
      <c r="H18" s="324"/>
      <c r="I18" s="325"/>
      <c r="J18" s="326"/>
      <c r="K18" s="326"/>
      <c r="M18" s="321"/>
      <c r="N18" s="327"/>
    </row>
    <row r="19" spans="1:15" s="329" customFormat="1">
      <c r="A19" s="320"/>
      <c r="B19" s="320"/>
      <c r="C19" s="320"/>
      <c r="D19" s="320"/>
      <c r="E19" s="320"/>
      <c r="F19" s="330"/>
      <c r="G19" s="321"/>
      <c r="H19" s="324"/>
      <c r="I19" s="328"/>
      <c r="J19" s="320"/>
      <c r="K19" s="320"/>
      <c r="L19" s="320"/>
      <c r="M19" s="320"/>
      <c r="N19" s="320"/>
      <c r="O19" s="320"/>
    </row>
    <row r="20" spans="1:15" hidden="1">
      <c r="A20" s="80" t="s">
        <v>333</v>
      </c>
      <c r="B20" s="80"/>
      <c r="C20" s="162" t="s">
        <v>334</v>
      </c>
      <c r="D20" s="277" t="s">
        <v>335</v>
      </c>
      <c r="E20" s="80"/>
      <c r="F20" s="88">
        <v>-1</v>
      </c>
      <c r="G20" s="80"/>
      <c r="H20" s="80"/>
      <c r="I20" s="80"/>
      <c r="J20" s="80"/>
      <c r="K20" s="80"/>
      <c r="L20" s="80"/>
      <c r="M20" s="80"/>
      <c r="N20" s="80"/>
      <c r="O20" s="80"/>
    </row>
    <row r="21" spans="1:15" hidden="1">
      <c r="A21" s="80" t="s">
        <v>336</v>
      </c>
      <c r="B21" s="80"/>
      <c r="C21" s="162" t="s">
        <v>337</v>
      </c>
      <c r="D21" s="277" t="s">
        <v>338</v>
      </c>
      <c r="E21" s="80"/>
      <c r="F21" s="88">
        <v>-1</v>
      </c>
      <c r="G21" s="80"/>
      <c r="H21" s="80"/>
      <c r="I21" s="80"/>
      <c r="J21" s="80"/>
      <c r="K21" s="80"/>
      <c r="L21" s="80"/>
      <c r="M21" s="80"/>
      <c r="N21" s="80"/>
      <c r="O21" s="80"/>
    </row>
    <row r="22" spans="1:15" hidden="1">
      <c r="A22" s="80" t="s">
        <v>339</v>
      </c>
      <c r="B22" s="80"/>
      <c r="C22" s="162" t="s">
        <v>340</v>
      </c>
      <c r="D22" s="277" t="s">
        <v>341</v>
      </c>
      <c r="E22" s="80"/>
      <c r="F22" s="88">
        <v>-1</v>
      </c>
      <c r="G22" s="80"/>
      <c r="H22" s="80"/>
      <c r="I22" s="80"/>
      <c r="J22" s="80"/>
      <c r="K22" s="80"/>
      <c r="L22" s="80"/>
      <c r="M22" s="80"/>
      <c r="N22" s="80"/>
      <c r="O22" s="80"/>
    </row>
    <row r="23" spans="1:15" hidden="1">
      <c r="A23" s="80" t="s">
        <v>342</v>
      </c>
      <c r="B23" s="80"/>
      <c r="C23" s="162" t="s">
        <v>343</v>
      </c>
      <c r="D23" s="277" t="s">
        <v>344</v>
      </c>
      <c r="E23" s="80"/>
      <c r="F23" s="88">
        <v>-1</v>
      </c>
      <c r="G23" s="80"/>
      <c r="H23" s="80"/>
      <c r="I23" s="80"/>
      <c r="J23" s="80"/>
      <c r="K23" s="80"/>
      <c r="L23" s="80"/>
      <c r="M23" s="80"/>
      <c r="N23" s="80"/>
      <c r="O23" s="80"/>
    </row>
    <row r="24" spans="1:15" hidden="1">
      <c r="A24" s="80" t="s">
        <v>345</v>
      </c>
      <c r="B24" s="80"/>
      <c r="C24" s="162" t="s">
        <v>346</v>
      </c>
      <c r="D24" s="277" t="s">
        <v>347</v>
      </c>
      <c r="E24" s="80"/>
      <c r="F24" s="88">
        <v>-1</v>
      </c>
      <c r="G24" s="80"/>
      <c r="H24" s="80"/>
      <c r="I24" s="80"/>
      <c r="J24" s="80"/>
      <c r="K24" s="80"/>
      <c r="L24" s="80"/>
      <c r="M24" s="80"/>
      <c r="N24" s="80"/>
      <c r="O24" s="80"/>
    </row>
    <row r="25" spans="1:15"/>
    <row r="26" spans="1:15"/>
    <row r="27" spans="1:15"/>
    <row r="28" spans="1:15"/>
  </sheetData>
  <protectedRanges>
    <protectedRange algorithmName="SHA-512" hashValue="ZguYlAdyb71IMfth0JhjlmtxX14hVx5omQi5ApBlH1eRzvDoMKrcH/U5ix8udScoKrPOyilweqooMB5Tej6y8g==" saltValue="7zSaR8crDg3BlTT9T4K2tg==" spinCount="100000" sqref="D5:D8 I5 F5:H8 M5:O8 I7:I8 H10:H14" name="Interview"/>
    <protectedRange algorithmName="SHA-512" hashValue="3aPxfSFQRsqnD2m9OZ17HrEk9bAKa2CPc+4V+8h5EcJJi9dDQkDqTmK36csxtIc1DW3fipdvcwtHsgrDCIzBqQ==" saltValue="+y/FVHJer+fo7XVT8ZeTzw==" spinCount="100000" sqref="J10:J14 J3:L8" name="Area locked_1"/>
    <protectedRange algorithmName="SHA-512" hashValue="ZguYlAdyb71IMfth0JhjlmtxX14hVx5omQi5ApBlH1eRzvDoMKrcH/U5ix8udScoKrPOyilweqooMB5Tej6y8g==" saltValue="7zSaR8crDg3BlTT9T4K2tg==" spinCount="100000" sqref="N11 I12:I14 F10:G14 K10:L14" name="Interview_2"/>
    <protectedRange algorithmName="SHA-512" hashValue="ZguYlAdyb71IMfth0JhjlmtxX14hVx5omQi5ApBlH1eRzvDoMKrcH/U5ix8udScoKrPOyilweqooMB5Tej6y8g==" saltValue="7zSaR8crDg3BlTT9T4K2tg==" spinCount="100000" sqref="D9:N9" name="Interview_3"/>
    <protectedRange algorithmName="SHA-512" hashValue="tJtLOnaS8+KUqov/oE/gmdxkppwrkTU4HFdXoC92a3kIYRUekxspl7nHwVoQM+hRxjCOkgbNwpPve4ZTDhwVjQ==" saltValue="mOTqs0bVHnablHdsWkvb1Q==" spinCount="100000" sqref="M15:M16 F15:F18" name="Range1"/>
    <protectedRange algorithmName="SHA-512" hashValue="ZguYlAdyb71IMfth0JhjlmtxX14hVx5omQi5ApBlH1eRzvDoMKrcH/U5ix8udScoKrPOyilweqooMB5Tej6y8g==" saltValue="7zSaR8crDg3BlTT9T4K2tg==" spinCount="100000" sqref="G15:G16 E15:E16" name="Interview_3_1_1_1"/>
    <protectedRange algorithmName="SHA-512" hashValue="hUkirajtNVADTD+199uQkL5ARN5v21Zi4+VkFPs4yU6WGmEFYNyjk6+RvFn0yp6CEynDcAe1X1rmZtuuMg+XiQ==" saltValue="oWQRzHv9sgvytn2Ahvb1nA==" spinCount="100000" sqref="J15:K18" name="Marketing_1_1_1"/>
    <protectedRange algorithmName="SHA-512" hashValue="ZguYlAdyb71IMfth0JhjlmtxX14hVx5omQi5ApBlH1eRzvDoMKrcH/U5ix8udScoKrPOyilweqooMB5Tej6y8g==" saltValue="7zSaR8crDg3BlTT9T4K2tg==" spinCount="100000" sqref="I11" name="Interview_3_1"/>
    <protectedRange algorithmName="SHA-512" hashValue="ZguYlAdyb71IMfth0JhjlmtxX14hVx5omQi5ApBlH1eRzvDoMKrcH/U5ix8udScoKrPOyilweqooMB5Tej6y8g==" saltValue="7zSaR8crDg3BlTT9T4K2tg==" spinCount="100000" sqref="I15:I16" name="Interview_3_1_1"/>
    <protectedRange algorithmName="SHA-512" hashValue="ZguYlAdyb71IMfth0JhjlmtxX14hVx5omQi5ApBlH1eRzvDoMKrcH/U5ix8udScoKrPOyilweqooMB5Tej6y8g==" saltValue="7zSaR8crDg3BlTT9T4K2tg==" spinCount="100000" sqref="I19" name="Interview_3_1_2"/>
  </protectedRanges>
  <mergeCells count="5">
    <mergeCell ref="A9:O9"/>
    <mergeCell ref="A1:F1"/>
    <mergeCell ref="G1:I1"/>
    <mergeCell ref="J1:L1"/>
    <mergeCell ref="M1:O1"/>
  </mergeCells>
  <phoneticPr fontId="19" type="noConversion"/>
  <conditionalFormatting sqref="B15">
    <cfRule type="cellIs" dxfId="122" priority="1" operator="equal">
      <formula>"yes"</formula>
    </cfRule>
    <cfRule type="cellIs" dxfId="121" priority="2" operator="equal">
      <formula>"NO"</formula>
    </cfRule>
  </conditionalFormatting>
  <conditionalFormatting sqref="F10:F17 F20:F24 F3:F8">
    <cfRule type="cellIs" dxfId="120" priority="21" operator="equal">
      <formula>-1</formula>
    </cfRule>
    <cfRule type="cellIs" dxfId="119" priority="22" operator="equal">
      <formula>0</formula>
    </cfRule>
    <cfRule type="cellIs" dxfId="118" priority="23" operator="equal">
      <formula>1</formula>
    </cfRule>
  </conditionalFormatting>
  <hyperlinks>
    <hyperlink ref="I5" location="'I&amp;M Lists'!A2" display="Interviewee Roles" xr:uid="{6D5EBCB9-49AC-465A-AFE8-0F5B22DA67E3}"/>
    <hyperlink ref="I8" location="'I&amp;M Lists'!A9" display="Continue Survey" xr:uid="{8A2BE8F0-B64A-4F6C-BA3F-4BA223600E9C}"/>
    <hyperlink ref="I12" location="'I&amp;M Lists'!A136" display="Retailer Channels" xr:uid="{01054EF2-8FC2-4096-8A9E-51D39A122031}"/>
    <hyperlink ref="I13" location="'I&amp;M Lists'!A35" display="See Lists OFF Channels" xr:uid="{74F8A490-3700-4058-84EF-63F68CEA3D91}"/>
    <hyperlink ref="I14" location="'I&amp;M Lists'!A143" display="Wholesaler Channels" xr:uid="{783AD11C-33A6-4B58-AD6D-BA7BF0D39AD7}"/>
    <hyperlink ref="I10" location="'I&amp;M Lists'!A16" display="ON/OFF Options" xr:uid="{C8473320-71F1-4B16-AC48-4DCD93E5424E}"/>
    <hyperlink ref="I17" location="'I&amp;M Lists'!A21" display="PT" xr:uid="{F123AFA3-9C12-4734-A3BA-33647507856C}"/>
  </hyperlink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errorTitle="Invalid Answer Option" xr:uid="{FEA9E1C6-F100-4F2A-BB69-52F1F4179546}">
          <x14:formula1>
            <xm:f>Constants!$A$2:$A$15</xm:f>
          </x14:formula1>
          <xm:sqref>H3:H8</xm:sqref>
        </x14:dataValidation>
        <x14:dataValidation type="list" allowBlank="1" showInputMessage="1" showErrorMessage="1" xr:uid="{275EF4F4-90B4-4976-A9BD-844FFBD59681}">
          <x14:formula1>
            <xm:f>Constants!$A$2:$A$15</xm:f>
          </x14:formula1>
          <xm:sqref>H10:H14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07D7E-96AF-48A6-BF4F-F55D50AC1FB1}">
  <sheetPr codeName="Sheet12">
    <tabColor rgb="FFFFFF00"/>
  </sheetPr>
  <dimension ref="A1:R125"/>
  <sheetViews>
    <sheetView zoomScale="90" zoomScaleNormal="90" workbookViewId="0">
      <selection activeCell="B3" sqref="B3"/>
    </sheetView>
  </sheetViews>
  <sheetFormatPr defaultColWidth="0" defaultRowHeight="14.45"/>
  <cols>
    <col min="1" max="1" width="7.28515625" style="91" bestFit="1" customWidth="1"/>
    <col min="2" max="2" width="14.85546875" style="91" customWidth="1"/>
    <col min="3" max="3" width="59.140625" style="91" customWidth="1"/>
    <col min="4" max="4" width="23" style="91" bestFit="1" customWidth="1"/>
    <col min="5" max="5" width="19.7109375" style="91" customWidth="1"/>
    <col min="6" max="6" width="18.7109375" style="91" customWidth="1"/>
    <col min="7" max="7" width="33.5703125" style="91" bestFit="1" customWidth="1"/>
    <col min="8" max="8" width="24" style="91" bestFit="1" customWidth="1"/>
    <col min="9" max="9" width="8.7109375" style="91" bestFit="1" customWidth="1"/>
    <col min="10" max="10" width="8.28515625" style="91" bestFit="1" customWidth="1"/>
    <col min="11" max="11" width="12.7109375" style="91" customWidth="1"/>
    <col min="12" max="12" width="10.28515625" style="91" bestFit="1" customWidth="1"/>
    <col min="13" max="13" width="10.7109375" style="91" bestFit="1" customWidth="1"/>
    <col min="14" max="14" width="9.5703125" style="91" bestFit="1" customWidth="1"/>
    <col min="15" max="15" width="5" style="91" bestFit="1" customWidth="1"/>
    <col min="16" max="16" width="5.7109375" style="91" bestFit="1" customWidth="1"/>
    <col min="17" max="17" width="6.28515625" style="91" bestFit="1" customWidth="1"/>
    <col min="18" max="18" width="9.28515625" style="91" customWidth="1"/>
    <col min="19" max="16384" width="9.28515625" style="91" hidden="1"/>
  </cols>
  <sheetData>
    <row r="1" spans="1:17" customFormat="1" ht="43.15">
      <c r="A1" s="182" t="s">
        <v>202</v>
      </c>
      <c r="B1" s="182"/>
      <c r="C1" s="182"/>
      <c r="D1" s="182"/>
      <c r="E1" s="182"/>
      <c r="F1" s="182" t="s">
        <v>203</v>
      </c>
      <c r="G1" s="182"/>
      <c r="H1" s="182"/>
      <c r="I1" s="397" t="s">
        <v>204</v>
      </c>
      <c r="J1" s="421"/>
      <c r="K1" s="422"/>
      <c r="L1" s="397" t="s">
        <v>348</v>
      </c>
      <c r="M1" s="421"/>
      <c r="N1" s="422"/>
      <c r="O1" s="397" t="s">
        <v>205</v>
      </c>
      <c r="P1" s="421"/>
      <c r="Q1" s="422"/>
    </row>
    <row r="2" spans="1:17" customFormat="1" ht="43.15">
      <c r="A2" s="183" t="s">
        <v>20</v>
      </c>
      <c r="B2" s="183" t="s">
        <v>21</v>
      </c>
      <c r="C2" s="183" t="s">
        <v>22</v>
      </c>
      <c r="D2" s="79" t="s">
        <v>349</v>
      </c>
      <c r="E2" s="183" t="s">
        <v>208</v>
      </c>
      <c r="F2" s="183" t="s">
        <v>23</v>
      </c>
      <c r="G2" s="183" t="s">
        <v>24</v>
      </c>
      <c r="H2" s="183" t="s">
        <v>25</v>
      </c>
      <c r="I2" s="183" t="s">
        <v>209</v>
      </c>
      <c r="J2" s="183" t="s">
        <v>210</v>
      </c>
      <c r="K2" s="183" t="s">
        <v>211</v>
      </c>
      <c r="L2" s="183" t="s">
        <v>350</v>
      </c>
      <c r="M2" s="183" t="s">
        <v>351</v>
      </c>
      <c r="N2" s="183" t="s">
        <v>352</v>
      </c>
      <c r="O2" s="183" t="s">
        <v>212</v>
      </c>
      <c r="P2" s="183" t="s">
        <v>28</v>
      </c>
      <c r="Q2" s="183" t="s">
        <v>29</v>
      </c>
    </row>
    <row r="3" spans="1:17" customFormat="1" ht="30.75">
      <c r="A3" s="184" t="s">
        <v>30</v>
      </c>
      <c r="B3" s="185" t="s">
        <v>353</v>
      </c>
      <c r="C3" s="184"/>
      <c r="D3" s="185"/>
      <c r="E3" s="186"/>
      <c r="F3" s="185"/>
      <c r="G3" s="180"/>
      <c r="H3" s="185"/>
      <c r="I3" s="185"/>
      <c r="J3" s="185"/>
      <c r="K3" s="185"/>
      <c r="L3" s="184"/>
      <c r="M3" s="184"/>
      <c r="N3" s="184"/>
      <c r="O3" s="185"/>
      <c r="P3" s="185"/>
      <c r="Q3" s="185"/>
    </row>
    <row r="4" spans="1:17" customFormat="1" ht="15.75" customHeight="1">
      <c r="A4" s="184" t="s">
        <v>354</v>
      </c>
      <c r="B4" s="185"/>
      <c r="C4" s="184" t="s">
        <v>355</v>
      </c>
      <c r="D4" s="185"/>
      <c r="E4" s="186">
        <v>-1</v>
      </c>
      <c r="F4" s="185"/>
      <c r="G4" s="180" t="s">
        <v>215</v>
      </c>
      <c r="H4" s="185" t="s">
        <v>305</v>
      </c>
      <c r="I4" s="185"/>
      <c r="J4" s="185" t="s">
        <v>218</v>
      </c>
      <c r="K4" s="185" t="s">
        <v>278</v>
      </c>
      <c r="L4" s="184" t="s">
        <v>59</v>
      </c>
      <c r="M4" s="184" t="s">
        <v>59</v>
      </c>
      <c r="N4" s="184" t="s">
        <v>59</v>
      </c>
      <c r="O4" s="185"/>
      <c r="P4" s="185"/>
      <c r="Q4" s="185"/>
    </row>
    <row r="5" spans="1:17" customFormat="1" ht="15.75" customHeight="1">
      <c r="A5" s="184" t="s">
        <v>356</v>
      </c>
      <c r="B5" s="185"/>
      <c r="C5" s="184" t="s">
        <v>357</v>
      </c>
      <c r="D5" s="185"/>
      <c r="E5" s="186">
        <v>-1</v>
      </c>
      <c r="F5" s="185"/>
      <c r="G5" s="180" t="s">
        <v>215</v>
      </c>
      <c r="H5" s="185" t="s">
        <v>305</v>
      </c>
      <c r="I5" s="185"/>
      <c r="J5" s="185" t="s">
        <v>218</v>
      </c>
      <c r="K5" s="185" t="s">
        <v>278</v>
      </c>
      <c r="L5" s="184" t="s">
        <v>59</v>
      </c>
      <c r="M5" s="184" t="s">
        <v>59</v>
      </c>
      <c r="N5" s="184" t="s">
        <v>59</v>
      </c>
      <c r="O5" s="185"/>
      <c r="P5" s="185"/>
      <c r="Q5" s="185"/>
    </row>
    <row r="6" spans="1:17" customFormat="1" ht="15">
      <c r="A6" s="184" t="s">
        <v>358</v>
      </c>
      <c r="B6" s="185"/>
      <c r="C6" s="184" t="s">
        <v>359</v>
      </c>
      <c r="D6" s="185"/>
      <c r="E6" s="186">
        <v>-1</v>
      </c>
      <c r="F6" s="185"/>
      <c r="G6" s="180" t="s">
        <v>215</v>
      </c>
      <c r="H6" s="185" t="s">
        <v>305</v>
      </c>
      <c r="I6" s="185"/>
      <c r="J6" s="185" t="s">
        <v>218</v>
      </c>
      <c r="K6" s="185" t="s">
        <v>278</v>
      </c>
      <c r="L6" s="187" t="s">
        <v>59</v>
      </c>
      <c r="M6" s="187" t="s">
        <v>59</v>
      </c>
      <c r="N6" s="187" t="s">
        <v>59</v>
      </c>
      <c r="O6" s="185"/>
      <c r="P6" s="185"/>
      <c r="Q6" s="185"/>
    </row>
    <row r="7" spans="1:17" customFormat="1">
      <c r="A7" s="188"/>
      <c r="B7" s="188"/>
      <c r="C7" s="188"/>
      <c r="D7" s="189"/>
      <c r="E7" s="190"/>
      <c r="F7" s="191"/>
      <c r="G7" s="188"/>
      <c r="H7" s="188"/>
      <c r="I7" s="188"/>
      <c r="J7" s="188"/>
      <c r="K7" s="188"/>
      <c r="L7" s="188"/>
      <c r="M7" s="188"/>
      <c r="N7" s="188"/>
      <c r="O7" s="188"/>
      <c r="P7" s="188"/>
      <c r="Q7" s="188"/>
    </row>
    <row r="8" spans="1:17" customFormat="1" hidden="1">
      <c r="A8" s="184" t="s">
        <v>146</v>
      </c>
      <c r="B8" s="185"/>
      <c r="C8" s="311" t="s">
        <v>360</v>
      </c>
      <c r="D8" s="284" t="s">
        <v>361</v>
      </c>
      <c r="E8" s="186">
        <v>-1</v>
      </c>
      <c r="F8" s="185" t="s">
        <v>362</v>
      </c>
      <c r="G8" s="105" t="s">
        <v>215</v>
      </c>
      <c r="H8" s="177" t="s">
        <v>305</v>
      </c>
      <c r="I8" s="185"/>
      <c r="J8" s="185"/>
      <c r="K8" s="185"/>
      <c r="L8" s="184"/>
      <c r="M8" s="184"/>
      <c r="N8" s="184"/>
      <c r="O8" s="185"/>
      <c r="P8" s="185"/>
      <c r="Q8" s="185"/>
    </row>
    <row r="9" spans="1:17" customFormat="1" ht="30.75">
      <c r="A9" s="184" t="s">
        <v>148</v>
      </c>
      <c r="B9" s="185"/>
      <c r="C9" s="243" t="s">
        <v>363</v>
      </c>
      <c r="D9" s="284" t="s">
        <v>364</v>
      </c>
      <c r="E9" s="186">
        <v>1</v>
      </c>
      <c r="F9" s="185" t="s">
        <v>365</v>
      </c>
      <c r="G9" s="105" t="s">
        <v>215</v>
      </c>
      <c r="H9" s="177" t="s">
        <v>305</v>
      </c>
      <c r="I9" s="185"/>
      <c r="J9" s="185"/>
      <c r="K9" s="185"/>
      <c r="L9" s="184"/>
      <c r="M9" s="184"/>
      <c r="N9" s="184"/>
      <c r="O9" s="185"/>
      <c r="P9" s="185"/>
      <c r="Q9" s="185"/>
    </row>
    <row r="10" spans="1:17" customFormat="1" ht="28.9" hidden="1">
      <c r="A10" s="184" t="s">
        <v>366</v>
      </c>
      <c r="B10" s="185"/>
      <c r="C10" s="311" t="s">
        <v>367</v>
      </c>
      <c r="D10" s="284" t="s">
        <v>368</v>
      </c>
      <c r="E10" s="186">
        <v>-1</v>
      </c>
      <c r="F10" s="185" t="s">
        <v>369</v>
      </c>
      <c r="G10" s="105" t="s">
        <v>215</v>
      </c>
      <c r="H10" s="177" t="s">
        <v>305</v>
      </c>
      <c r="I10" s="185"/>
      <c r="J10" s="185"/>
      <c r="K10" s="185"/>
      <c r="L10" s="184"/>
      <c r="M10" s="184"/>
      <c r="N10" s="184"/>
      <c r="O10" s="185"/>
      <c r="P10" s="185"/>
      <c r="Q10" s="185"/>
    </row>
    <row r="11" spans="1:17" customFormat="1" ht="72">
      <c r="A11" s="184" t="s">
        <v>151</v>
      </c>
      <c r="B11" s="185"/>
      <c r="C11" s="285" t="s">
        <v>370</v>
      </c>
      <c r="D11" s="284" t="s">
        <v>371</v>
      </c>
      <c r="E11" s="186">
        <v>1</v>
      </c>
      <c r="F11" s="185" t="s">
        <v>372</v>
      </c>
      <c r="G11" s="185" t="s">
        <v>373</v>
      </c>
      <c r="H11" s="194" t="s">
        <v>374</v>
      </c>
      <c r="I11" s="185" t="s">
        <v>218</v>
      </c>
      <c r="J11" s="185" t="s">
        <v>218</v>
      </c>
      <c r="K11" s="185" t="s">
        <v>278</v>
      </c>
      <c r="L11" s="184" t="s">
        <v>59</v>
      </c>
      <c r="M11" s="184" t="s">
        <v>59</v>
      </c>
      <c r="N11" s="184" t="s">
        <v>59</v>
      </c>
      <c r="O11" s="185"/>
      <c r="P11" s="185"/>
      <c r="Q11" s="185"/>
    </row>
    <row r="12" spans="1:17" customFormat="1">
      <c r="A12" s="188"/>
      <c r="B12" s="188"/>
      <c r="C12" s="244"/>
      <c r="D12" s="245"/>
      <c r="E12" s="190"/>
      <c r="F12" s="191"/>
      <c r="G12" s="188"/>
      <c r="H12" s="188"/>
      <c r="I12" s="188"/>
      <c r="J12" s="188"/>
      <c r="K12" s="188"/>
      <c r="L12" s="188"/>
      <c r="M12" s="188"/>
      <c r="N12" s="188"/>
      <c r="O12" s="188"/>
      <c r="P12" s="188"/>
      <c r="Q12" s="188"/>
    </row>
    <row r="13" spans="1:17" customFormat="1" hidden="1">
      <c r="A13" s="187" t="s">
        <v>148</v>
      </c>
      <c r="B13" s="184" t="s">
        <v>375</v>
      </c>
      <c r="C13" s="252" t="s">
        <v>376</v>
      </c>
      <c r="D13" s="252" t="s">
        <v>377</v>
      </c>
      <c r="E13" s="186">
        <v>0</v>
      </c>
      <c r="F13" s="187" t="s">
        <v>378</v>
      </c>
      <c r="G13" s="185" t="s">
        <v>277</v>
      </c>
      <c r="H13" s="192"/>
      <c r="I13" s="185" t="s">
        <v>218</v>
      </c>
      <c r="J13" s="181" t="s">
        <v>218</v>
      </c>
      <c r="K13" s="185" t="s">
        <v>278</v>
      </c>
      <c r="L13" s="187"/>
      <c r="M13" s="187"/>
      <c r="N13" s="187"/>
      <c r="O13" s="185"/>
      <c r="P13" s="185"/>
      <c r="Q13" s="185"/>
    </row>
    <row r="14" spans="1:17" customFormat="1" hidden="1">
      <c r="A14" s="187" t="s">
        <v>150</v>
      </c>
      <c r="B14" s="184" t="s">
        <v>379</v>
      </c>
      <c r="C14" s="252" t="s">
        <v>380</v>
      </c>
      <c r="D14" s="252" t="s">
        <v>381</v>
      </c>
      <c r="E14" s="186">
        <v>0</v>
      </c>
      <c r="F14" s="187" t="s">
        <v>382</v>
      </c>
      <c r="G14" s="185" t="s">
        <v>277</v>
      </c>
      <c r="H14" s="192"/>
      <c r="I14" s="185" t="s">
        <v>218</v>
      </c>
      <c r="J14" s="181" t="s">
        <v>218</v>
      </c>
      <c r="K14" s="185" t="s">
        <v>278</v>
      </c>
      <c r="L14" s="187"/>
      <c r="M14" s="187"/>
      <c r="N14" s="187"/>
      <c r="O14" s="185"/>
      <c r="P14" s="185"/>
      <c r="Q14" s="185"/>
    </row>
    <row r="15" spans="1:17" customFormat="1" ht="72">
      <c r="A15" s="184" t="s">
        <v>152</v>
      </c>
      <c r="B15" s="184"/>
      <c r="C15" t="s">
        <v>383</v>
      </c>
      <c r="D15" s="349" t="s">
        <v>384</v>
      </c>
      <c r="E15" s="186">
        <v>1</v>
      </c>
      <c r="F15" s="185" t="s">
        <v>385</v>
      </c>
      <c r="G15" s="185" t="s">
        <v>373</v>
      </c>
      <c r="H15" s="194" t="s">
        <v>386</v>
      </c>
      <c r="I15" s="185" t="s">
        <v>218</v>
      </c>
      <c r="J15" s="181" t="s">
        <v>218</v>
      </c>
      <c r="K15" s="185" t="s">
        <v>278</v>
      </c>
      <c r="L15" s="184" t="s">
        <v>59</v>
      </c>
      <c r="M15" s="184" t="s">
        <v>59</v>
      </c>
      <c r="N15" s="184" t="s">
        <v>59</v>
      </c>
      <c r="O15" s="185"/>
      <c r="P15" s="185"/>
      <c r="Q15" s="185"/>
    </row>
    <row r="16" spans="1:17" customFormat="1">
      <c r="A16" s="188"/>
      <c r="B16" s="188"/>
      <c r="C16" s="244"/>
      <c r="D16" s="245"/>
      <c r="E16" s="190"/>
      <c r="F16" s="191"/>
      <c r="G16" s="188"/>
      <c r="H16" s="188"/>
      <c r="I16" s="188"/>
      <c r="J16" s="188"/>
      <c r="K16" s="188"/>
      <c r="L16" s="188"/>
      <c r="M16" s="188"/>
      <c r="N16" s="188"/>
      <c r="O16" s="188"/>
      <c r="P16" s="188"/>
      <c r="Q16" s="188"/>
    </row>
    <row r="17" spans="1:17" customFormat="1" ht="43.15" hidden="1">
      <c r="A17" s="184" t="s">
        <v>153</v>
      </c>
      <c r="B17" s="184"/>
      <c r="C17" s="317" t="s">
        <v>387</v>
      </c>
      <c r="D17" s="284" t="s">
        <v>388</v>
      </c>
      <c r="E17" s="186">
        <v>-1</v>
      </c>
      <c r="F17" s="185" t="s">
        <v>389</v>
      </c>
      <c r="G17" s="207" t="s">
        <v>215</v>
      </c>
      <c r="H17" s="221" t="s">
        <v>332</v>
      </c>
      <c r="I17" s="185"/>
      <c r="J17" s="181"/>
      <c r="K17" s="185"/>
      <c r="L17" s="184"/>
      <c r="M17" s="184"/>
      <c r="N17" s="184"/>
      <c r="O17" s="185"/>
      <c r="P17" s="185"/>
      <c r="Q17" s="185"/>
    </row>
    <row r="18" spans="1:17" customFormat="1" ht="43.5" hidden="1" customHeight="1">
      <c r="A18" s="184" t="s">
        <v>390</v>
      </c>
      <c r="B18" s="184"/>
      <c r="C18" s="314" t="s">
        <v>391</v>
      </c>
      <c r="D18" s="284" t="s">
        <v>392</v>
      </c>
      <c r="E18" s="186">
        <v>-1</v>
      </c>
      <c r="F18" s="185" t="s">
        <v>393</v>
      </c>
      <c r="G18" s="207" t="s">
        <v>215</v>
      </c>
      <c r="H18" s="313"/>
      <c r="I18" s="185"/>
      <c r="J18" s="181"/>
      <c r="K18" s="185"/>
      <c r="L18" s="184"/>
      <c r="M18" s="184"/>
      <c r="N18" s="184"/>
      <c r="O18" s="185"/>
      <c r="P18" s="185"/>
      <c r="Q18" s="185"/>
    </row>
    <row r="19" spans="1:17" customFormat="1">
      <c r="A19" s="188"/>
      <c r="B19" s="188"/>
      <c r="C19" s="244"/>
      <c r="D19" s="245"/>
      <c r="E19" s="190"/>
      <c r="F19" s="191"/>
      <c r="G19" s="188"/>
      <c r="H19" s="188"/>
      <c r="I19" s="188"/>
      <c r="J19" s="188"/>
      <c r="K19" s="188"/>
      <c r="L19" s="188"/>
      <c r="M19" s="188"/>
      <c r="N19" s="188"/>
      <c r="O19" s="188"/>
      <c r="P19" s="188"/>
      <c r="Q19" s="188"/>
    </row>
    <row r="20" spans="1:17" customFormat="1" ht="43.15" hidden="1">
      <c r="A20" s="184" t="s">
        <v>394</v>
      </c>
      <c r="B20" s="184"/>
      <c r="C20" s="311" t="s">
        <v>395</v>
      </c>
      <c r="D20" s="285" t="s">
        <v>396</v>
      </c>
      <c r="E20" s="186">
        <v>-1</v>
      </c>
      <c r="F20" s="185" t="s">
        <v>397</v>
      </c>
      <c r="G20" s="185" t="s">
        <v>373</v>
      </c>
      <c r="H20" s="194"/>
      <c r="I20" s="185" t="s">
        <v>218</v>
      </c>
      <c r="J20" s="181" t="s">
        <v>218</v>
      </c>
      <c r="K20" s="185" t="s">
        <v>278</v>
      </c>
      <c r="L20" s="184" t="s">
        <v>59</v>
      </c>
      <c r="M20" s="184" t="s">
        <v>59</v>
      </c>
      <c r="N20" s="184" t="s">
        <v>59</v>
      </c>
      <c r="O20" s="185"/>
      <c r="P20" s="185"/>
      <c r="Q20" s="185"/>
    </row>
    <row r="21" spans="1:17" s="84" customFormat="1" ht="43.5" hidden="1" customHeight="1">
      <c r="C21" s="316" t="s">
        <v>398</v>
      </c>
      <c r="E21" s="186">
        <v>-1</v>
      </c>
      <c r="G21" s="185" t="s">
        <v>373</v>
      </c>
      <c r="H21" s="194" t="s">
        <v>386</v>
      </c>
    </row>
    <row r="22" spans="1:17" s="84" customFormat="1" ht="43.5" hidden="1" customHeight="1">
      <c r="C22" s="285" t="s">
        <v>399</v>
      </c>
      <c r="E22" s="186">
        <v>-1</v>
      </c>
    </row>
    <row r="23" spans="1:17" customFormat="1">
      <c r="A23" s="188"/>
      <c r="B23" s="188"/>
      <c r="C23" s="244"/>
      <c r="D23" s="245"/>
      <c r="E23" s="190"/>
      <c r="F23" s="191"/>
      <c r="G23" s="188"/>
      <c r="H23" s="188"/>
      <c r="I23" s="188"/>
      <c r="J23" s="188"/>
      <c r="K23" s="188"/>
      <c r="L23" s="188"/>
      <c r="M23" s="188"/>
      <c r="N23" s="188"/>
      <c r="O23" s="188"/>
      <c r="P23" s="188"/>
      <c r="Q23" s="188"/>
    </row>
    <row r="24" spans="1:17" s="84" customFormat="1"/>
    <row r="25" spans="1:17" s="84" customFormat="1"/>
    <row r="26" spans="1:17" s="84" customFormat="1"/>
    <row r="27" spans="1:17" s="84" customFormat="1"/>
    <row r="28" spans="1:17" s="84" customFormat="1"/>
    <row r="29" spans="1:17" s="84" customFormat="1"/>
    <row r="30" spans="1:17" s="84" customFormat="1"/>
    <row r="31" spans="1:17" s="84" customFormat="1"/>
    <row r="32" spans="1:17" s="84" customFormat="1"/>
    <row r="33" s="84" customFormat="1"/>
    <row r="34" s="84" customFormat="1"/>
    <row r="35" s="84" customFormat="1"/>
    <row r="36" s="84" customFormat="1"/>
    <row r="37" s="84" customFormat="1"/>
    <row r="38" s="84" customFormat="1"/>
    <row r="39" s="84" customFormat="1"/>
    <row r="40" s="84" customFormat="1"/>
    <row r="41" s="84" customFormat="1"/>
    <row r="42" s="84" customFormat="1"/>
    <row r="43" s="84" customFormat="1"/>
    <row r="44" s="84" customFormat="1"/>
    <row r="45" s="84" customFormat="1"/>
    <row r="46" s="84" customFormat="1"/>
    <row r="47" s="84" customFormat="1"/>
    <row r="48" s="84" customFormat="1"/>
    <row r="49" s="84" customFormat="1"/>
    <row r="50" s="84" customFormat="1"/>
    <row r="51" s="84" customFormat="1"/>
    <row r="52" s="84" customFormat="1"/>
    <row r="53" s="84" customFormat="1"/>
    <row r="54" s="84" customFormat="1"/>
    <row r="55" s="84" customFormat="1"/>
    <row r="56" s="84" customFormat="1"/>
    <row r="57" s="84" customFormat="1"/>
    <row r="58" s="84" customFormat="1"/>
    <row r="59" s="84" customFormat="1"/>
    <row r="60" s="84" customFormat="1"/>
    <row r="61" s="84" customFormat="1"/>
    <row r="62" s="84" customFormat="1"/>
    <row r="63" s="84" customFormat="1"/>
    <row r="64" s="84" customFormat="1"/>
    <row r="65" spans="15:15" s="84" customFormat="1"/>
    <row r="66" spans="15:15" s="84" customFormat="1"/>
    <row r="67" spans="15:15" s="84" customFormat="1"/>
    <row r="68" spans="15:15" s="84" customFormat="1">
      <c r="O68" s="106"/>
    </row>
    <row r="69" spans="15:15" s="84" customFormat="1"/>
    <row r="70" spans="15:15" s="84" customFormat="1"/>
    <row r="71" spans="15:15" s="84" customFormat="1"/>
    <row r="72" spans="15:15" s="84" customFormat="1"/>
    <row r="73" spans="15:15" s="84" customFormat="1"/>
    <row r="74" spans="15:15" s="84" customFormat="1"/>
    <row r="75" spans="15:15" s="84" customFormat="1"/>
    <row r="76" spans="15:15" s="84" customFormat="1"/>
    <row r="77" spans="15:15" s="84" customFormat="1"/>
    <row r="78" spans="15:15" s="84" customFormat="1"/>
    <row r="79" spans="15:15" s="84" customFormat="1"/>
    <row r="80" spans="15:15" s="84" customFormat="1" collapsed="1"/>
    <row r="81" spans="8:15" s="84" customFormat="1"/>
    <row r="82" spans="8:15" s="84" customFormat="1">
      <c r="O82" s="91"/>
    </row>
    <row r="83" spans="8:15" s="84" customFormat="1">
      <c r="O83" s="91"/>
    </row>
    <row r="84" spans="8:15" s="84" customFormat="1">
      <c r="O84" s="91"/>
    </row>
    <row r="85" spans="8:15" s="84" customFormat="1">
      <c r="O85" s="91"/>
    </row>
    <row r="86" spans="8:15" s="84" customFormat="1">
      <c r="O86" s="91"/>
    </row>
    <row r="87" spans="8:15" s="84" customFormat="1">
      <c r="O87" s="91"/>
    </row>
    <row r="88" spans="8:15" s="84" customFormat="1">
      <c r="O88" s="91"/>
    </row>
    <row r="89" spans="8:15" s="84" customFormat="1">
      <c r="O89" s="91"/>
    </row>
    <row r="90" spans="8:15" s="84" customFormat="1">
      <c r="O90" s="91"/>
    </row>
    <row r="91" spans="8:15" s="84" customFormat="1">
      <c r="O91" s="91"/>
    </row>
    <row r="92" spans="8:15" s="84" customFormat="1">
      <c r="O92" s="91"/>
    </row>
    <row r="93" spans="8:15" s="84" customFormat="1">
      <c r="O93" s="91"/>
    </row>
    <row r="94" spans="8:15" s="84" customFormat="1">
      <c r="H94" s="106"/>
      <c r="I94" s="106"/>
      <c r="J94" s="106"/>
      <c r="K94" s="106"/>
      <c r="L94" s="106"/>
      <c r="M94" s="106"/>
      <c r="N94" s="106"/>
      <c r="O94" s="91"/>
    </row>
    <row r="95" spans="8:15" s="84" customFormat="1">
      <c r="O95" s="91"/>
    </row>
    <row r="96" spans="8:15" s="84" customFormat="1">
      <c r="O96" s="91"/>
    </row>
    <row r="97" spans="1:15" s="84" customFormat="1">
      <c r="O97" s="91"/>
    </row>
    <row r="98" spans="1:15" s="84" customFormat="1">
      <c r="O98" s="91"/>
    </row>
    <row r="99" spans="1:15" s="84" customFormat="1">
      <c r="O99" s="91"/>
    </row>
    <row r="100" spans="1:15" s="84" customFormat="1">
      <c r="O100" s="91"/>
    </row>
    <row r="101" spans="1:15" s="84" customFormat="1">
      <c r="O101" s="91"/>
    </row>
    <row r="102" spans="1:15" s="84" customFormat="1">
      <c r="O102" s="91"/>
    </row>
    <row r="103" spans="1:15" s="84" customFormat="1">
      <c r="O103" s="91"/>
    </row>
    <row r="104" spans="1:15" s="84" customFormat="1">
      <c r="O104" s="91"/>
    </row>
    <row r="105" spans="1:15" s="84" customFormat="1">
      <c r="E105" s="91"/>
      <c r="F105" s="91"/>
      <c r="O105" s="91"/>
    </row>
    <row r="106" spans="1:15" s="84" customFormat="1">
      <c r="A106" s="91"/>
      <c r="B106" s="91"/>
      <c r="C106" s="91"/>
      <c r="D106" s="91"/>
      <c r="E106" s="91"/>
      <c r="F106" s="91"/>
      <c r="G106" s="91"/>
      <c r="H106" s="91"/>
      <c r="I106" s="91"/>
      <c r="J106" s="91"/>
      <c r="K106" s="91"/>
      <c r="O106" s="91"/>
    </row>
    <row r="107" spans="1:15" s="84" customFormat="1">
      <c r="A107" s="91"/>
      <c r="B107" s="91"/>
      <c r="C107" s="91"/>
      <c r="D107" s="91"/>
      <c r="E107" s="91"/>
      <c r="F107" s="91"/>
      <c r="G107" s="91"/>
      <c r="H107" s="91"/>
      <c r="I107" s="91"/>
      <c r="J107" s="91"/>
      <c r="K107" s="91"/>
      <c r="O107" s="91"/>
    </row>
    <row r="108" spans="1:15" s="84" customFormat="1">
      <c r="A108" s="91"/>
      <c r="B108" s="91"/>
      <c r="C108" s="91"/>
      <c r="D108" s="91"/>
      <c r="E108" s="91"/>
      <c r="F108" s="91"/>
      <c r="G108" s="91"/>
      <c r="H108" s="91"/>
      <c r="I108" s="91"/>
      <c r="J108" s="91"/>
      <c r="K108" s="91"/>
      <c r="L108" s="91"/>
      <c r="M108" s="91"/>
      <c r="N108" s="91"/>
      <c r="O108" s="91"/>
    </row>
    <row r="109" spans="1:15" s="84" customFormat="1">
      <c r="A109" s="91"/>
      <c r="B109" s="91"/>
      <c r="C109" s="91"/>
      <c r="D109" s="91"/>
      <c r="E109" s="91"/>
      <c r="F109" s="91"/>
      <c r="G109" s="91"/>
      <c r="H109" s="91"/>
      <c r="I109" s="91"/>
      <c r="J109" s="91"/>
      <c r="K109" s="91"/>
      <c r="L109" s="91"/>
      <c r="M109" s="91"/>
      <c r="N109" s="91"/>
      <c r="O109" s="91"/>
    </row>
    <row r="110" spans="1:15" s="84" customFormat="1">
      <c r="A110" s="91"/>
      <c r="B110" s="91"/>
      <c r="C110" s="91"/>
      <c r="D110" s="91"/>
      <c r="E110" s="91"/>
      <c r="F110" s="91"/>
      <c r="G110" s="91"/>
      <c r="H110" s="91"/>
      <c r="I110" s="91"/>
      <c r="J110" s="91"/>
      <c r="K110" s="91"/>
      <c r="L110" s="91"/>
      <c r="M110" s="91"/>
      <c r="N110" s="91"/>
      <c r="O110" s="91"/>
    </row>
    <row r="111" spans="1:15" s="84" customFormat="1">
      <c r="A111" s="91"/>
      <c r="B111" s="91"/>
      <c r="C111" s="91"/>
      <c r="D111" s="91"/>
      <c r="E111" s="91"/>
      <c r="F111" s="91"/>
      <c r="G111" s="91"/>
      <c r="H111" s="91"/>
      <c r="I111" s="91"/>
      <c r="J111" s="91"/>
      <c r="K111" s="91"/>
      <c r="L111" s="91"/>
      <c r="M111" s="91"/>
      <c r="N111" s="91"/>
      <c r="O111" s="91"/>
    </row>
    <row r="112" spans="1:15" s="106" customFormat="1">
      <c r="A112" s="91"/>
      <c r="B112" s="91"/>
      <c r="C112" s="91"/>
      <c r="D112" s="91"/>
      <c r="E112" s="91"/>
      <c r="F112" s="91"/>
      <c r="G112" s="91"/>
      <c r="H112" s="91"/>
      <c r="I112" s="91"/>
      <c r="J112" s="91"/>
      <c r="K112" s="91"/>
      <c r="L112" s="91"/>
      <c r="M112" s="91"/>
      <c r="N112" s="91"/>
      <c r="O112" s="91"/>
    </row>
    <row r="113" spans="1:15" s="84" customFormat="1">
      <c r="A113" s="91"/>
      <c r="B113" s="91"/>
      <c r="C113" s="91"/>
      <c r="D113" s="91"/>
      <c r="E113" s="91"/>
      <c r="F113" s="91"/>
      <c r="G113" s="91"/>
      <c r="H113" s="91"/>
      <c r="I113" s="91"/>
      <c r="J113" s="91"/>
      <c r="K113" s="91"/>
      <c r="L113" s="91"/>
      <c r="M113" s="91"/>
      <c r="N113" s="91"/>
      <c r="O113" s="91"/>
    </row>
    <row r="114" spans="1:15" s="84" customFormat="1">
      <c r="A114" s="91"/>
      <c r="B114" s="91"/>
      <c r="C114" s="91"/>
      <c r="D114" s="91"/>
      <c r="E114" s="91"/>
      <c r="F114" s="91"/>
      <c r="G114" s="91"/>
      <c r="H114" s="91"/>
      <c r="I114" s="91"/>
      <c r="J114" s="91"/>
      <c r="K114" s="91"/>
      <c r="L114" s="91"/>
      <c r="M114" s="91"/>
      <c r="N114" s="91"/>
      <c r="O114" s="91"/>
    </row>
    <row r="115" spans="1:15" s="84" customFormat="1">
      <c r="A115" s="91"/>
      <c r="B115" s="91"/>
      <c r="C115" s="91"/>
      <c r="D115" s="91"/>
      <c r="E115" s="91"/>
      <c r="F115" s="91"/>
      <c r="G115" s="91"/>
      <c r="H115" s="91"/>
      <c r="I115" s="91"/>
      <c r="J115" s="91"/>
      <c r="K115" s="91"/>
      <c r="L115" s="91"/>
      <c r="M115" s="91"/>
      <c r="N115" s="91"/>
      <c r="O115" s="91"/>
    </row>
    <row r="116" spans="1:15" s="84" customFormat="1">
      <c r="A116" s="91"/>
      <c r="B116" s="91"/>
      <c r="C116" s="91"/>
      <c r="D116" s="91"/>
      <c r="E116" s="91"/>
      <c r="F116" s="91"/>
      <c r="G116" s="91"/>
      <c r="H116" s="91"/>
      <c r="I116" s="91"/>
      <c r="J116" s="91"/>
      <c r="K116" s="91"/>
      <c r="L116" s="91"/>
      <c r="M116" s="91"/>
      <c r="N116" s="91"/>
      <c r="O116" s="91"/>
    </row>
    <row r="117" spans="1:15" s="84" customFormat="1">
      <c r="A117" s="91"/>
      <c r="B117" s="91"/>
      <c r="C117" s="91"/>
      <c r="D117" s="91"/>
      <c r="E117" s="91"/>
      <c r="F117" s="91"/>
      <c r="G117" s="91"/>
      <c r="H117" s="91"/>
      <c r="I117" s="91"/>
      <c r="J117" s="91"/>
      <c r="K117" s="91"/>
      <c r="L117" s="91"/>
      <c r="M117" s="91"/>
      <c r="N117" s="91"/>
      <c r="O117" s="91"/>
    </row>
    <row r="118" spans="1:15" s="84" customFormat="1">
      <c r="A118" s="91"/>
      <c r="B118" s="91"/>
      <c r="C118" s="91"/>
      <c r="D118" s="91"/>
      <c r="E118" s="91"/>
      <c r="F118" s="91"/>
      <c r="G118" s="91"/>
      <c r="H118" s="91"/>
      <c r="I118" s="91"/>
      <c r="J118" s="91"/>
      <c r="K118" s="91"/>
      <c r="L118" s="91"/>
      <c r="M118" s="91"/>
      <c r="N118" s="91"/>
      <c r="O118" s="91"/>
    </row>
    <row r="119" spans="1:15" s="84" customFormat="1">
      <c r="A119" s="91"/>
      <c r="B119" s="91"/>
      <c r="C119" s="91"/>
      <c r="D119" s="91"/>
      <c r="E119" s="91"/>
      <c r="F119" s="91"/>
      <c r="G119" s="91"/>
      <c r="H119" s="91"/>
      <c r="I119" s="91"/>
      <c r="J119" s="91"/>
      <c r="K119" s="91"/>
      <c r="L119" s="91"/>
      <c r="M119" s="91"/>
      <c r="N119" s="91"/>
      <c r="O119" s="91"/>
    </row>
    <row r="120" spans="1:15" s="84" customFormat="1">
      <c r="A120" s="91"/>
      <c r="B120" s="91"/>
      <c r="C120" s="91"/>
      <c r="D120" s="91"/>
      <c r="E120" s="91"/>
      <c r="F120" s="91"/>
      <c r="G120" s="91"/>
      <c r="H120" s="91"/>
      <c r="I120" s="91"/>
      <c r="J120" s="91"/>
      <c r="K120" s="91"/>
      <c r="L120" s="91"/>
      <c r="M120" s="91"/>
      <c r="N120" s="91"/>
      <c r="O120" s="91"/>
    </row>
    <row r="121" spans="1:15" s="84" customFormat="1">
      <c r="A121" s="91"/>
      <c r="B121" s="91"/>
      <c r="C121" s="91"/>
      <c r="D121" s="91"/>
      <c r="E121" s="91"/>
      <c r="F121" s="91"/>
      <c r="G121" s="91"/>
      <c r="H121" s="91"/>
      <c r="I121" s="91"/>
      <c r="J121" s="91"/>
      <c r="K121" s="91"/>
      <c r="L121" s="91"/>
      <c r="M121" s="91"/>
      <c r="N121" s="91"/>
      <c r="O121" s="91"/>
    </row>
    <row r="122" spans="1:15" s="84" customFormat="1">
      <c r="A122" s="91"/>
      <c r="B122" s="91"/>
      <c r="C122" s="91"/>
      <c r="D122" s="91"/>
      <c r="E122" s="91"/>
      <c r="F122" s="91"/>
      <c r="G122" s="91"/>
      <c r="H122" s="91"/>
      <c r="I122" s="91"/>
      <c r="J122" s="91"/>
      <c r="K122" s="91"/>
      <c r="L122" s="91"/>
      <c r="M122" s="91"/>
      <c r="N122" s="91"/>
      <c r="O122" s="91"/>
    </row>
    <row r="123" spans="1:15" s="84" customFormat="1" collapsed="1">
      <c r="A123" s="91"/>
      <c r="B123" s="91"/>
      <c r="C123" s="91"/>
      <c r="D123" s="91"/>
      <c r="E123" s="91"/>
      <c r="F123" s="91"/>
      <c r="G123" s="91"/>
      <c r="H123" s="91"/>
      <c r="I123" s="91"/>
      <c r="J123" s="91"/>
      <c r="K123" s="91"/>
      <c r="L123" s="91"/>
      <c r="M123" s="91"/>
      <c r="N123" s="91"/>
      <c r="O123" s="91"/>
    </row>
    <row r="124" spans="1:15" s="84" customFormat="1">
      <c r="A124" s="91"/>
      <c r="B124" s="91"/>
      <c r="C124" s="91"/>
      <c r="D124" s="91"/>
      <c r="E124" s="91"/>
      <c r="F124" s="91"/>
      <c r="G124" s="91"/>
      <c r="H124" s="91"/>
      <c r="I124" s="91"/>
      <c r="J124" s="91"/>
      <c r="K124" s="91"/>
      <c r="L124" s="91"/>
      <c r="M124" s="91"/>
      <c r="N124" s="91"/>
      <c r="O124" s="91"/>
    </row>
    <row r="125" spans="1:15" s="84" customFormat="1">
      <c r="A125" s="91"/>
      <c r="B125" s="91"/>
      <c r="C125" s="91"/>
      <c r="D125" s="91"/>
      <c r="E125" s="91"/>
      <c r="F125" s="91"/>
      <c r="G125" s="91"/>
      <c r="H125" s="91"/>
      <c r="I125" s="91"/>
      <c r="J125" s="91"/>
      <c r="K125" s="91"/>
      <c r="L125" s="91"/>
      <c r="M125" s="91"/>
      <c r="N125" s="91"/>
      <c r="O125" s="91"/>
    </row>
  </sheetData>
  <protectedRanges>
    <protectedRange algorithmName="SHA-512" hashValue="tJtLOnaS8+KUqov/oE/gmdxkppwrkTU4HFdXoC92a3kIYRUekxspl7nHwVoQM+hRxjCOkgbNwpPve4ZTDhwVjQ==" saltValue="mOTqs0bVHnablHdsWkvb1Q==" spinCount="100000" sqref="J12 F13:F15 I13:J13 I14:I15 H12:H16 J16 E12:E16 G22:N22 H20:I20 E20:F20 H19 J19 E19 O19:O20 I17:N18 F21 H21:N21 F17:F18 H23 J23 E23 O23 E3:E6 O3:O16" name="Range1"/>
    <protectedRange algorithmName="SHA-512" hashValue="ZguYlAdyb71IMfth0JhjlmtxX14hVx5omQi5ApBlH1eRzvDoMKrcH/U5ix8udScoKrPOyilweqooMB5Tej6y8g==" saltValue="7zSaR8crDg3BlTT9T4K2tg==" spinCount="100000" sqref="F8:F10 D7:E11 F7:M7 F11:M11 I8:M10" name="Interview_3_1_1_1"/>
    <protectedRange algorithmName="SHA-512" hashValue="wC8tzfOYZ3RTXjNh+/iZZBhdrSlfjL1XEdH17J/xxx99mzQLmsQjAx3SgBuaQGfEAWw+t/cO4YQl0yjNa5C4qw==" saltValue="CxyhgMMN5DNP3cWQB2vcAg==" spinCount="100000" sqref="G3:G6" name="Questions"/>
    <protectedRange algorithmName="SHA-512" hashValue="mV3lW0l3Jt8RNokhL9N7RQfdEwtkDzqYEZ23mXpE73H+SNj96D3Oqd2UMbStoZq9Oifubx9AVqiyDIENfpo3xg==" saltValue="3V3nQMHtXFzjoPFIe6wzzA==" spinCount="100000" sqref="G8" name="Marketing_3"/>
    <protectedRange algorithmName="SHA-512" hashValue="ZguYlAdyb71IMfth0JhjlmtxX14hVx5omQi5ApBlH1eRzvDoMKrcH/U5ix8udScoKrPOyilweqooMB5Tej6y8g==" saltValue="7zSaR8crDg3BlTT9T4K2tg==" spinCount="100000" sqref="H8" name="Interview_3_1_1"/>
    <protectedRange algorithmName="SHA-512" hashValue="mV3lW0l3Jt8RNokhL9N7RQfdEwtkDzqYEZ23mXpE73H+SNj96D3Oqd2UMbStoZq9Oifubx9AVqiyDIENfpo3xg==" saltValue="3V3nQMHtXFzjoPFIe6wzzA==" spinCount="100000" sqref="G9" name="Marketing_3_1"/>
    <protectedRange algorithmName="SHA-512" hashValue="ZguYlAdyb71IMfth0JhjlmtxX14hVx5omQi5ApBlH1eRzvDoMKrcH/U5ix8udScoKrPOyilweqooMB5Tej6y8g==" saltValue="7zSaR8crDg3BlTT9T4K2tg==" spinCount="100000" sqref="H9" name="Interview_3_1_1_2"/>
    <protectedRange algorithmName="SHA-512" hashValue="mV3lW0l3Jt8RNokhL9N7RQfdEwtkDzqYEZ23mXpE73H+SNj96D3Oqd2UMbStoZq9Oifubx9AVqiyDIENfpo3xg==" saltValue="3V3nQMHtXFzjoPFIe6wzzA==" spinCount="100000" sqref="G10" name="Marketing_3_2"/>
    <protectedRange algorithmName="SHA-512" hashValue="ZguYlAdyb71IMfth0JhjlmtxX14hVx5omQi5ApBlH1eRzvDoMKrcH/U5ix8udScoKrPOyilweqooMB5Tej6y8g==" saltValue="7zSaR8crDg3BlTT9T4K2tg==" spinCount="100000" sqref="H10" name="Interview_3_1_1_3"/>
  </protectedRanges>
  <mergeCells count="3">
    <mergeCell ref="I1:K1"/>
    <mergeCell ref="L1:N1"/>
    <mergeCell ref="O1:Q1"/>
  </mergeCells>
  <phoneticPr fontId="19" type="noConversion"/>
  <conditionalFormatting sqref="C3:C4">
    <cfRule type="cellIs" dxfId="117" priority="19" operator="equal">
      <formula>"yes"</formula>
    </cfRule>
  </conditionalFormatting>
  <conditionalFormatting sqref="C3:C6">
    <cfRule type="cellIs" dxfId="116" priority="20" operator="equal">
      <formula>"NO"</formula>
    </cfRule>
  </conditionalFormatting>
  <conditionalFormatting sqref="C5:C6">
    <cfRule type="cellIs" dxfId="115" priority="21" operator="equal">
      <formula>"YES"</formula>
    </cfRule>
  </conditionalFormatting>
  <conditionalFormatting sqref="E8:E11 E3:E6">
    <cfRule type="cellIs" dxfId="114" priority="40" operator="equal">
      <formula>-1</formula>
    </cfRule>
    <cfRule type="cellIs" dxfId="113" priority="41" operator="equal">
      <formula>0</formula>
    </cfRule>
    <cfRule type="cellIs" dxfId="112" priority="42" operator="equal">
      <formula>1</formula>
    </cfRule>
  </conditionalFormatting>
  <conditionalFormatting sqref="E13:E15 E17:E18 E20:E22">
    <cfRule type="cellIs" dxfId="111" priority="26" operator="equal">
      <formula>-1</formula>
    </cfRule>
    <cfRule type="cellIs" dxfId="110" priority="27" operator="equal">
      <formula>0</formula>
    </cfRule>
    <cfRule type="cellIs" dxfId="109" priority="28" operator="equal">
      <formula>1</formula>
    </cfRule>
  </conditionalFormatting>
  <conditionalFormatting sqref="G8:G10">
    <cfRule type="cellIs" dxfId="108" priority="3" operator="equal">
      <formula>"NO"</formula>
    </cfRule>
    <cfRule type="cellIs" dxfId="107" priority="4" operator="equal">
      <formula>"YES"</formula>
    </cfRule>
  </conditionalFormatting>
  <conditionalFormatting sqref="L4:N6">
    <cfRule type="cellIs" dxfId="106" priority="50" operator="equal">
      <formula>"yes"</formula>
    </cfRule>
    <cfRule type="cellIs" dxfId="105" priority="51" operator="equal">
      <formula>"NO"</formula>
    </cfRule>
  </conditionalFormatting>
  <conditionalFormatting sqref="L8:N11 B13:B15 B17:B18 B20">
    <cfRule type="cellIs" dxfId="104" priority="29" operator="equal">
      <formula>"yes"</formula>
    </cfRule>
    <cfRule type="cellIs" dxfId="103" priority="30" operator="equal">
      <formula>"NO"</formula>
    </cfRule>
  </conditionalFormatting>
  <conditionalFormatting sqref="L13:N15">
    <cfRule type="cellIs" dxfId="102" priority="22" operator="equal">
      <formula>"yes"</formula>
    </cfRule>
    <cfRule type="cellIs" dxfId="101" priority="23" operator="equal">
      <formula>"NO"</formula>
    </cfRule>
  </conditionalFormatting>
  <conditionalFormatting sqref="L17:N18">
    <cfRule type="cellIs" dxfId="100" priority="13" operator="equal">
      <formula>"yes"</formula>
    </cfRule>
    <cfRule type="cellIs" dxfId="99" priority="14" operator="equal">
      <formula>"NO"</formula>
    </cfRule>
  </conditionalFormatting>
  <conditionalFormatting sqref="L20:N20">
    <cfRule type="cellIs" dxfId="98" priority="9" operator="equal">
      <formula>"yes"</formula>
    </cfRule>
    <cfRule type="cellIs" dxfId="97" priority="10" operator="equal">
      <formula>"NO"</formula>
    </cfRule>
  </conditionalFormatting>
  <conditionalFormatting sqref="L3:N3">
    <cfRule type="cellIs" dxfId="96" priority="1" operator="equal">
      <formula>"yes"</formula>
    </cfRule>
    <cfRule type="cellIs" dxfId="95" priority="2" operator="equal">
      <formula>"NO"</formula>
    </cfRule>
  </conditionalFormatting>
  <hyperlinks>
    <hyperlink ref="H11" location="'Volume &amp; Price List'!A1" display="Options: see Categories list" xr:uid="{9AF69807-78C8-4A23-A687-80F07F181F02}"/>
    <hyperlink ref="H15" location="'Volume &amp; Price List'!A1" display="See Categories SKUs lists" xr:uid="{8C7A51C5-0783-470F-94A1-5CB2B5570E75}"/>
    <hyperlink ref="H17" location="'I&amp;M Lists'!A21" display="PT" xr:uid="{372D0C0C-DC8C-4067-B689-EE0166A275F8}"/>
    <hyperlink ref="H21" location="'Volume &amp; Price List'!A1" display="See Categories SKUs lists" xr:uid="{B29D1367-4516-4670-B067-B4A090B8176D}"/>
  </hyperlink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E9CEBE38-45C6-4092-8244-1A40A8765A62}">
          <x14:formula1>
            <xm:f>Constants!$A$2:$A$15</xm:f>
          </x14:formula1>
          <xm:sqref>G3:G6 G12:G16 G19:G21 G8:G10 G23</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CDEA1-DED5-44DD-8745-2385525CB68B}">
  <sheetPr codeName="Sheet9">
    <tabColor rgb="FFFF3399"/>
  </sheetPr>
  <dimension ref="A1:R101"/>
  <sheetViews>
    <sheetView zoomScale="90" zoomScaleNormal="90" workbookViewId="0">
      <pane xSplit="3" ySplit="2" topLeftCell="D3" activePane="bottomRight" state="frozen"/>
      <selection pane="bottomRight" activeCell="B3" sqref="B3"/>
      <selection pane="bottomLeft" activeCell="A3" sqref="A3"/>
      <selection pane="topRight" activeCell="D1" sqref="D1"/>
    </sheetView>
  </sheetViews>
  <sheetFormatPr defaultColWidth="0" defaultRowHeight="15" customHeight="1" zeroHeight="1" outlineLevelCol="1"/>
  <cols>
    <col min="1" max="1" width="9.140625" customWidth="1"/>
    <col min="2" max="2" width="18.5703125" customWidth="1"/>
    <col min="3" max="3" width="50.7109375" customWidth="1"/>
    <col min="4" max="4" width="83" customWidth="1"/>
    <col min="5" max="5" width="19.7109375" customWidth="1"/>
    <col min="6" max="6" width="25.42578125" customWidth="1"/>
    <col min="7" max="7" width="39.5703125" customWidth="1"/>
    <col min="8" max="8" width="36.28515625" customWidth="1"/>
    <col min="9" max="10" width="9.140625" customWidth="1"/>
    <col min="11" max="11" width="12.85546875" customWidth="1"/>
    <col min="12" max="12" width="37.7109375" customWidth="1"/>
    <col min="13" max="13" width="9.140625" customWidth="1"/>
    <col min="14" max="16" width="11.5703125" customWidth="1"/>
    <col min="17" max="17" width="14.42578125" customWidth="1" outlineLevel="1"/>
    <col min="18" max="18" width="0" hidden="1" customWidth="1" outlineLevel="1"/>
    <col min="19" max="16384" width="14.42578125" hidden="1" outlineLevel="1"/>
  </cols>
  <sheetData>
    <row r="1" spans="1:16">
      <c r="A1" s="397" t="s">
        <v>202</v>
      </c>
      <c r="B1" s="421"/>
      <c r="C1" s="421"/>
      <c r="D1" s="421"/>
      <c r="E1" s="422"/>
      <c r="F1" s="397" t="s">
        <v>203</v>
      </c>
      <c r="G1" s="421"/>
      <c r="H1" s="422"/>
      <c r="I1" s="397" t="s">
        <v>204</v>
      </c>
      <c r="J1" s="421"/>
      <c r="K1" s="422"/>
      <c r="L1" s="397" t="s">
        <v>205</v>
      </c>
      <c r="M1" s="421"/>
      <c r="N1" s="422"/>
      <c r="O1" s="366"/>
      <c r="P1" s="366"/>
    </row>
    <row r="2" spans="1:16" ht="50.25" customHeight="1">
      <c r="A2" s="183" t="s">
        <v>20</v>
      </c>
      <c r="B2" s="183" t="s">
        <v>21</v>
      </c>
      <c r="C2" s="183" t="s">
        <v>22</v>
      </c>
      <c r="D2" s="79" t="s">
        <v>206</v>
      </c>
      <c r="E2" s="183" t="s">
        <v>208</v>
      </c>
      <c r="F2" s="183" t="s">
        <v>23</v>
      </c>
      <c r="G2" s="183" t="s">
        <v>24</v>
      </c>
      <c r="H2" s="183" t="s">
        <v>25</v>
      </c>
      <c r="I2" s="183" t="s">
        <v>209</v>
      </c>
      <c r="J2" s="183" t="s">
        <v>210</v>
      </c>
      <c r="K2" s="183" t="s">
        <v>211</v>
      </c>
      <c r="L2" s="183" t="s">
        <v>212</v>
      </c>
      <c r="M2" s="183" t="s">
        <v>28</v>
      </c>
      <c r="N2" s="183" t="s">
        <v>29</v>
      </c>
      <c r="O2" s="183" t="s">
        <v>28</v>
      </c>
      <c r="P2" s="183" t="s">
        <v>28</v>
      </c>
    </row>
    <row r="3" spans="1:16" ht="33.75" customHeight="1">
      <c r="A3" s="177" t="s">
        <v>30</v>
      </c>
      <c r="B3" s="199" t="s">
        <v>400</v>
      </c>
      <c r="C3" s="180"/>
      <c r="D3" s="346"/>
      <c r="E3" s="179"/>
      <c r="F3" s="180"/>
      <c r="G3" s="180"/>
      <c r="H3" s="296"/>
      <c r="I3" s="178"/>
      <c r="J3" s="180"/>
      <c r="K3" s="180"/>
      <c r="L3" s="177"/>
      <c r="M3" s="178"/>
      <c r="N3" s="178"/>
      <c r="O3" s="178"/>
      <c r="P3" s="178"/>
    </row>
    <row r="4" spans="1:16">
      <c r="A4" s="177" t="s">
        <v>401</v>
      </c>
      <c r="B4" s="199"/>
      <c r="C4" s="180" t="s">
        <v>402</v>
      </c>
      <c r="D4" s="346" t="s">
        <v>403</v>
      </c>
      <c r="E4" s="179">
        <v>1</v>
      </c>
      <c r="F4" s="180" t="s">
        <v>404</v>
      </c>
      <c r="G4" s="180" t="s">
        <v>405</v>
      </c>
      <c r="H4" s="296" t="s">
        <v>406</v>
      </c>
      <c r="I4" s="178" t="s">
        <v>218</v>
      </c>
      <c r="J4" s="180" t="s">
        <v>218</v>
      </c>
      <c r="K4" s="180" t="s">
        <v>278</v>
      </c>
      <c r="L4" s="177"/>
      <c r="M4" s="178"/>
      <c r="N4" s="178"/>
      <c r="O4" s="178"/>
      <c r="P4" s="178"/>
    </row>
    <row r="5" spans="1:16" ht="60.75">
      <c r="A5" s="177" t="s">
        <v>407</v>
      </c>
      <c r="B5" s="199" t="s">
        <v>408</v>
      </c>
      <c r="C5" s="180" t="s">
        <v>409</v>
      </c>
      <c r="D5" s="346" t="s">
        <v>410</v>
      </c>
      <c r="E5" s="179">
        <v>1</v>
      </c>
      <c r="F5" s="180" t="s">
        <v>411</v>
      </c>
      <c r="G5" s="180" t="s">
        <v>41</v>
      </c>
      <c r="H5" s="180" t="s">
        <v>412</v>
      </c>
      <c r="I5" s="178" t="s">
        <v>218</v>
      </c>
      <c r="J5" s="180" t="s">
        <v>278</v>
      </c>
      <c r="K5" s="180" t="s">
        <v>278</v>
      </c>
      <c r="L5" s="177"/>
      <c r="M5" s="178"/>
      <c r="N5" s="178"/>
      <c r="O5" s="178"/>
      <c r="P5" s="178"/>
    </row>
    <row r="6" spans="1:16">
      <c r="A6" s="177" t="s">
        <v>413</v>
      </c>
      <c r="B6" s="199" t="s">
        <v>414</v>
      </c>
      <c r="C6" s="180" t="s">
        <v>415</v>
      </c>
      <c r="D6" s="346" t="s">
        <v>416</v>
      </c>
      <c r="E6" s="179">
        <v>1</v>
      </c>
      <c r="F6" s="180" t="s">
        <v>417</v>
      </c>
      <c r="G6" s="180" t="s">
        <v>41</v>
      </c>
      <c r="H6" s="180" t="s">
        <v>412</v>
      </c>
      <c r="I6" s="178" t="s">
        <v>218</v>
      </c>
      <c r="J6" s="180" t="s">
        <v>218</v>
      </c>
      <c r="K6" s="180" t="s">
        <v>278</v>
      </c>
      <c r="L6" s="177"/>
      <c r="M6" s="178"/>
      <c r="N6" s="178"/>
      <c r="O6" s="178"/>
      <c r="P6" s="178"/>
    </row>
    <row r="7" spans="1:16" hidden="1">
      <c r="A7" s="177" t="s">
        <v>418</v>
      </c>
      <c r="B7" s="199" t="s">
        <v>419</v>
      </c>
      <c r="C7" s="180" t="s">
        <v>420</v>
      </c>
      <c r="D7" s="280"/>
      <c r="E7" s="179">
        <v>0</v>
      </c>
      <c r="F7" s="180" t="s">
        <v>404</v>
      </c>
      <c r="G7" s="180" t="s">
        <v>41</v>
      </c>
      <c r="H7" s="180" t="s">
        <v>412</v>
      </c>
      <c r="I7" s="178" t="s">
        <v>218</v>
      </c>
      <c r="J7" s="180" t="s">
        <v>218</v>
      </c>
      <c r="K7" s="180" t="s">
        <v>278</v>
      </c>
      <c r="L7" s="177"/>
      <c r="M7" s="177"/>
      <c r="N7" s="177"/>
      <c r="O7" s="177"/>
      <c r="P7" s="177"/>
    </row>
    <row r="8" spans="1:16" ht="30.75" hidden="1">
      <c r="A8" s="177" t="s">
        <v>421</v>
      </c>
      <c r="B8" s="199"/>
      <c r="C8" s="180" t="s">
        <v>422</v>
      </c>
      <c r="D8" s="280"/>
      <c r="E8" s="179">
        <v>0</v>
      </c>
      <c r="F8" s="180" t="s">
        <v>423</v>
      </c>
      <c r="G8" s="180" t="s">
        <v>215</v>
      </c>
      <c r="H8" s="197" t="s">
        <v>305</v>
      </c>
      <c r="I8" s="178" t="s">
        <v>218</v>
      </c>
      <c r="J8" s="178" t="s">
        <v>218</v>
      </c>
      <c r="K8" s="178" t="s">
        <v>218</v>
      </c>
      <c r="L8" s="177"/>
      <c r="M8" s="177"/>
      <c r="N8" s="177"/>
      <c r="O8" s="177"/>
      <c r="P8" s="177"/>
    </row>
    <row r="9" spans="1:16">
      <c r="A9" s="189"/>
      <c r="B9" s="189"/>
      <c r="C9" s="189"/>
      <c r="D9" s="189"/>
      <c r="E9" s="189"/>
      <c r="F9" s="189"/>
      <c r="G9" s="189"/>
      <c r="H9" s="189"/>
      <c r="I9" s="189"/>
      <c r="J9" s="189"/>
      <c r="K9" s="189"/>
      <c r="L9" s="189"/>
      <c r="M9" s="189"/>
      <c r="N9" s="189"/>
      <c r="O9" s="189"/>
      <c r="P9" s="189"/>
    </row>
    <row r="10" spans="1:16" ht="30.75" hidden="1">
      <c r="A10" s="177" t="s">
        <v>424</v>
      </c>
      <c r="B10" s="199"/>
      <c r="C10" s="177" t="s">
        <v>425</v>
      </c>
      <c r="D10" s="279"/>
      <c r="E10" s="179">
        <v>-1</v>
      </c>
      <c r="F10" s="180" t="s">
        <v>426</v>
      </c>
      <c r="G10" s="180" t="s">
        <v>427</v>
      </c>
      <c r="H10" s="196" t="s">
        <v>428</v>
      </c>
      <c r="I10" s="178" t="s">
        <v>218</v>
      </c>
      <c r="J10" s="180" t="s">
        <v>278</v>
      </c>
      <c r="K10" s="180" t="s">
        <v>278</v>
      </c>
      <c r="L10" s="177"/>
      <c r="M10" s="177"/>
      <c r="N10" s="177"/>
      <c r="O10" s="177"/>
      <c r="P10" s="177"/>
    </row>
    <row r="11" spans="1:16">
      <c r="A11" s="189"/>
      <c r="B11" s="189"/>
      <c r="C11" s="189"/>
      <c r="D11" s="189"/>
      <c r="E11" s="189"/>
      <c r="F11" s="189"/>
      <c r="G11" s="189"/>
      <c r="H11" s="189"/>
      <c r="I11" s="189"/>
      <c r="J11" s="189"/>
      <c r="K11" s="189"/>
      <c r="L11" s="189"/>
      <c r="M11" s="189"/>
      <c r="N11" s="189"/>
      <c r="O11" s="189"/>
      <c r="P11" s="189"/>
    </row>
    <row r="12" spans="1:16" hidden="1">
      <c r="A12" s="177" t="s">
        <v>429</v>
      </c>
      <c r="B12" s="199"/>
      <c r="C12" s="177" t="s">
        <v>430</v>
      </c>
      <c r="D12" s="178"/>
      <c r="E12" s="179">
        <v>-1</v>
      </c>
      <c r="F12" s="177"/>
      <c r="G12" s="180" t="s">
        <v>215</v>
      </c>
      <c r="H12" s="177" t="s">
        <v>305</v>
      </c>
      <c r="I12" s="177"/>
      <c r="J12" s="180" t="s">
        <v>278</v>
      </c>
      <c r="K12" s="180" t="s">
        <v>278</v>
      </c>
      <c r="L12" s="177"/>
      <c r="M12" s="177"/>
      <c r="N12" s="177"/>
      <c r="O12" s="177"/>
      <c r="P12" s="177"/>
    </row>
    <row r="13" spans="1:16">
      <c r="A13" s="177" t="s">
        <v>431</v>
      </c>
      <c r="B13" s="199"/>
      <c r="C13" s="271" t="s">
        <v>432</v>
      </c>
      <c r="D13" s="271" t="s">
        <v>433</v>
      </c>
      <c r="E13" s="179">
        <v>1</v>
      </c>
      <c r="F13" s="180" t="s">
        <v>434</v>
      </c>
      <c r="G13" s="180" t="s">
        <v>215</v>
      </c>
      <c r="H13" s="177" t="s">
        <v>305</v>
      </c>
      <c r="I13" s="178" t="s">
        <v>218</v>
      </c>
      <c r="J13" s="180" t="s">
        <v>278</v>
      </c>
      <c r="K13" s="180" t="s">
        <v>278</v>
      </c>
      <c r="L13" s="200"/>
      <c r="M13" s="200"/>
      <c r="N13" s="200"/>
      <c r="O13" s="200"/>
      <c r="P13" s="200"/>
    </row>
    <row r="14" spans="1:16" hidden="1">
      <c r="A14" s="177" t="s">
        <v>435</v>
      </c>
      <c r="B14" s="199"/>
      <c r="C14" s="251" t="s">
        <v>436</v>
      </c>
      <c r="D14" s="272"/>
      <c r="E14" s="179">
        <v>-1</v>
      </c>
      <c r="F14" s="180" t="s">
        <v>437</v>
      </c>
      <c r="G14" s="180" t="s">
        <v>215</v>
      </c>
      <c r="H14" s="177" t="s">
        <v>305</v>
      </c>
      <c r="I14" s="178" t="s">
        <v>218</v>
      </c>
      <c r="J14" s="180" t="s">
        <v>278</v>
      </c>
      <c r="K14" s="180" t="s">
        <v>278</v>
      </c>
      <c r="L14" s="200"/>
      <c r="M14" s="193"/>
      <c r="N14" s="200"/>
      <c r="O14" s="193"/>
      <c r="P14" s="193"/>
    </row>
    <row r="15" spans="1:16" hidden="1">
      <c r="A15" s="177" t="s">
        <v>438</v>
      </c>
      <c r="B15" s="199"/>
      <c r="C15" s="251" t="s">
        <v>439</v>
      </c>
      <c r="D15" s="272"/>
      <c r="E15" s="179">
        <v>-1</v>
      </c>
      <c r="F15" s="180" t="s">
        <v>440</v>
      </c>
      <c r="G15" s="180" t="s">
        <v>441</v>
      </c>
      <c r="H15" s="196" t="s">
        <v>442</v>
      </c>
      <c r="I15" s="178" t="s">
        <v>218</v>
      </c>
      <c r="J15" s="180" t="s">
        <v>278</v>
      </c>
      <c r="K15" s="180" t="s">
        <v>278</v>
      </c>
      <c r="L15" s="200"/>
      <c r="M15" s="200"/>
      <c r="N15" s="200"/>
      <c r="O15" s="200"/>
      <c r="P15" s="200"/>
    </row>
    <row r="16" spans="1:16" hidden="1">
      <c r="A16" s="177" t="s">
        <v>443</v>
      </c>
      <c r="B16" s="199"/>
      <c r="C16" s="251" t="s">
        <v>444</v>
      </c>
      <c r="D16" s="272"/>
      <c r="E16" s="179">
        <v>-1</v>
      </c>
      <c r="F16" s="180" t="s">
        <v>445</v>
      </c>
      <c r="G16" s="180" t="s">
        <v>215</v>
      </c>
      <c r="H16" s="177" t="s">
        <v>305</v>
      </c>
      <c r="I16" s="178" t="s">
        <v>218</v>
      </c>
      <c r="J16" s="180" t="s">
        <v>278</v>
      </c>
      <c r="K16" s="180" t="s">
        <v>278</v>
      </c>
      <c r="L16" s="200"/>
      <c r="M16" s="200"/>
      <c r="N16" s="200"/>
      <c r="O16" s="200"/>
      <c r="P16" s="200"/>
    </row>
    <row r="17" spans="1:16" hidden="1">
      <c r="A17" s="189"/>
      <c r="B17" s="189"/>
      <c r="C17" s="245"/>
      <c r="D17" s="245"/>
      <c r="E17" s="189"/>
      <c r="F17" s="189"/>
      <c r="G17" s="189"/>
      <c r="H17" s="189"/>
      <c r="I17" s="189"/>
      <c r="J17" s="189"/>
      <c r="K17" s="189"/>
      <c r="L17" s="189"/>
      <c r="M17" s="189"/>
      <c r="N17" s="189"/>
      <c r="O17" s="189"/>
      <c r="P17" s="189"/>
    </row>
    <row r="18" spans="1:16">
      <c r="A18" s="177" t="s">
        <v>446</v>
      </c>
      <c r="B18" s="199"/>
      <c r="C18" s="252" t="s">
        <v>447</v>
      </c>
      <c r="D18" s="252" t="s">
        <v>448</v>
      </c>
      <c r="E18" s="179">
        <v>1</v>
      </c>
      <c r="F18" s="180" t="s">
        <v>449</v>
      </c>
      <c r="G18" s="180" t="s">
        <v>41</v>
      </c>
      <c r="H18" s="180" t="s">
        <v>412</v>
      </c>
      <c r="I18" s="178" t="s">
        <v>218</v>
      </c>
      <c r="J18" s="180" t="s">
        <v>218</v>
      </c>
      <c r="K18" s="180" t="s">
        <v>278</v>
      </c>
      <c r="L18" s="200"/>
      <c r="M18" s="200"/>
      <c r="N18" s="200"/>
      <c r="O18" s="200"/>
      <c r="P18" s="200"/>
    </row>
    <row r="19" spans="1:16" hidden="1">
      <c r="A19" s="180" t="s">
        <v>450</v>
      </c>
      <c r="B19" s="180" t="s">
        <v>451</v>
      </c>
      <c r="C19" s="253" t="s">
        <v>452</v>
      </c>
      <c r="D19" s="254"/>
      <c r="E19" s="179">
        <v>-1</v>
      </c>
      <c r="F19" s="200"/>
      <c r="G19" s="180" t="s">
        <v>373</v>
      </c>
      <c r="H19" s="196" t="s">
        <v>453</v>
      </c>
      <c r="I19" s="177"/>
      <c r="J19" s="180" t="s">
        <v>218</v>
      </c>
      <c r="K19" s="180" t="s">
        <v>278</v>
      </c>
      <c r="L19" s="200"/>
      <c r="M19" s="200"/>
      <c r="N19" s="200"/>
      <c r="O19" s="200"/>
      <c r="P19" s="200"/>
    </row>
    <row r="20" spans="1:16">
      <c r="A20" s="189"/>
      <c r="B20" s="189"/>
      <c r="C20" s="245"/>
      <c r="D20" s="245"/>
      <c r="E20" s="189"/>
      <c r="F20" s="189"/>
      <c r="G20" s="189"/>
      <c r="H20" s="189"/>
      <c r="I20" s="189"/>
      <c r="J20" s="189"/>
      <c r="K20" s="189"/>
      <c r="L20" s="189"/>
      <c r="M20" s="189"/>
      <c r="N20" s="189"/>
      <c r="O20" s="189"/>
      <c r="P20" s="189"/>
    </row>
    <row r="21" spans="1:16" hidden="1">
      <c r="A21" s="177" t="s">
        <v>454</v>
      </c>
      <c r="B21" s="199"/>
      <c r="C21" s="251" t="s">
        <v>455</v>
      </c>
      <c r="D21" s="254"/>
      <c r="E21" s="179">
        <v>-1</v>
      </c>
      <c r="F21" s="180" t="s">
        <v>456</v>
      </c>
      <c r="G21" s="180" t="s">
        <v>215</v>
      </c>
      <c r="H21" s="177" t="s">
        <v>305</v>
      </c>
      <c r="I21" s="178" t="s">
        <v>218</v>
      </c>
      <c r="J21" s="180" t="s">
        <v>278</v>
      </c>
      <c r="K21" s="180" t="s">
        <v>278</v>
      </c>
      <c r="L21" s="200"/>
      <c r="M21" s="200"/>
      <c r="N21" s="200"/>
      <c r="O21" s="200"/>
      <c r="P21" s="200"/>
    </row>
    <row r="22" spans="1:16" hidden="1">
      <c r="A22" s="177" t="s">
        <v>457</v>
      </c>
      <c r="B22" s="199" t="s">
        <v>458</v>
      </c>
      <c r="C22" s="251" t="s">
        <v>459</v>
      </c>
      <c r="D22" s="252"/>
      <c r="E22" s="179">
        <v>-1</v>
      </c>
      <c r="F22" s="180" t="s">
        <v>460</v>
      </c>
      <c r="G22" s="180" t="s">
        <v>405</v>
      </c>
      <c r="H22" s="196" t="s">
        <v>461</v>
      </c>
      <c r="I22" s="178" t="s">
        <v>218</v>
      </c>
      <c r="J22" s="180" t="s">
        <v>278</v>
      </c>
      <c r="K22" s="180" t="s">
        <v>278</v>
      </c>
      <c r="L22" s="181"/>
      <c r="M22" s="181"/>
      <c r="N22" s="181"/>
      <c r="O22" s="181"/>
      <c r="P22" s="181"/>
    </row>
    <row r="23" spans="1:16" hidden="1">
      <c r="A23" s="177" t="s">
        <v>462</v>
      </c>
      <c r="B23" s="185" t="s">
        <v>463</v>
      </c>
      <c r="C23" s="253" t="s">
        <v>464</v>
      </c>
      <c r="D23" s="255"/>
      <c r="E23" s="179">
        <v>0</v>
      </c>
      <c r="F23" s="180" t="s">
        <v>465</v>
      </c>
      <c r="G23" s="180" t="s">
        <v>41</v>
      </c>
      <c r="H23" s="180" t="s">
        <v>412</v>
      </c>
      <c r="I23" s="178" t="s">
        <v>218</v>
      </c>
      <c r="J23" s="180" t="s">
        <v>278</v>
      </c>
      <c r="K23" s="180" t="s">
        <v>278</v>
      </c>
      <c r="L23" s="181"/>
      <c r="M23" s="181"/>
      <c r="N23" s="181"/>
      <c r="O23" s="181"/>
      <c r="P23" s="181"/>
    </row>
    <row r="24" spans="1:16" hidden="1">
      <c r="A24" s="177" t="s">
        <v>466</v>
      </c>
      <c r="B24" s="185" t="s">
        <v>467</v>
      </c>
      <c r="C24" s="251" t="s">
        <v>468</v>
      </c>
      <c r="D24" s="251"/>
      <c r="E24" s="179">
        <v>0</v>
      </c>
      <c r="F24" s="180" t="s">
        <v>469</v>
      </c>
      <c r="G24" s="180" t="s">
        <v>41</v>
      </c>
      <c r="H24" s="180" t="s">
        <v>412</v>
      </c>
      <c r="I24" s="178" t="s">
        <v>218</v>
      </c>
      <c r="J24" s="180" t="s">
        <v>278</v>
      </c>
      <c r="K24" s="180" t="s">
        <v>278</v>
      </c>
      <c r="L24" s="195"/>
      <c r="M24" s="181"/>
      <c r="N24" s="181"/>
      <c r="O24" s="181"/>
      <c r="P24" s="181"/>
    </row>
    <row r="25" spans="1:16" ht="30.75" hidden="1">
      <c r="A25" s="177" t="s">
        <v>470</v>
      </c>
      <c r="B25" s="199"/>
      <c r="C25" s="251" t="s">
        <v>471</v>
      </c>
      <c r="D25" s="243"/>
      <c r="E25" s="179">
        <v>-1</v>
      </c>
      <c r="F25" s="180" t="s">
        <v>472</v>
      </c>
      <c r="G25" s="180" t="s">
        <v>473</v>
      </c>
      <c r="H25" s="196" t="s">
        <v>474</v>
      </c>
      <c r="I25" s="178" t="s">
        <v>218</v>
      </c>
      <c r="J25" s="180" t="s">
        <v>278</v>
      </c>
      <c r="K25" s="180" t="s">
        <v>278</v>
      </c>
      <c r="L25" s="195"/>
      <c r="M25" s="201"/>
      <c r="N25" s="181"/>
      <c r="O25" s="201"/>
      <c r="P25" s="201"/>
    </row>
    <row r="26" spans="1:16" ht="30.75" hidden="1">
      <c r="A26" s="177" t="s">
        <v>475</v>
      </c>
      <c r="B26" s="199" t="s">
        <v>476</v>
      </c>
      <c r="C26" s="251" t="s">
        <v>477</v>
      </c>
      <c r="D26" s="243"/>
      <c r="E26" s="179">
        <v>-1</v>
      </c>
      <c r="F26" s="180" t="s">
        <v>478</v>
      </c>
      <c r="G26" s="180" t="s">
        <v>215</v>
      </c>
      <c r="H26" s="196" t="s">
        <v>479</v>
      </c>
      <c r="I26" s="178" t="s">
        <v>218</v>
      </c>
      <c r="J26" s="180" t="s">
        <v>278</v>
      </c>
      <c r="K26" s="180" t="s">
        <v>278</v>
      </c>
      <c r="L26" s="202"/>
      <c r="M26" s="201"/>
      <c r="N26" s="181"/>
      <c r="O26" s="201"/>
      <c r="P26" s="201"/>
    </row>
    <row r="27" spans="1:16" hidden="1">
      <c r="A27" s="177" t="s">
        <v>480</v>
      </c>
      <c r="B27" s="199"/>
      <c r="C27" s="251" t="s">
        <v>481</v>
      </c>
      <c r="D27" s="252"/>
      <c r="E27" s="179">
        <v>-1</v>
      </c>
      <c r="F27" s="180" t="s">
        <v>482</v>
      </c>
      <c r="G27" s="180" t="s">
        <v>215</v>
      </c>
      <c r="H27" s="177" t="s">
        <v>305</v>
      </c>
      <c r="I27" s="178" t="s">
        <v>218</v>
      </c>
      <c r="J27" s="180" t="s">
        <v>278</v>
      </c>
      <c r="K27" s="180" t="s">
        <v>278</v>
      </c>
      <c r="L27" s="181"/>
      <c r="M27" s="181"/>
      <c r="N27" s="181"/>
      <c r="O27" s="181"/>
      <c r="P27" s="181"/>
    </row>
    <row r="28" spans="1:16" hidden="1">
      <c r="A28" s="177" t="s">
        <v>483</v>
      </c>
      <c r="B28" s="199" t="s">
        <v>484</v>
      </c>
      <c r="C28" s="250" t="s">
        <v>485</v>
      </c>
      <c r="D28" s="243"/>
      <c r="E28" s="179">
        <v>-1</v>
      </c>
      <c r="F28" s="180" t="s">
        <v>486</v>
      </c>
      <c r="G28" s="180" t="s">
        <v>215</v>
      </c>
      <c r="H28" s="196" t="s">
        <v>487</v>
      </c>
      <c r="I28" s="178" t="s">
        <v>218</v>
      </c>
      <c r="J28" s="180" t="s">
        <v>278</v>
      </c>
      <c r="K28" s="180" t="s">
        <v>278</v>
      </c>
      <c r="L28" s="195"/>
      <c r="M28" s="201"/>
      <c r="N28" s="181"/>
      <c r="O28" s="201"/>
      <c r="P28" s="201"/>
    </row>
    <row r="29" spans="1:16">
      <c r="A29" s="189"/>
      <c r="B29" s="189"/>
      <c r="C29" s="245"/>
      <c r="D29" s="245"/>
      <c r="E29" s="189"/>
      <c r="F29" s="189"/>
      <c r="G29" s="189"/>
      <c r="H29" s="189"/>
      <c r="I29" s="189"/>
      <c r="J29" s="189"/>
      <c r="K29" s="189"/>
      <c r="L29" s="189"/>
      <c r="M29" s="189"/>
      <c r="N29" s="189"/>
      <c r="O29" s="189"/>
      <c r="P29" s="189"/>
    </row>
    <row r="30" spans="1:16" hidden="1">
      <c r="A30" s="177" t="s">
        <v>488</v>
      </c>
      <c r="B30" s="199"/>
      <c r="C30" s="251" t="s">
        <v>489</v>
      </c>
      <c r="D30" s="243"/>
      <c r="E30" s="179">
        <v>-1</v>
      </c>
      <c r="F30" s="181"/>
      <c r="G30" s="180" t="s">
        <v>215</v>
      </c>
      <c r="H30" s="177" t="s">
        <v>305</v>
      </c>
      <c r="I30" s="181"/>
      <c r="J30" s="180" t="s">
        <v>278</v>
      </c>
      <c r="K30" s="180" t="s">
        <v>278</v>
      </c>
      <c r="L30" s="195"/>
      <c r="M30" s="181"/>
      <c r="N30" s="181"/>
      <c r="O30" s="181"/>
      <c r="P30" s="181"/>
    </row>
    <row r="31" spans="1:16" ht="30.75">
      <c r="A31" s="342" t="s">
        <v>490</v>
      </c>
      <c r="B31" s="347"/>
      <c r="C31" s="348" t="s">
        <v>491</v>
      </c>
      <c r="D31" s="348" t="s">
        <v>492</v>
      </c>
      <c r="E31" s="179">
        <v>1</v>
      </c>
      <c r="F31" s="180" t="s">
        <v>493</v>
      </c>
      <c r="G31" s="180" t="s">
        <v>41</v>
      </c>
      <c r="H31" s="180" t="s">
        <v>494</v>
      </c>
      <c r="I31" s="178" t="s">
        <v>218</v>
      </c>
      <c r="J31" s="180" t="s">
        <v>278</v>
      </c>
      <c r="K31" s="180" t="s">
        <v>278</v>
      </c>
      <c r="L31" s="195"/>
      <c r="M31" s="181"/>
      <c r="N31" s="181"/>
      <c r="O31" s="181"/>
      <c r="P31" s="181"/>
    </row>
    <row r="32" spans="1:16" hidden="1">
      <c r="A32" s="177" t="s">
        <v>495</v>
      </c>
      <c r="B32" s="199"/>
      <c r="C32" s="251" t="s">
        <v>496</v>
      </c>
      <c r="D32" s="252"/>
      <c r="E32" s="179">
        <v>-1</v>
      </c>
      <c r="F32" s="180" t="s">
        <v>497</v>
      </c>
      <c r="G32" s="180" t="s">
        <v>215</v>
      </c>
      <c r="H32" s="177" t="s">
        <v>305</v>
      </c>
      <c r="I32" s="178" t="s">
        <v>218</v>
      </c>
      <c r="J32" s="180" t="s">
        <v>278</v>
      </c>
      <c r="K32" s="180" t="s">
        <v>278</v>
      </c>
      <c r="L32" s="181"/>
      <c r="M32" s="181"/>
      <c r="N32" s="181"/>
      <c r="O32" s="181"/>
      <c r="P32" s="181"/>
    </row>
    <row r="33" spans="1:16">
      <c r="A33" s="189"/>
      <c r="B33" s="189"/>
      <c r="C33" s="245"/>
      <c r="D33" s="245"/>
      <c r="E33" s="189"/>
      <c r="F33" s="189"/>
      <c r="G33" s="189"/>
      <c r="H33" s="189"/>
      <c r="I33" s="189"/>
      <c r="J33" s="189"/>
      <c r="K33" s="189"/>
      <c r="L33" s="189"/>
      <c r="M33" s="189"/>
      <c r="N33" s="189"/>
      <c r="O33" s="189"/>
      <c r="P33" s="189"/>
    </row>
    <row r="34" spans="1:16" hidden="1">
      <c r="A34" s="177" t="s">
        <v>498</v>
      </c>
      <c r="B34" s="199"/>
      <c r="C34" s="251" t="s">
        <v>499</v>
      </c>
      <c r="D34" s="252"/>
      <c r="E34" s="179">
        <v>-1</v>
      </c>
      <c r="F34" s="181"/>
      <c r="G34" s="180" t="s">
        <v>41</v>
      </c>
      <c r="H34" s="180" t="s">
        <v>412</v>
      </c>
      <c r="I34" s="181"/>
      <c r="J34" s="180" t="s">
        <v>278</v>
      </c>
      <c r="K34" s="180" t="s">
        <v>278</v>
      </c>
      <c r="L34" s="181"/>
      <c r="M34" s="181"/>
      <c r="N34" s="181"/>
      <c r="O34" s="181"/>
      <c r="P34" s="181"/>
    </row>
    <row r="35" spans="1:16">
      <c r="A35" s="177" t="s">
        <v>500</v>
      </c>
      <c r="B35" s="199"/>
      <c r="C35" s="251" t="s">
        <v>501</v>
      </c>
      <c r="D35" s="251" t="s">
        <v>502</v>
      </c>
      <c r="E35" s="179">
        <v>1</v>
      </c>
      <c r="F35" s="180" t="s">
        <v>503</v>
      </c>
      <c r="G35" s="180" t="s">
        <v>41</v>
      </c>
      <c r="H35" s="180" t="s">
        <v>412</v>
      </c>
      <c r="I35" s="178" t="s">
        <v>218</v>
      </c>
      <c r="J35" s="180" t="s">
        <v>278</v>
      </c>
      <c r="K35" s="180" t="s">
        <v>278</v>
      </c>
      <c r="L35" s="181"/>
      <c r="M35" s="181"/>
      <c r="N35" s="181"/>
      <c r="O35" s="181"/>
      <c r="P35" s="181"/>
    </row>
    <row r="36" spans="1:16" hidden="1">
      <c r="A36" s="177" t="s">
        <v>504</v>
      </c>
      <c r="B36" s="199"/>
      <c r="C36" s="251" t="s">
        <v>505</v>
      </c>
      <c r="D36" s="252"/>
      <c r="E36" s="179">
        <v>-1</v>
      </c>
      <c r="F36" s="180" t="s">
        <v>506</v>
      </c>
      <c r="G36" s="180" t="s">
        <v>215</v>
      </c>
      <c r="H36" s="177" t="s">
        <v>305</v>
      </c>
      <c r="I36" s="178" t="s">
        <v>218</v>
      </c>
      <c r="J36" s="180" t="s">
        <v>278</v>
      </c>
      <c r="K36" s="180" t="s">
        <v>278</v>
      </c>
      <c r="L36" s="181"/>
      <c r="M36" s="181"/>
      <c r="N36" s="181"/>
      <c r="O36" s="181"/>
      <c r="P36" s="181"/>
    </row>
    <row r="37" spans="1:16">
      <c r="A37" s="178" t="s">
        <v>507</v>
      </c>
      <c r="B37" s="200"/>
      <c r="C37" s="272" t="s">
        <v>508</v>
      </c>
      <c r="D37" s="272" t="s">
        <v>509</v>
      </c>
      <c r="E37" s="203">
        <v>1</v>
      </c>
      <c r="F37" s="197" t="s">
        <v>510</v>
      </c>
      <c r="G37" s="197" t="s">
        <v>215</v>
      </c>
      <c r="H37" s="177" t="s">
        <v>305</v>
      </c>
      <c r="I37" s="178" t="s">
        <v>218</v>
      </c>
      <c r="J37" s="197" t="s">
        <v>278</v>
      </c>
      <c r="K37" s="197" t="s">
        <v>278</v>
      </c>
      <c r="L37" s="181"/>
      <c r="M37" s="181"/>
      <c r="N37" s="181"/>
      <c r="O37" s="181"/>
      <c r="P37" s="181"/>
    </row>
    <row r="38" spans="1:16" hidden="1">
      <c r="A38" s="177" t="s">
        <v>511</v>
      </c>
      <c r="B38" s="199"/>
      <c r="C38" s="251" t="s">
        <v>512</v>
      </c>
      <c r="D38" s="252"/>
      <c r="E38" s="179">
        <v>-1</v>
      </c>
      <c r="F38" s="180" t="s">
        <v>513</v>
      </c>
      <c r="G38" s="180" t="s">
        <v>215</v>
      </c>
      <c r="H38" s="177" t="s">
        <v>305</v>
      </c>
      <c r="I38" s="178" t="s">
        <v>218</v>
      </c>
      <c r="J38" s="180" t="s">
        <v>278</v>
      </c>
      <c r="K38" s="180" t="s">
        <v>278</v>
      </c>
      <c r="L38" s="181"/>
      <c r="M38" s="181"/>
      <c r="N38" s="181"/>
      <c r="O38" s="181"/>
      <c r="P38" s="181"/>
    </row>
    <row r="39" spans="1:16" hidden="1">
      <c r="A39" s="177" t="s">
        <v>514</v>
      </c>
      <c r="B39" s="199"/>
      <c r="C39" s="251" t="s">
        <v>515</v>
      </c>
      <c r="D39" s="252"/>
      <c r="E39" s="179">
        <v>-1</v>
      </c>
      <c r="F39" s="180" t="s">
        <v>516</v>
      </c>
      <c r="G39" s="180" t="s">
        <v>215</v>
      </c>
      <c r="H39" s="177" t="s">
        <v>305</v>
      </c>
      <c r="I39" s="178" t="s">
        <v>218</v>
      </c>
      <c r="J39" s="180" t="s">
        <v>278</v>
      </c>
      <c r="K39" s="180" t="s">
        <v>278</v>
      </c>
      <c r="L39" s="181"/>
      <c r="M39" s="181"/>
      <c r="N39" s="181"/>
      <c r="O39" s="181"/>
      <c r="P39" s="181"/>
    </row>
    <row r="40" spans="1:16">
      <c r="A40" s="189"/>
      <c r="B40" s="189"/>
      <c r="C40" s="245"/>
      <c r="D40" s="245"/>
      <c r="E40" s="189"/>
      <c r="F40" s="189"/>
      <c r="G40" s="189"/>
      <c r="H40" s="189"/>
      <c r="I40" s="189"/>
      <c r="J40" s="189"/>
      <c r="K40" s="189"/>
      <c r="L40" s="189"/>
      <c r="M40" s="189"/>
      <c r="N40" s="189"/>
      <c r="O40" s="189"/>
      <c r="P40" s="189"/>
    </row>
    <row r="41" spans="1:16" ht="30.75">
      <c r="A41" s="177" t="s">
        <v>517</v>
      </c>
      <c r="B41" s="199"/>
      <c r="C41" s="348" t="s">
        <v>518</v>
      </c>
      <c r="D41" s="348" t="s">
        <v>519</v>
      </c>
      <c r="E41" s="179">
        <v>1</v>
      </c>
      <c r="F41" s="180" t="s">
        <v>520</v>
      </c>
      <c r="G41" s="180" t="s">
        <v>215</v>
      </c>
      <c r="H41" s="222" t="s">
        <v>521</v>
      </c>
      <c r="I41" s="178" t="s">
        <v>218</v>
      </c>
      <c r="J41" s="180" t="s">
        <v>278</v>
      </c>
      <c r="K41" s="180" t="s">
        <v>278</v>
      </c>
      <c r="L41" s="181"/>
      <c r="M41" s="181"/>
      <c r="N41" s="181"/>
      <c r="O41" s="181"/>
      <c r="P41" s="181"/>
    </row>
    <row r="42" spans="1:16" ht="15.75" hidden="1" customHeight="1">
      <c r="A42" s="177" t="s">
        <v>522</v>
      </c>
      <c r="B42" s="199"/>
      <c r="C42" s="177" t="s">
        <v>523</v>
      </c>
      <c r="D42" s="181"/>
      <c r="E42" s="179">
        <v>-1</v>
      </c>
      <c r="F42" s="204" t="s">
        <v>524</v>
      </c>
      <c r="G42" s="180" t="s">
        <v>525</v>
      </c>
      <c r="H42" s="198" t="s">
        <v>526</v>
      </c>
      <c r="I42" s="181"/>
      <c r="J42" s="180" t="s">
        <v>278</v>
      </c>
      <c r="K42" s="180" t="s">
        <v>278</v>
      </c>
      <c r="L42" s="181"/>
      <c r="M42" s="181"/>
      <c r="N42" s="181"/>
      <c r="O42" s="181"/>
      <c r="P42" s="181"/>
    </row>
    <row r="43" spans="1:16" ht="15.75" customHeight="1">
      <c r="A43" s="84"/>
      <c r="B43" s="84"/>
      <c r="C43" s="84"/>
      <c r="D43" s="84"/>
      <c r="E43" s="84"/>
      <c r="F43" s="84"/>
      <c r="G43" s="84"/>
      <c r="H43" s="84"/>
      <c r="I43" s="84"/>
      <c r="J43" s="84"/>
      <c r="K43" s="84"/>
      <c r="L43" s="84"/>
      <c r="M43" s="84"/>
      <c r="N43" s="84"/>
      <c r="O43" s="84"/>
      <c r="P43" s="84"/>
    </row>
    <row r="44" spans="1:16" ht="15.75" hidden="1" customHeight="1">
      <c r="A44" s="177" t="s">
        <v>527</v>
      </c>
      <c r="B44" s="199"/>
      <c r="C44" s="177" t="s">
        <v>528</v>
      </c>
      <c r="D44" s="181"/>
      <c r="E44" s="179">
        <v>-1</v>
      </c>
      <c r="F44" s="205"/>
      <c r="G44" s="180" t="s">
        <v>215</v>
      </c>
      <c r="H44" s="177" t="s">
        <v>305</v>
      </c>
      <c r="I44" s="181"/>
      <c r="J44" s="180" t="s">
        <v>278</v>
      </c>
      <c r="K44" s="180" t="s">
        <v>278</v>
      </c>
      <c r="L44" s="181"/>
      <c r="M44" s="181"/>
      <c r="N44" s="181"/>
      <c r="O44" s="181"/>
      <c r="P44" s="181"/>
    </row>
    <row r="45" spans="1:16" ht="15.75" hidden="1" customHeight="1">
      <c r="A45" s="177" t="s">
        <v>529</v>
      </c>
      <c r="B45" s="199"/>
      <c r="C45" s="177" t="s">
        <v>530</v>
      </c>
      <c r="D45" s="181"/>
      <c r="E45" s="179">
        <v>-1</v>
      </c>
      <c r="F45" s="205"/>
      <c r="G45" s="180" t="s">
        <v>41</v>
      </c>
      <c r="H45" s="180" t="s">
        <v>412</v>
      </c>
      <c r="I45" s="181"/>
      <c r="J45" s="180" t="s">
        <v>278</v>
      </c>
      <c r="K45" s="180" t="s">
        <v>278</v>
      </c>
      <c r="L45" s="181"/>
      <c r="M45" s="181"/>
      <c r="N45" s="181"/>
      <c r="O45" s="181"/>
      <c r="P45" s="181"/>
    </row>
    <row r="46" spans="1:16" ht="15.75" hidden="1" customHeight="1">
      <c r="A46" s="177" t="s">
        <v>531</v>
      </c>
      <c r="B46" s="199"/>
      <c r="C46" s="177" t="s">
        <v>532</v>
      </c>
      <c r="D46" s="181"/>
      <c r="E46" s="179">
        <v>-1</v>
      </c>
      <c r="F46" s="205" t="s">
        <v>533</v>
      </c>
      <c r="G46" s="180" t="s">
        <v>215</v>
      </c>
      <c r="H46" s="198" t="s">
        <v>526</v>
      </c>
      <c r="I46" s="181"/>
      <c r="J46" s="180" t="s">
        <v>278</v>
      </c>
      <c r="K46" s="180" t="s">
        <v>278</v>
      </c>
      <c r="L46" s="181"/>
      <c r="M46" s="181"/>
      <c r="N46" s="181"/>
      <c r="O46" s="181"/>
      <c r="P46" s="181"/>
    </row>
    <row r="47" spans="1:16" ht="15.75" hidden="1" customHeight="1">
      <c r="A47" s="84"/>
      <c r="B47" s="84"/>
      <c r="C47" s="84"/>
      <c r="D47" s="84"/>
      <c r="E47" s="84"/>
      <c r="F47" s="84"/>
      <c r="G47" s="84"/>
      <c r="H47" s="84"/>
      <c r="I47" s="84"/>
      <c r="J47" s="84"/>
      <c r="K47" s="84"/>
      <c r="L47" s="84"/>
      <c r="M47" s="84"/>
      <c r="N47" s="84"/>
      <c r="O47" s="84"/>
      <c r="P47" s="84"/>
    </row>
    <row r="48" spans="1:16" ht="15.75" hidden="1" customHeight="1">
      <c r="A48" s="84"/>
      <c r="B48" s="84"/>
      <c r="C48" s="84"/>
      <c r="D48" s="84"/>
      <c r="E48" s="84"/>
      <c r="F48" s="84"/>
      <c r="G48" s="84"/>
      <c r="H48" s="84"/>
      <c r="I48" s="84"/>
      <c r="J48" s="84"/>
      <c r="K48" s="84"/>
      <c r="L48" s="84"/>
      <c r="M48" s="84"/>
      <c r="N48" s="84"/>
      <c r="O48" s="84"/>
      <c r="P48" s="84"/>
    </row>
    <row r="49" spans="1:16" ht="15.75" hidden="1" customHeight="1">
      <c r="A49" s="84"/>
      <c r="B49" s="84"/>
      <c r="C49" s="84"/>
      <c r="D49" s="84"/>
      <c r="E49" s="84"/>
      <c r="F49" s="84"/>
      <c r="G49" s="84"/>
      <c r="H49" s="84"/>
      <c r="I49" s="84"/>
      <c r="J49" s="84"/>
      <c r="K49" s="84"/>
      <c r="L49" s="84"/>
      <c r="M49" s="84"/>
      <c r="N49" s="84"/>
      <c r="O49" s="84"/>
      <c r="P49" s="84"/>
    </row>
    <row r="50" spans="1:16" ht="15.75" hidden="1" customHeight="1">
      <c r="A50" s="84"/>
      <c r="B50" s="84"/>
      <c r="C50" s="84"/>
      <c r="D50" s="84"/>
      <c r="E50" s="84"/>
      <c r="F50" s="84"/>
      <c r="G50" s="84"/>
      <c r="H50" s="84"/>
      <c r="I50" s="84"/>
      <c r="J50" s="84"/>
      <c r="K50" s="84"/>
      <c r="L50" s="84"/>
      <c r="M50" s="84"/>
      <c r="N50" s="84"/>
      <c r="O50" s="84"/>
      <c r="P50" s="84"/>
    </row>
    <row r="51" spans="1:16" ht="15.75" hidden="1" customHeight="1">
      <c r="A51" s="84"/>
      <c r="B51" s="84"/>
      <c r="C51" s="84"/>
      <c r="D51" s="84"/>
      <c r="E51" s="84"/>
      <c r="F51" s="84"/>
      <c r="G51" s="84"/>
      <c r="H51" s="84"/>
      <c r="I51" s="84"/>
      <c r="J51" s="84"/>
      <c r="K51" s="84"/>
      <c r="L51" s="84"/>
      <c r="M51" s="84"/>
      <c r="N51" s="84"/>
      <c r="O51" s="84"/>
      <c r="P51" s="84"/>
    </row>
    <row r="52" spans="1:16" ht="15.75" hidden="1" customHeight="1">
      <c r="A52" s="84"/>
      <c r="B52" s="84"/>
      <c r="C52" s="84"/>
      <c r="D52" s="84"/>
      <c r="E52" s="84"/>
      <c r="F52" s="84"/>
      <c r="G52" s="84"/>
      <c r="H52" s="84"/>
      <c r="I52" s="84"/>
      <c r="J52" s="84"/>
      <c r="K52" s="84"/>
      <c r="L52" s="84"/>
      <c r="M52" s="84"/>
      <c r="N52" s="84"/>
      <c r="O52" s="84"/>
      <c r="P52" s="84"/>
    </row>
    <row r="53" spans="1:16" ht="15.75" hidden="1" customHeight="1">
      <c r="A53" s="84"/>
      <c r="B53" s="84"/>
      <c r="C53" s="84"/>
      <c r="D53" s="84"/>
      <c r="E53" s="84"/>
      <c r="F53" s="84"/>
      <c r="G53" s="84"/>
      <c r="H53" s="84"/>
      <c r="I53" s="84"/>
      <c r="J53" s="84"/>
      <c r="K53" s="84"/>
      <c r="L53" s="84"/>
      <c r="M53" s="84"/>
      <c r="N53" s="84"/>
      <c r="O53" s="84"/>
      <c r="P53" s="84"/>
    </row>
    <row r="54" spans="1:16" ht="15.75" hidden="1" customHeight="1">
      <c r="A54" s="84"/>
      <c r="B54" s="84"/>
      <c r="C54" s="84"/>
      <c r="D54" s="84"/>
      <c r="E54" s="84"/>
      <c r="F54" s="84"/>
      <c r="G54" s="84"/>
      <c r="H54" s="84"/>
      <c r="I54" s="84"/>
      <c r="J54" s="84"/>
      <c r="K54" s="84"/>
      <c r="L54" s="84"/>
      <c r="M54" s="84"/>
      <c r="N54" s="84"/>
      <c r="O54" s="84"/>
      <c r="P54" s="84"/>
    </row>
    <row r="55" spans="1:16" ht="15.75" hidden="1" customHeight="1">
      <c r="A55" s="84"/>
      <c r="B55" s="84"/>
      <c r="C55" s="84"/>
      <c r="D55" s="84"/>
      <c r="E55" s="84"/>
      <c r="F55" s="84"/>
      <c r="G55" s="84"/>
      <c r="H55" s="84"/>
      <c r="I55" s="84"/>
      <c r="J55" s="84"/>
      <c r="K55" s="84"/>
      <c r="L55" s="84"/>
      <c r="M55" s="84"/>
      <c r="N55" s="84"/>
      <c r="O55" s="84"/>
      <c r="P55" s="84"/>
    </row>
    <row r="56" spans="1:16" ht="15.75" hidden="1" customHeight="1">
      <c r="A56" s="84"/>
      <c r="B56" s="84"/>
      <c r="C56" s="84"/>
      <c r="D56" s="84"/>
      <c r="E56" s="84"/>
      <c r="F56" s="84"/>
      <c r="G56" s="84"/>
      <c r="H56" s="84"/>
      <c r="I56" s="84"/>
      <c r="J56" s="84"/>
      <c r="K56" s="84"/>
      <c r="L56" s="84"/>
      <c r="M56" s="84"/>
      <c r="N56" s="84"/>
      <c r="O56" s="84"/>
      <c r="P56" s="84"/>
    </row>
    <row r="57" spans="1:16" ht="15.75" hidden="1" customHeight="1">
      <c r="A57" s="84"/>
      <c r="B57" s="84"/>
      <c r="C57" s="84"/>
      <c r="D57" s="84"/>
      <c r="E57" s="84"/>
      <c r="F57" s="84"/>
      <c r="G57" s="84"/>
      <c r="H57" s="84"/>
      <c r="I57" s="84"/>
      <c r="J57" s="84"/>
      <c r="K57" s="84"/>
      <c r="L57" s="84"/>
      <c r="M57" s="84"/>
      <c r="N57" s="84"/>
      <c r="O57" s="84"/>
      <c r="P57" s="84"/>
    </row>
    <row r="58" spans="1:16" ht="15.75" hidden="1" customHeight="1">
      <c r="A58" s="84"/>
      <c r="B58" s="84"/>
      <c r="C58" s="84"/>
      <c r="D58" s="84"/>
      <c r="E58" s="84"/>
      <c r="F58" s="84"/>
      <c r="G58" s="84"/>
      <c r="H58" s="84"/>
      <c r="I58" s="84"/>
      <c r="J58" s="84"/>
      <c r="K58" s="84"/>
      <c r="L58" s="84"/>
      <c r="M58" s="84"/>
      <c r="N58" s="84"/>
      <c r="O58" s="84"/>
      <c r="P58" s="84"/>
    </row>
    <row r="59" spans="1:16" ht="15.75" hidden="1" customHeight="1">
      <c r="A59" s="84"/>
      <c r="B59" s="84"/>
      <c r="C59" s="84"/>
      <c r="D59" s="84"/>
      <c r="E59" s="84"/>
      <c r="F59" s="84"/>
      <c r="G59" s="84"/>
      <c r="H59" s="84"/>
      <c r="I59" s="84"/>
      <c r="J59" s="84"/>
      <c r="K59" s="84"/>
      <c r="L59" s="84"/>
      <c r="M59" s="84"/>
      <c r="N59" s="84"/>
      <c r="O59" s="84"/>
      <c r="P59" s="84"/>
    </row>
    <row r="60" spans="1:16" ht="15.75" hidden="1" customHeight="1">
      <c r="A60" s="84"/>
      <c r="B60" s="84"/>
      <c r="C60" s="84"/>
      <c r="D60" s="84"/>
      <c r="E60" s="84"/>
      <c r="F60" s="84"/>
      <c r="G60" s="84"/>
      <c r="H60" s="84"/>
      <c r="I60" s="84"/>
      <c r="J60" s="84"/>
      <c r="K60" s="84"/>
      <c r="L60" s="84"/>
      <c r="M60" s="84"/>
      <c r="N60" s="84"/>
      <c r="O60" s="84"/>
      <c r="P60" s="84"/>
    </row>
    <row r="61" spans="1:16" ht="15.75" hidden="1" customHeight="1">
      <c r="A61" s="84"/>
      <c r="B61" s="84"/>
      <c r="C61" s="84"/>
      <c r="D61" s="84"/>
      <c r="E61" s="84"/>
      <c r="F61" s="84"/>
      <c r="G61" s="84"/>
      <c r="H61" s="84"/>
      <c r="I61" s="84"/>
      <c r="J61" s="84"/>
      <c r="K61" s="84"/>
      <c r="L61" s="84"/>
      <c r="M61" s="84"/>
      <c r="N61" s="84"/>
      <c r="O61" s="84"/>
      <c r="P61" s="84"/>
    </row>
    <row r="62" spans="1:16" ht="15.75" hidden="1" customHeight="1">
      <c r="A62" s="84"/>
      <c r="B62" s="84"/>
      <c r="C62" s="84"/>
      <c r="D62" s="84"/>
      <c r="E62" s="84"/>
      <c r="F62" s="84"/>
      <c r="G62" s="84"/>
      <c r="H62" s="84"/>
      <c r="I62" s="84"/>
      <c r="J62" s="84"/>
      <c r="K62" s="84"/>
      <c r="L62" s="84"/>
      <c r="M62" s="84"/>
      <c r="N62" s="84"/>
      <c r="O62" s="84"/>
      <c r="P62" s="84"/>
    </row>
    <row r="63" spans="1:16" ht="15.75" hidden="1" customHeight="1">
      <c r="A63" s="84"/>
      <c r="B63" s="84"/>
      <c r="C63" s="84"/>
      <c r="D63" s="84"/>
      <c r="E63" s="84"/>
      <c r="F63" s="84"/>
      <c r="G63" s="84"/>
      <c r="H63" s="84"/>
      <c r="I63" s="84"/>
      <c r="J63" s="84"/>
      <c r="K63" s="84"/>
      <c r="L63" s="84"/>
      <c r="M63" s="84"/>
      <c r="N63" s="84"/>
      <c r="O63" s="84"/>
      <c r="P63" s="84"/>
    </row>
    <row r="64" spans="1:16" ht="15.75" hidden="1" customHeight="1">
      <c r="A64" s="84"/>
      <c r="B64" s="84"/>
      <c r="C64" s="84"/>
      <c r="D64" s="84"/>
      <c r="E64" s="84"/>
      <c r="F64" s="84"/>
      <c r="G64" s="84"/>
      <c r="H64" s="84"/>
      <c r="I64" s="84"/>
      <c r="J64" s="84"/>
      <c r="K64" s="84"/>
      <c r="L64" s="84"/>
      <c r="M64" s="84"/>
      <c r="N64" s="84"/>
      <c r="O64" s="84"/>
      <c r="P64" s="84"/>
    </row>
    <row r="65" spans="1:16" ht="15.75" hidden="1" customHeight="1">
      <c r="A65" s="84"/>
      <c r="B65" s="84"/>
      <c r="C65" s="84"/>
      <c r="D65" s="84"/>
      <c r="E65" s="84"/>
      <c r="F65" s="84"/>
      <c r="G65" s="84"/>
      <c r="H65" s="84"/>
      <c r="I65" s="84"/>
      <c r="J65" s="84"/>
      <c r="K65" s="84"/>
      <c r="L65" s="84"/>
      <c r="M65" s="84"/>
      <c r="N65" s="84"/>
      <c r="O65" s="84"/>
      <c r="P65" s="84"/>
    </row>
    <row r="66" spans="1:16" ht="15.75" hidden="1" customHeight="1">
      <c r="A66" s="84"/>
      <c r="B66" s="84"/>
      <c r="C66" s="84"/>
      <c r="D66" s="84"/>
      <c r="E66" s="84"/>
      <c r="F66" s="84"/>
      <c r="G66" s="84"/>
      <c r="H66" s="84"/>
      <c r="I66" s="84"/>
      <c r="J66" s="84"/>
      <c r="K66" s="84"/>
      <c r="L66" s="84"/>
      <c r="M66" s="84"/>
      <c r="N66" s="84"/>
      <c r="O66" s="84"/>
      <c r="P66" s="84"/>
    </row>
    <row r="67" spans="1:16" ht="15.75" hidden="1" customHeight="1">
      <c r="A67" s="84"/>
      <c r="B67" s="84"/>
      <c r="C67" s="84"/>
      <c r="D67" s="84"/>
      <c r="E67" s="84"/>
      <c r="F67" s="84"/>
      <c r="G67" s="84"/>
      <c r="H67" s="84"/>
      <c r="I67" s="84"/>
      <c r="J67" s="84"/>
      <c r="K67" s="84"/>
      <c r="L67" s="84"/>
      <c r="M67" s="84"/>
      <c r="N67" s="84"/>
      <c r="O67" s="84"/>
      <c r="P67" s="84"/>
    </row>
    <row r="68" spans="1:16" ht="15.75" hidden="1" customHeight="1">
      <c r="A68" s="84"/>
      <c r="B68" s="84"/>
      <c r="C68" s="84"/>
      <c r="D68" s="84"/>
      <c r="E68" s="84"/>
      <c r="F68" s="84"/>
      <c r="G68" s="84"/>
      <c r="H68" s="84"/>
      <c r="I68" s="84"/>
      <c r="J68" s="84"/>
      <c r="K68" s="84"/>
      <c r="L68" s="84"/>
      <c r="M68" s="84"/>
      <c r="N68" s="84"/>
      <c r="O68" s="84"/>
      <c r="P68" s="84"/>
    </row>
    <row r="69" spans="1:16" ht="15.75" hidden="1" customHeight="1">
      <c r="A69" s="84"/>
      <c r="B69" s="84"/>
      <c r="C69" s="84"/>
      <c r="D69" s="84"/>
      <c r="E69" s="84"/>
      <c r="F69" s="84"/>
      <c r="G69" s="84"/>
      <c r="H69" s="84"/>
      <c r="I69" s="84"/>
      <c r="J69" s="84"/>
      <c r="K69" s="84"/>
      <c r="L69" s="84"/>
      <c r="M69" s="84"/>
      <c r="N69" s="84"/>
      <c r="O69" s="84"/>
      <c r="P69" s="84"/>
    </row>
    <row r="70" spans="1:16" ht="15.75" hidden="1" customHeight="1">
      <c r="A70" s="84"/>
      <c r="B70" s="84"/>
      <c r="C70" s="84"/>
      <c r="D70" s="84"/>
      <c r="E70" s="84"/>
      <c r="F70" s="84"/>
      <c r="G70" s="84"/>
      <c r="H70" s="84"/>
      <c r="I70" s="84"/>
      <c r="J70" s="84"/>
      <c r="K70" s="84"/>
      <c r="L70" s="84"/>
      <c r="M70" s="84"/>
      <c r="N70" s="84"/>
      <c r="O70" s="84"/>
      <c r="P70" s="84"/>
    </row>
    <row r="71" spans="1:16" ht="15.75" hidden="1" customHeight="1">
      <c r="A71" s="84"/>
      <c r="B71" s="84"/>
      <c r="C71" s="84"/>
      <c r="D71" s="84"/>
      <c r="E71" s="84"/>
      <c r="F71" s="84"/>
      <c r="G71" s="84"/>
      <c r="H71" s="84"/>
      <c r="I71" s="84"/>
      <c r="J71" s="84"/>
      <c r="K71" s="84"/>
      <c r="L71" s="84"/>
      <c r="M71" s="84"/>
      <c r="N71" s="84"/>
      <c r="O71" s="84"/>
      <c r="P71" s="84"/>
    </row>
    <row r="72" spans="1:16" ht="15.75" hidden="1" customHeight="1">
      <c r="A72" s="84"/>
      <c r="B72" s="84"/>
      <c r="C72" s="84"/>
      <c r="D72" s="84"/>
      <c r="E72" s="84"/>
      <c r="F72" s="84"/>
      <c r="G72" s="84"/>
      <c r="H72" s="84"/>
      <c r="I72" s="84"/>
      <c r="J72" s="84"/>
      <c r="K72" s="84"/>
      <c r="L72" s="84"/>
      <c r="M72" s="84"/>
      <c r="N72" s="84"/>
      <c r="O72" s="84"/>
      <c r="P72" s="84"/>
    </row>
    <row r="73" spans="1:16" ht="15.75" hidden="1" customHeight="1">
      <c r="A73" s="84"/>
      <c r="B73" s="84"/>
      <c r="C73" s="84"/>
      <c r="D73" s="84"/>
      <c r="E73" s="84"/>
      <c r="F73" s="84"/>
      <c r="G73" s="84"/>
      <c r="H73" s="84"/>
      <c r="I73" s="84"/>
      <c r="J73" s="84"/>
      <c r="K73" s="84"/>
      <c r="L73" s="84"/>
      <c r="M73" s="84"/>
      <c r="N73" s="84"/>
      <c r="O73" s="84"/>
      <c r="P73" s="84"/>
    </row>
    <row r="74" spans="1:16" ht="15.75" hidden="1" customHeight="1">
      <c r="A74" s="84"/>
      <c r="B74" s="84"/>
      <c r="C74" s="84"/>
      <c r="D74" s="84"/>
      <c r="E74" s="84"/>
      <c r="F74" s="84"/>
      <c r="G74" s="84"/>
      <c r="H74" s="84"/>
      <c r="I74" s="84"/>
      <c r="J74" s="84"/>
      <c r="K74" s="84"/>
      <c r="L74" s="84"/>
      <c r="M74" s="84"/>
      <c r="N74" s="84"/>
      <c r="O74" s="84"/>
      <c r="P74" s="84"/>
    </row>
    <row r="75" spans="1:16" ht="15.75" hidden="1" customHeight="1">
      <c r="A75" s="84"/>
      <c r="B75" s="84"/>
      <c r="C75" s="84"/>
      <c r="D75" s="84"/>
      <c r="E75" s="84"/>
      <c r="F75" s="84"/>
      <c r="G75" s="84"/>
      <c r="H75" s="84"/>
      <c r="I75" s="84"/>
      <c r="J75" s="84"/>
      <c r="K75" s="84"/>
      <c r="L75" s="84"/>
      <c r="M75" s="84"/>
      <c r="N75" s="84"/>
      <c r="O75" s="84"/>
      <c r="P75" s="84"/>
    </row>
    <row r="76" spans="1:16" ht="15.75" hidden="1" customHeight="1">
      <c r="A76" s="84"/>
      <c r="B76" s="84"/>
      <c r="C76" s="84"/>
      <c r="D76" s="84"/>
      <c r="E76" s="84"/>
      <c r="F76" s="84"/>
      <c r="G76" s="84"/>
      <c r="H76" s="84"/>
      <c r="I76" s="84"/>
      <c r="J76" s="84"/>
      <c r="K76" s="84"/>
      <c r="L76" s="84"/>
      <c r="M76" s="84"/>
      <c r="N76" s="84"/>
      <c r="O76" s="84"/>
      <c r="P76" s="84"/>
    </row>
    <row r="77" spans="1:16" ht="15.75" hidden="1" customHeight="1">
      <c r="A77" s="84"/>
      <c r="B77" s="84"/>
      <c r="C77" s="84"/>
      <c r="D77" s="84"/>
      <c r="E77" s="84"/>
      <c r="F77" s="84"/>
      <c r="G77" s="84"/>
      <c r="H77" s="84"/>
      <c r="I77" s="84"/>
      <c r="J77" s="84"/>
      <c r="K77" s="84"/>
      <c r="L77" s="84"/>
      <c r="M77" s="84"/>
      <c r="N77" s="84"/>
      <c r="O77" s="84"/>
      <c r="P77" s="84"/>
    </row>
    <row r="78" spans="1:16" ht="15.75" hidden="1" customHeight="1">
      <c r="A78" s="84"/>
      <c r="B78" s="84"/>
      <c r="C78" s="84"/>
      <c r="D78" s="84"/>
      <c r="E78" s="84"/>
      <c r="F78" s="84"/>
      <c r="G78" s="84"/>
      <c r="H78" s="84"/>
      <c r="I78" s="84"/>
      <c r="J78" s="84"/>
      <c r="K78" s="84"/>
      <c r="L78" s="84"/>
      <c r="M78" s="84"/>
      <c r="N78" s="84"/>
      <c r="O78" s="84"/>
      <c r="P78" s="84"/>
    </row>
    <row r="79" spans="1:16" ht="15.75" hidden="1" customHeight="1">
      <c r="A79" s="84"/>
      <c r="B79" s="84"/>
      <c r="C79" s="84"/>
      <c r="D79" s="84"/>
      <c r="E79" s="84"/>
      <c r="F79" s="84"/>
      <c r="G79" s="84"/>
      <c r="H79" s="84"/>
      <c r="I79" s="84"/>
      <c r="J79" s="84"/>
      <c r="K79" s="84"/>
      <c r="L79" s="84"/>
      <c r="M79" s="84"/>
      <c r="N79" s="84"/>
      <c r="O79" s="84"/>
      <c r="P79" s="84"/>
    </row>
    <row r="80" spans="1:16" ht="15.75" hidden="1" customHeight="1">
      <c r="A80" s="84"/>
      <c r="B80" s="84"/>
      <c r="C80" s="84"/>
      <c r="D80" s="84"/>
      <c r="E80" s="84"/>
      <c r="F80" s="84"/>
      <c r="G80" s="84"/>
      <c r="H80" s="84"/>
      <c r="I80" s="84"/>
      <c r="J80" s="84"/>
      <c r="K80" s="84"/>
      <c r="L80" s="84"/>
      <c r="M80" s="84"/>
      <c r="N80" s="84"/>
      <c r="O80" s="84"/>
      <c r="P80" s="84"/>
    </row>
    <row r="81" spans="1:16" ht="15.75" hidden="1" customHeight="1">
      <c r="A81" s="84"/>
      <c r="B81" s="84"/>
      <c r="C81" s="84"/>
      <c r="D81" s="84"/>
      <c r="E81" s="84"/>
      <c r="F81" s="84"/>
      <c r="G81" s="84"/>
      <c r="H81" s="84"/>
      <c r="I81" s="84"/>
      <c r="J81" s="84"/>
      <c r="K81" s="84"/>
      <c r="L81" s="84"/>
      <c r="M81" s="84"/>
      <c r="N81" s="84"/>
      <c r="O81" s="84"/>
      <c r="P81" s="84"/>
    </row>
    <row r="82" spans="1:16" ht="15.75" hidden="1" customHeight="1">
      <c r="A82" s="84"/>
      <c r="B82" s="84"/>
      <c r="C82" s="84"/>
      <c r="D82" s="84"/>
      <c r="E82" s="84"/>
      <c r="F82" s="84"/>
      <c r="G82" s="84"/>
      <c r="H82" s="84"/>
      <c r="I82" s="84"/>
      <c r="J82" s="84"/>
      <c r="K82" s="84"/>
      <c r="L82" s="84"/>
      <c r="M82" s="84"/>
      <c r="N82" s="84"/>
      <c r="O82" s="84"/>
      <c r="P82" s="84"/>
    </row>
    <row r="83" spans="1:16" ht="15.75" hidden="1" customHeight="1">
      <c r="A83" s="84"/>
      <c r="B83" s="84"/>
      <c r="C83" s="84"/>
      <c r="D83" s="84"/>
      <c r="E83" s="84"/>
      <c r="F83" s="84"/>
      <c r="G83" s="84"/>
      <c r="H83" s="84"/>
      <c r="I83" s="84"/>
      <c r="J83" s="84"/>
      <c r="K83" s="84"/>
      <c r="L83" s="84"/>
      <c r="M83" s="84"/>
      <c r="N83" s="84"/>
      <c r="O83" s="84"/>
      <c r="P83" s="84"/>
    </row>
    <row r="84" spans="1:16" ht="15.75" hidden="1" customHeight="1">
      <c r="A84" s="84"/>
      <c r="B84" s="84"/>
      <c r="C84" s="84"/>
      <c r="D84" s="84"/>
      <c r="E84" s="84"/>
      <c r="F84" s="84"/>
      <c r="G84" s="84"/>
      <c r="H84" s="84"/>
      <c r="I84" s="84"/>
      <c r="J84" s="84"/>
      <c r="K84" s="84"/>
      <c r="L84" s="84"/>
      <c r="M84" s="84"/>
      <c r="N84" s="84"/>
      <c r="O84" s="84"/>
      <c r="P84" s="84"/>
    </row>
    <row r="85" spans="1:16" ht="15.75" hidden="1" customHeight="1">
      <c r="A85" s="84"/>
      <c r="B85" s="84"/>
      <c r="C85" s="84"/>
      <c r="D85" s="84"/>
      <c r="E85" s="84"/>
      <c r="F85" s="84"/>
      <c r="G85" s="84"/>
      <c r="H85" s="84"/>
      <c r="I85" s="84"/>
      <c r="J85" s="84"/>
      <c r="K85" s="84"/>
      <c r="L85" s="84"/>
      <c r="M85" s="84"/>
      <c r="N85" s="84"/>
      <c r="O85" s="84"/>
      <c r="P85" s="84"/>
    </row>
    <row r="86" spans="1:16" ht="15.75" hidden="1" customHeight="1">
      <c r="A86" s="84"/>
      <c r="B86" s="84"/>
      <c r="C86" s="84"/>
      <c r="D86" s="84"/>
      <c r="E86" s="84"/>
      <c r="F86" s="84"/>
      <c r="G86" s="84"/>
      <c r="H86" s="84"/>
      <c r="I86" s="84"/>
      <c r="J86" s="84"/>
      <c r="K86" s="84"/>
      <c r="L86" s="84"/>
      <c r="M86" s="84"/>
      <c r="N86" s="84"/>
      <c r="O86" s="84"/>
      <c r="P86" s="84"/>
    </row>
    <row r="87" spans="1:16" ht="15.75" hidden="1" customHeight="1">
      <c r="A87" s="84"/>
      <c r="B87" s="84"/>
      <c r="C87" s="84"/>
      <c r="D87" s="84"/>
      <c r="E87" s="84"/>
      <c r="F87" s="84"/>
      <c r="G87" s="84"/>
      <c r="H87" s="84"/>
      <c r="I87" s="84"/>
      <c r="J87" s="84"/>
      <c r="K87" s="84"/>
      <c r="L87" s="84"/>
      <c r="M87" s="84"/>
      <c r="N87" s="84"/>
      <c r="O87" s="84"/>
      <c r="P87" s="84"/>
    </row>
    <row r="88" spans="1:16" ht="15.75" hidden="1" customHeight="1">
      <c r="A88" s="84"/>
      <c r="B88" s="84"/>
      <c r="C88" s="84"/>
      <c r="D88" s="84"/>
      <c r="E88" s="84"/>
      <c r="F88" s="84"/>
      <c r="G88" s="84"/>
      <c r="H88" s="84"/>
      <c r="I88" s="84"/>
      <c r="J88" s="84"/>
      <c r="K88" s="84"/>
      <c r="L88" s="84"/>
      <c r="M88" s="84"/>
      <c r="N88" s="84"/>
      <c r="O88" s="84"/>
      <c r="P88" s="84"/>
    </row>
    <row r="89" spans="1:16" ht="15.75" hidden="1" customHeight="1">
      <c r="A89" s="84"/>
      <c r="B89" s="84"/>
      <c r="C89" s="84"/>
      <c r="D89" s="84"/>
      <c r="E89" s="84"/>
      <c r="F89" s="84"/>
      <c r="G89" s="84"/>
      <c r="H89" s="84"/>
      <c r="I89" s="84"/>
      <c r="J89" s="84"/>
      <c r="K89" s="84"/>
      <c r="L89" s="84"/>
      <c r="M89" s="84"/>
      <c r="N89" s="84"/>
      <c r="O89" s="84"/>
      <c r="P89" s="84"/>
    </row>
    <row r="90" spans="1:16" ht="15.75" hidden="1" customHeight="1">
      <c r="A90" s="84"/>
      <c r="B90" s="84"/>
      <c r="C90" s="84"/>
      <c r="D90" s="84"/>
      <c r="E90" s="84"/>
      <c r="F90" s="84"/>
      <c r="G90" s="84"/>
      <c r="H90" s="84"/>
      <c r="I90" s="84"/>
      <c r="J90" s="84"/>
      <c r="K90" s="84"/>
      <c r="L90" s="84"/>
      <c r="M90" s="84"/>
      <c r="N90" s="84"/>
      <c r="O90" s="84"/>
      <c r="P90" s="84"/>
    </row>
    <row r="91" spans="1:16" ht="15.75" hidden="1" customHeight="1">
      <c r="A91" s="84"/>
      <c r="B91" s="84"/>
      <c r="C91" s="84"/>
      <c r="D91" s="84"/>
      <c r="E91" s="84"/>
      <c r="F91" s="84"/>
      <c r="G91" s="84"/>
      <c r="H91" s="84"/>
      <c r="I91" s="84"/>
      <c r="J91" s="84"/>
      <c r="K91" s="84"/>
      <c r="L91" s="84"/>
      <c r="M91" s="84"/>
      <c r="N91" s="84"/>
      <c r="O91" s="84"/>
      <c r="P91" s="84"/>
    </row>
    <row r="92" spans="1:16" ht="15.75" hidden="1" customHeight="1">
      <c r="A92" s="84"/>
      <c r="B92" s="84"/>
      <c r="C92" s="84"/>
      <c r="D92" s="84"/>
      <c r="E92" s="84"/>
      <c r="F92" s="84"/>
      <c r="G92" s="84"/>
      <c r="H92" s="84"/>
      <c r="I92" s="84"/>
      <c r="J92" s="84"/>
      <c r="K92" s="84"/>
      <c r="L92" s="84"/>
      <c r="M92" s="84"/>
      <c r="N92" s="84"/>
      <c r="O92" s="84"/>
      <c r="P92" s="84"/>
    </row>
    <row r="93" spans="1:16" ht="15.75" hidden="1" customHeight="1">
      <c r="A93" s="84"/>
      <c r="B93" s="84"/>
      <c r="C93" s="84"/>
      <c r="D93" s="84"/>
      <c r="E93" s="84"/>
      <c r="F93" s="84"/>
      <c r="G93" s="84"/>
      <c r="H93" s="84"/>
      <c r="I93" s="84"/>
      <c r="J93" s="84"/>
      <c r="K93" s="84"/>
      <c r="L93" s="84"/>
      <c r="M93" s="84"/>
      <c r="N93" s="84"/>
      <c r="O93" s="84"/>
      <c r="P93" s="84"/>
    </row>
    <row r="94" spans="1:16" ht="15.75" hidden="1" customHeight="1">
      <c r="A94" s="84"/>
      <c r="B94" s="84"/>
      <c r="C94" s="84"/>
      <c r="D94" s="84"/>
      <c r="E94" s="84"/>
      <c r="F94" s="84"/>
      <c r="G94" s="84"/>
      <c r="H94" s="84"/>
      <c r="I94" s="84"/>
      <c r="J94" s="84"/>
      <c r="K94" s="84"/>
      <c r="L94" s="84"/>
      <c r="M94" s="84"/>
      <c r="N94" s="84"/>
      <c r="O94" s="84"/>
      <c r="P94" s="84"/>
    </row>
    <row r="95" spans="1:16" ht="15.75" hidden="1" customHeight="1">
      <c r="A95" s="84"/>
      <c r="B95" s="84"/>
      <c r="C95" s="84"/>
      <c r="D95" s="84"/>
      <c r="E95" s="84"/>
      <c r="F95" s="84"/>
      <c r="G95" s="84"/>
      <c r="H95" s="84"/>
      <c r="I95" s="84"/>
      <c r="J95" s="84"/>
      <c r="K95" s="84"/>
      <c r="L95" s="84"/>
      <c r="M95" s="84"/>
      <c r="N95" s="84"/>
      <c r="O95" s="84"/>
      <c r="P95" s="84"/>
    </row>
    <row r="96" spans="1:16" ht="15.75" hidden="1" customHeight="1">
      <c r="A96" s="84"/>
      <c r="B96" s="84"/>
      <c r="C96" s="84"/>
      <c r="D96" s="84"/>
      <c r="E96" s="84"/>
      <c r="F96" s="84"/>
      <c r="G96" s="84"/>
      <c r="H96" s="84"/>
      <c r="I96" s="84"/>
      <c r="J96" s="84"/>
      <c r="K96" s="84"/>
      <c r="L96" s="84"/>
      <c r="M96" s="84"/>
      <c r="N96" s="84"/>
      <c r="O96" s="84"/>
      <c r="P96" s="84"/>
    </row>
    <row r="97" spans="1:16" ht="15.75" hidden="1" customHeight="1">
      <c r="A97" s="84"/>
      <c r="B97" s="84"/>
      <c r="C97" s="84"/>
      <c r="D97" s="84"/>
      <c r="E97" s="84"/>
      <c r="F97" s="84"/>
      <c r="G97" s="84"/>
      <c r="H97" s="84"/>
      <c r="I97" s="84"/>
      <c r="J97" s="84"/>
      <c r="K97" s="84"/>
      <c r="L97" s="84"/>
      <c r="M97" s="84"/>
      <c r="N97" s="84"/>
      <c r="O97" s="84"/>
      <c r="P97" s="84"/>
    </row>
    <row r="98" spans="1:16" ht="15.75" hidden="1" customHeight="1">
      <c r="A98" s="84"/>
      <c r="B98" s="84"/>
      <c r="C98" s="84"/>
      <c r="D98" s="84"/>
      <c r="E98" s="84"/>
      <c r="F98" s="84"/>
      <c r="G98" s="84"/>
      <c r="H98" s="84"/>
      <c r="I98" s="84"/>
      <c r="J98" s="84"/>
      <c r="K98" s="84"/>
      <c r="L98" s="84"/>
      <c r="M98" s="84"/>
      <c r="N98" s="84"/>
      <c r="O98" s="84"/>
      <c r="P98" s="84"/>
    </row>
    <row r="99" spans="1:16" ht="15.75" hidden="1" customHeight="1">
      <c r="A99" s="84"/>
      <c r="B99" s="84"/>
      <c r="C99" s="84"/>
      <c r="D99" s="84"/>
      <c r="E99" s="84"/>
      <c r="F99" s="84"/>
      <c r="G99" s="84"/>
      <c r="H99" s="84"/>
      <c r="I99" s="84"/>
      <c r="J99" s="84"/>
      <c r="K99" s="84"/>
      <c r="L99" s="84"/>
      <c r="M99" s="84"/>
      <c r="N99" s="84"/>
      <c r="O99" s="84"/>
      <c r="P99" s="84"/>
    </row>
    <row r="100" spans="1:16" ht="15.75" hidden="1" customHeight="1">
      <c r="A100" s="84"/>
      <c r="B100" s="84"/>
      <c r="C100" s="84"/>
      <c r="D100" s="84"/>
      <c r="E100" s="84"/>
      <c r="F100" s="84"/>
      <c r="G100" s="84"/>
      <c r="H100" s="84"/>
      <c r="I100" s="84"/>
      <c r="J100" s="84"/>
      <c r="K100" s="84"/>
      <c r="L100" s="84"/>
      <c r="M100" s="84"/>
      <c r="N100" s="84"/>
      <c r="O100" s="84"/>
      <c r="P100" s="84"/>
    </row>
    <row r="101" spans="1:16" ht="15.75" hidden="1" customHeight="1">
      <c r="A101" s="84"/>
      <c r="B101" s="84"/>
      <c r="C101" s="84"/>
      <c r="D101" s="84"/>
      <c r="E101" s="84"/>
      <c r="F101" s="84"/>
      <c r="G101" s="84"/>
      <c r="H101" s="84"/>
      <c r="I101" s="84"/>
      <c r="J101" s="84"/>
      <c r="K101" s="84"/>
      <c r="L101" s="84"/>
      <c r="M101" s="84"/>
      <c r="N101" s="84"/>
      <c r="O101" s="84"/>
      <c r="P101" s="84"/>
    </row>
  </sheetData>
  <protectedRanges>
    <protectedRange algorithmName="SHA-512" hashValue="3aPxfSFQRsqnD2m9OZ17HrEk9bAKa2CPc+4V+8h5EcJJi9dDQkDqTmK36csxtIc1DW3fipdvcwtHsgrDCIzBqQ==" saltValue="+y/FVHJer+fo7XVT8ZeTzw==" spinCount="100000" sqref="I10:K10 I4:I8 I12:I16 I18:I19 I21:I23" name="Area locked_1"/>
    <protectedRange algorithmName="SHA-512" hashValue="ZguYlAdyb71IMfth0JhjlmtxX14hVx5omQi5ApBlH1eRzvDoMKrcH/U5ix8udScoKrPOyilweqooMB5Tej6y8g==" saltValue="7zSaR8crDg3BlTT9T4K2tg==" spinCount="100000" sqref="F15:F16 E12:E16 M14 F10 E18:E19 E31:E35 E37:E42 E21:E29 O14:P14" name="Interview_2"/>
    <protectedRange algorithmName="SHA-512" hashValue="mV3lW0l3Jt8RNokhL9N7RQfdEwtkDzqYEZ23mXpE73H+SNj96D3Oqd2UMbStoZq9Oifubx9AVqiyDIENfpo3xg==" saltValue="3V3nQMHtXFzjoPFIe6wzzA==" spinCount="100000" sqref="H8 H10" name="Marketing"/>
    <protectedRange algorithmName="SHA-512" hashValue="ZguYlAdyb71IMfth0JhjlmtxX14hVx5omQi5ApBlH1eRzvDoMKrcH/U5ix8udScoKrPOyilweqooMB5Tej6y8g==" saltValue="7zSaR8crDg3BlTT9T4K2tg==" spinCount="100000" sqref="D30:M30 F26:M26 D36:M36 D26 D20:M20 D17:M17 D11:M11 D9:M9 H37 H13 O30:P30 O26:P26 O36:P36 O20:P20 O17:P17 O11:P11 O9:P9" name="Interview_3_1"/>
    <protectedRange algorithmName="SHA-512" hashValue="mV3lW0l3Jt8RNokhL9N7RQfdEwtkDzqYEZ23mXpE73H+SNj96D3Oqd2UMbStoZq9Oifubx9AVqiyDIENfpo3xg==" saltValue="3V3nQMHtXFzjoPFIe6wzzA==" spinCount="100000" sqref="F12:F14 F23" name="Marketing_3"/>
    <protectedRange algorithmName="SHA-512" hashValue="mV3lW0l3Jt8RNokhL9N7RQfdEwtkDzqYEZ23mXpE73H+SNj96D3Oqd2UMbStoZq9Oifubx9AVqiyDIENfpo3xg==" saltValue="3V3nQMHtXFzjoPFIe6wzzA==" spinCount="100000" sqref="D24:D25 L24:M25 D27:D29 L27:M29 D31:D35 L31:M35 D37 L37:M42 O24:P25 O27:P29 O31:P35 O37:P42" name="Marketing_4"/>
    <protectedRange algorithmName="SHA-512" hashValue="hUkirajtNVADTD+199uQkL5ARN5v21Zi4+VkFPs4yU6WGmEFYNyjk6+RvFn0yp6CEynDcAe1X1rmZtuuMg+XiQ==" saltValue="oWQRzHv9sgvytn2Ahvb1nA==" spinCount="100000" sqref="J4:K8 F8:G8 G10 G12:H12 G42 J12:K16 J18:K19 J37:K42 J27:K29 F5:H7 G18:H19 J21:K25 J31:K35 G21:H25 G27:H29 G31:H35 G39:H41 G37:G38 D42 G14:H16 G13 F4:G4" name="Marketing_1"/>
    <protectedRange algorithmName="SHA-512" hashValue="hUkirajtNVADTD+199uQkL5ARN5v21Zi4+VkFPs4yU6WGmEFYNyjk6+RvFn0yp6CEynDcAe1X1rmZtuuMg+XiQ==" saltValue="oWQRzHv9sgvytn2Ahvb1nA==" spinCount="100000" sqref="F37:F42" name="Marketing_6"/>
    <protectedRange algorithmName="SHA-512" hashValue="mV3lW0l3Jt8RNokhL9N7RQfdEwtkDzqYEZ23mXpE73H+SNj96D3Oqd2UMbStoZq9Oifubx9AVqiyDIENfpo3xg==" saltValue="3V3nQMHtXFzjoPFIe6wzzA==" spinCount="100000" sqref="H42" name="Marketing_9"/>
    <protectedRange algorithmName="SHA-512" hashValue="mV3lW0l3Jt8RNokhL9N7RQfdEwtkDzqYEZ23mXpE73H+SNj96D3Oqd2UMbStoZq9Oifubx9AVqiyDIENfpo3xg==" saltValue="3V3nQMHtXFzjoPFIe6wzzA==" spinCount="100000" sqref="H38" name="Marketing_10"/>
    <protectedRange algorithmName="SHA-512" hashValue="ZguYlAdyb71IMfth0JhjlmtxX14hVx5omQi5ApBlH1eRzvDoMKrcH/U5ix8udScoKrPOyilweqooMB5Tej6y8g==" saltValue="7zSaR8crDg3BlTT9T4K2tg==" spinCount="100000" sqref="H4" name="Interview_2_1"/>
  </protectedRanges>
  <mergeCells count="4">
    <mergeCell ref="A1:E1"/>
    <mergeCell ref="F1:H1"/>
    <mergeCell ref="I1:K1"/>
    <mergeCell ref="L1:N1"/>
  </mergeCells>
  <conditionalFormatting sqref="B25:B36 B44:B46 B3:B22">
    <cfRule type="cellIs" dxfId="94" priority="7" operator="equal">
      <formula>"NO"</formula>
    </cfRule>
    <cfRule type="cellIs" dxfId="93" priority="8" operator="equal">
      <formula>"YES"</formula>
    </cfRule>
  </conditionalFormatting>
  <conditionalFormatting sqref="B38:B42">
    <cfRule type="cellIs" dxfId="92" priority="12" operator="equal">
      <formula>"NO"</formula>
    </cfRule>
    <cfRule type="cellIs" dxfId="91" priority="13" operator="equal">
      <formula>"YES"</formula>
    </cfRule>
  </conditionalFormatting>
  <conditionalFormatting sqref="C26:C27">
    <cfRule type="cellIs" dxfId="90" priority="28" operator="equal">
      <formula>"NO"</formula>
    </cfRule>
    <cfRule type="cellIs" dxfId="89" priority="29" operator="equal">
      <formula>"YES"</formula>
    </cfRule>
  </conditionalFormatting>
  <conditionalFormatting sqref="D25:D28">
    <cfRule type="cellIs" dxfId="88" priority="30" operator="equal">
      <formula>"NO"</formula>
    </cfRule>
    <cfRule type="cellIs" dxfId="87" priority="31" operator="equal">
      <formula>"YES"</formula>
    </cfRule>
  </conditionalFormatting>
  <conditionalFormatting sqref="D30">
    <cfRule type="cellIs" dxfId="86" priority="14" operator="equal">
      <formula>"NO"</formula>
    </cfRule>
    <cfRule type="cellIs" dxfId="85" priority="15" operator="equal">
      <formula>"YES"</formula>
    </cfRule>
  </conditionalFormatting>
  <conditionalFormatting sqref="E44:E46 E3:E8">
    <cfRule type="cellIs" dxfId="84" priority="1" operator="equal">
      <formula>-1</formula>
    </cfRule>
    <cfRule type="cellIs" dxfId="83" priority="2" operator="equal">
      <formula>0</formula>
    </cfRule>
    <cfRule type="cellIs" dxfId="82" priority="3" operator="equal">
      <formula>1</formula>
    </cfRule>
  </conditionalFormatting>
  <conditionalFormatting sqref="E10">
    <cfRule type="cellIs" dxfId="81" priority="9" operator="equal">
      <formula>-1</formula>
    </cfRule>
    <cfRule type="cellIs" dxfId="80" priority="10" operator="equal">
      <formula>0</formula>
    </cfRule>
    <cfRule type="cellIs" dxfId="79" priority="11" operator="equal">
      <formula>1</formula>
    </cfRule>
  </conditionalFormatting>
  <conditionalFormatting sqref="E12:E16 E18:E19 E21:E28">
    <cfRule type="cellIs" dxfId="78" priority="4" operator="equal">
      <formula>-1</formula>
    </cfRule>
    <cfRule type="cellIs" dxfId="77" priority="5" operator="equal">
      <formula>0</formula>
    </cfRule>
    <cfRule type="cellIs" dxfId="76" priority="6" operator="equal">
      <formula>1</formula>
    </cfRule>
  </conditionalFormatting>
  <conditionalFormatting sqref="E30:E32">
    <cfRule type="cellIs" dxfId="75" priority="19" operator="equal">
      <formula>-1</formula>
    </cfRule>
    <cfRule type="cellIs" dxfId="74" priority="20" operator="equal">
      <formula>0</formula>
    </cfRule>
    <cfRule type="cellIs" dxfId="73" priority="21" operator="equal">
      <formula>1</formula>
    </cfRule>
  </conditionalFormatting>
  <conditionalFormatting sqref="E34:E36">
    <cfRule type="cellIs" dxfId="72" priority="16" operator="equal">
      <formula>-1</formula>
    </cfRule>
    <cfRule type="cellIs" dxfId="71" priority="17" operator="equal">
      <formula>0</formula>
    </cfRule>
    <cfRule type="cellIs" dxfId="70" priority="18" operator="equal">
      <formula>1</formula>
    </cfRule>
  </conditionalFormatting>
  <conditionalFormatting sqref="E38:E39">
    <cfRule type="cellIs" dxfId="69" priority="25" operator="equal">
      <formula>-1</formula>
    </cfRule>
    <cfRule type="cellIs" dxfId="68" priority="26" operator="equal">
      <formula>0</formula>
    </cfRule>
    <cfRule type="cellIs" dxfId="67" priority="27" operator="equal">
      <formula>1</formula>
    </cfRule>
  </conditionalFormatting>
  <conditionalFormatting sqref="E41:E42">
    <cfRule type="cellIs" dxfId="66" priority="22" operator="equal">
      <formula>-1</formula>
    </cfRule>
    <cfRule type="cellIs" dxfId="65" priority="23" operator="equal">
      <formula>0</formula>
    </cfRule>
    <cfRule type="cellIs" dxfId="64" priority="24" operator="equal">
      <formula>1</formula>
    </cfRule>
  </conditionalFormatting>
  <hyperlinks>
    <hyperlink ref="H10" location="I&amp;M Lists!A316" display="Customers Wholesalers" xr:uid="{D4E1865F-6EE2-4DD1-AE8F-1A8BD5EC8B90}"/>
    <hyperlink ref="H15" location="I&amp;M Lists!A266" display="See Sales Team Responsibility List" xr:uid="{AA0CE922-CABF-4DA2-8290-25FE7A13EC34}"/>
    <hyperlink ref="H19" location="I&amp;M Lists!A272" display="See Departments List" xr:uid="{996EA87E-72A5-47AD-8EE4-A663145FF6A0}"/>
    <hyperlink ref="H22" location="I&amp;M Lists!A278" display="See Type of Credit List" xr:uid="{E81FB354-3146-48C1-8749-E1E0E2BBC35A}"/>
    <hyperlink ref="H41" location="'I&amp;M Lists'!A27" display="Supplier Support" xr:uid="{361904FD-A8BE-4A92-8400-8BE744C90D0A}"/>
    <hyperlink ref="H42" location="I&amp;M Lists!A102" display="See Visibility Brands List" xr:uid="{BC1EFB22-F203-4113-A175-0061B5020407}"/>
    <hyperlink ref="H46" location="I&amp;M Lists!A102" display="See Visibility Brands List" xr:uid="{9907E919-BEC2-41FA-BD7A-2847358FCFD8}"/>
    <hyperlink ref="H28" location="I&amp;M Lists!A436" display="Delivery Mode" xr:uid="{E2435073-070D-4F3F-AC01-56835106C188}"/>
    <hyperlink ref="H26" location="I&amp;M Lists!A434" display="Selling Mode" xr:uid="{37C8C790-1A97-4FC8-951C-F54056A06D5E}"/>
    <hyperlink ref="H25" location="I&amp;M Lists!A283" display="See Order Methods List" xr:uid="{EFDB8C93-43E3-43BB-BE3D-D5EF9FA7AC9D}"/>
    <hyperlink ref="H4" location="'I&amp;M Lists'!A148" display="Whosailer Customer" xr:uid="{C91CC558-8668-41E2-A268-51A891AF4A85}"/>
  </hyperlink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6EDE132-A68D-49EB-B42C-A4A49670FCE8}">
          <x14:formula1>
            <xm:f>Constants!$A$2:$A$15</xm:f>
          </x14:formula1>
          <xm:sqref>G37:G42 G4:G8 G10 G12:G16 G18:G19 G21:G25 G27:G29 G31:G35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DA520-FD5E-4A1E-A86D-2BE4A139251F}">
  <sheetPr codeName="Sheet8">
    <tabColor rgb="FFFFFF00"/>
  </sheetPr>
  <dimension ref="A1:P37"/>
  <sheetViews>
    <sheetView zoomScale="90" zoomScaleNormal="90" workbookViewId="0">
      <selection activeCell="C34" sqref="C34"/>
    </sheetView>
  </sheetViews>
  <sheetFormatPr defaultColWidth="0" defaultRowHeight="14.45" zeroHeight="1"/>
  <cols>
    <col min="1" max="1" width="9.28515625" style="91" customWidth="1"/>
    <col min="2" max="2" width="13.140625" style="91" customWidth="1"/>
    <col min="3" max="3" width="75" style="91" bestFit="1" customWidth="1"/>
    <col min="4" max="4" width="43.85546875" style="84" customWidth="1"/>
    <col min="5" max="5" width="24.42578125" style="91" customWidth="1"/>
    <col min="6" max="6" width="19.7109375" style="91" customWidth="1"/>
    <col min="7" max="7" width="27.42578125" style="91" bestFit="1" customWidth="1"/>
    <col min="8" max="8" width="30.28515625" style="91" bestFit="1" customWidth="1"/>
    <col min="9" max="9" width="29" style="91" bestFit="1" customWidth="1"/>
    <col min="10" max="11" width="9.28515625" style="91" customWidth="1"/>
    <col min="12" max="12" width="12.7109375" style="91" customWidth="1"/>
    <col min="13" max="14" width="9.28515625" style="91" customWidth="1"/>
    <col min="15" max="15" width="11.5703125" style="91" bestFit="1" customWidth="1"/>
    <col min="16" max="16" width="9.28515625" style="91" customWidth="1"/>
    <col min="17" max="16384" width="9.28515625" style="91" hidden="1"/>
  </cols>
  <sheetData>
    <row r="1" spans="1:15">
      <c r="A1" s="396" t="s">
        <v>202</v>
      </c>
      <c r="B1" s="396"/>
      <c r="C1" s="396"/>
      <c r="D1" s="396"/>
      <c r="E1" s="396"/>
      <c r="F1" s="396"/>
      <c r="G1" s="396" t="s">
        <v>203</v>
      </c>
      <c r="H1" s="396"/>
      <c r="I1" s="396"/>
      <c r="J1" s="396" t="s">
        <v>204</v>
      </c>
      <c r="K1" s="396"/>
      <c r="L1" s="396"/>
      <c r="M1" s="396" t="s">
        <v>205</v>
      </c>
      <c r="N1" s="396"/>
      <c r="O1" s="396"/>
    </row>
    <row r="2" spans="1:15" ht="43.15">
      <c r="A2" s="86" t="s">
        <v>20</v>
      </c>
      <c r="B2" s="86" t="s">
        <v>21</v>
      </c>
      <c r="C2" s="86" t="s">
        <v>22</v>
      </c>
      <c r="D2" s="79" t="s">
        <v>206</v>
      </c>
      <c r="E2" s="86" t="s">
        <v>207</v>
      </c>
      <c r="F2" s="86" t="s">
        <v>208</v>
      </c>
      <c r="G2" s="86" t="s">
        <v>23</v>
      </c>
      <c r="H2" s="86" t="s">
        <v>24</v>
      </c>
      <c r="I2" s="86" t="s">
        <v>25</v>
      </c>
      <c r="J2" s="86" t="s">
        <v>209</v>
      </c>
      <c r="K2" s="86" t="s">
        <v>210</v>
      </c>
      <c r="L2" s="86" t="s">
        <v>211</v>
      </c>
      <c r="M2" s="86" t="s">
        <v>212</v>
      </c>
      <c r="N2" s="86" t="s">
        <v>28</v>
      </c>
      <c r="O2" s="86" t="s">
        <v>29</v>
      </c>
    </row>
    <row r="3" spans="1:15" hidden="1">
      <c r="A3" s="163" t="s">
        <v>121</v>
      </c>
      <c r="B3" s="105"/>
      <c r="C3" s="105" t="s">
        <v>534</v>
      </c>
      <c r="D3" s="105"/>
      <c r="E3" s="92"/>
      <c r="F3" s="164">
        <v>-1</v>
      </c>
      <c r="G3" s="165"/>
      <c r="H3" s="103" t="s">
        <v>215</v>
      </c>
      <c r="I3" s="104" t="s">
        <v>305</v>
      </c>
      <c r="J3" s="94"/>
      <c r="K3" s="94" t="s">
        <v>278</v>
      </c>
      <c r="L3" s="94" t="s">
        <v>278</v>
      </c>
      <c r="M3" s="105"/>
      <c r="N3" s="69"/>
      <c r="O3" s="69"/>
    </row>
    <row r="4" spans="1:15" hidden="1">
      <c r="A4" s="163" t="s">
        <v>122</v>
      </c>
      <c r="B4" s="105" t="s">
        <v>535</v>
      </c>
      <c r="C4" s="105" t="s">
        <v>536</v>
      </c>
      <c r="D4" s="105"/>
      <c r="E4" s="92"/>
      <c r="F4" s="164">
        <v>-1</v>
      </c>
      <c r="G4" s="105"/>
      <c r="H4" s="103" t="s">
        <v>373</v>
      </c>
      <c r="I4" s="166" t="s">
        <v>537</v>
      </c>
      <c r="J4" s="105"/>
      <c r="K4" s="94" t="s">
        <v>278</v>
      </c>
      <c r="L4" s="94" t="s">
        <v>278</v>
      </c>
      <c r="M4" s="105"/>
      <c r="N4" s="105"/>
      <c r="O4" s="105"/>
    </row>
    <row r="5" spans="1:15" ht="45.75">
      <c r="A5" s="414" t="s">
        <v>30</v>
      </c>
      <c r="B5" s="415" t="s">
        <v>538</v>
      </c>
      <c r="C5" s="415"/>
      <c r="D5" s="415"/>
      <c r="E5" s="416"/>
      <c r="F5" s="417"/>
      <c r="G5" s="415"/>
      <c r="H5" s="418"/>
      <c r="I5" s="419"/>
      <c r="J5" s="415"/>
      <c r="K5" s="420"/>
      <c r="L5" s="420"/>
      <c r="M5" s="415"/>
      <c r="N5" s="415"/>
      <c r="O5" s="415"/>
    </row>
    <row r="6" spans="1:15" customFormat="1">
      <c r="A6" s="177" t="s">
        <v>539</v>
      </c>
      <c r="B6" s="177"/>
      <c r="C6" s="350" t="s">
        <v>540</v>
      </c>
      <c r="D6" s="350" t="s">
        <v>541</v>
      </c>
      <c r="E6" s="351"/>
      <c r="F6" s="179">
        <v>1</v>
      </c>
      <c r="G6" s="177" t="s">
        <v>542</v>
      </c>
      <c r="H6" s="180" t="s">
        <v>543</v>
      </c>
      <c r="I6" s="181" t="s">
        <v>544</v>
      </c>
      <c r="J6" s="177" t="s">
        <v>218</v>
      </c>
      <c r="K6" s="177" t="s">
        <v>278</v>
      </c>
      <c r="L6" s="177" t="s">
        <v>278</v>
      </c>
      <c r="M6" s="177"/>
      <c r="N6" s="177"/>
      <c r="O6" s="177"/>
    </row>
    <row r="7" spans="1:15" ht="30.75">
      <c r="A7" s="105" t="s">
        <v>545</v>
      </c>
      <c r="B7" s="105"/>
      <c r="C7" s="69" t="s">
        <v>546</v>
      </c>
      <c r="D7" s="297" t="s">
        <v>547</v>
      </c>
      <c r="E7" s="161"/>
      <c r="F7" s="164">
        <v>1</v>
      </c>
      <c r="G7" s="105" t="s">
        <v>548</v>
      </c>
      <c r="H7" s="105" t="s">
        <v>215</v>
      </c>
      <c r="I7" s="166" t="s">
        <v>549</v>
      </c>
      <c r="J7" s="105" t="s">
        <v>218</v>
      </c>
      <c r="K7" s="105" t="s">
        <v>278</v>
      </c>
      <c r="L7" s="105" t="s">
        <v>278</v>
      </c>
      <c r="M7" s="105"/>
      <c r="N7" s="105"/>
      <c r="O7" s="105"/>
    </row>
    <row r="8" spans="1:15" hidden="1">
      <c r="A8" s="105" t="s">
        <v>132</v>
      </c>
      <c r="B8" s="105"/>
      <c r="C8" s="105" t="s">
        <v>550</v>
      </c>
      <c r="D8" s="335"/>
      <c r="E8" s="161"/>
      <c r="F8" s="164">
        <v>-1</v>
      </c>
      <c r="G8" s="105" t="s">
        <v>551</v>
      </c>
      <c r="H8" s="105" t="s">
        <v>215</v>
      </c>
      <c r="I8" s="166" t="s">
        <v>549</v>
      </c>
      <c r="J8" s="105"/>
      <c r="K8" s="105" t="s">
        <v>278</v>
      </c>
      <c r="L8" s="105" t="s">
        <v>278</v>
      </c>
      <c r="M8" s="92"/>
      <c r="N8" s="92"/>
      <c r="O8" s="92"/>
    </row>
    <row r="9" spans="1:15" ht="17.649999999999999" hidden="1" customHeight="1">
      <c r="A9" s="105" t="s">
        <v>134</v>
      </c>
      <c r="B9" s="105"/>
      <c r="C9" s="105" t="s">
        <v>552</v>
      </c>
      <c r="D9" s="227"/>
      <c r="E9" s="161"/>
      <c r="F9" s="164">
        <v>-1</v>
      </c>
      <c r="G9" s="105" t="s">
        <v>553</v>
      </c>
      <c r="H9" s="105" t="s">
        <v>215</v>
      </c>
      <c r="I9" s="104" t="s">
        <v>305</v>
      </c>
      <c r="J9" s="105"/>
      <c r="K9" s="105" t="s">
        <v>278</v>
      </c>
      <c r="L9" s="105" t="s">
        <v>278</v>
      </c>
      <c r="M9" s="92"/>
      <c r="N9" s="69"/>
      <c r="O9" s="92"/>
    </row>
    <row r="10" spans="1:15" ht="17.649999999999999" hidden="1" customHeight="1">
      <c r="A10" s="105" t="s">
        <v>554</v>
      </c>
      <c r="B10" s="105"/>
      <c r="C10" s="69" t="s">
        <v>555</v>
      </c>
      <c r="D10" s="228"/>
      <c r="E10" s="161"/>
      <c r="F10" s="164">
        <v>-1</v>
      </c>
      <c r="G10" s="165"/>
      <c r="H10" s="103" t="s">
        <v>556</v>
      </c>
      <c r="I10" s="167" t="s">
        <v>557</v>
      </c>
      <c r="J10" s="105"/>
      <c r="K10" s="105" t="s">
        <v>278</v>
      </c>
      <c r="L10" s="105" t="s">
        <v>278</v>
      </c>
      <c r="M10" s="92"/>
      <c r="N10" s="92"/>
      <c r="O10" s="92"/>
    </row>
    <row r="11" spans="1:15" ht="17.649999999999999" customHeight="1">
      <c r="A11" s="105" t="s">
        <v>558</v>
      </c>
      <c r="B11" s="105"/>
      <c r="C11" s="69" t="s">
        <v>559</v>
      </c>
      <c r="D11" s="69" t="s">
        <v>560</v>
      </c>
      <c r="E11" s="161"/>
      <c r="F11" s="164">
        <v>1</v>
      </c>
      <c r="G11" s="165" t="s">
        <v>561</v>
      </c>
      <c r="H11" s="105" t="s">
        <v>215</v>
      </c>
      <c r="I11" s="177" t="s">
        <v>305</v>
      </c>
      <c r="J11" s="105" t="s">
        <v>218</v>
      </c>
      <c r="K11" s="105" t="s">
        <v>278</v>
      </c>
      <c r="L11" s="105" t="s">
        <v>278</v>
      </c>
      <c r="M11" s="92"/>
      <c r="N11" s="92"/>
      <c r="O11" s="92"/>
    </row>
    <row r="12" spans="1:15" ht="28.9" hidden="1">
      <c r="A12" s="105" t="s">
        <v>562</v>
      </c>
      <c r="B12" s="105"/>
      <c r="C12" s="299" t="s">
        <v>563</v>
      </c>
      <c r="D12" s="279" t="s">
        <v>564</v>
      </c>
      <c r="E12" s="92"/>
      <c r="F12" s="164">
        <v>1</v>
      </c>
      <c r="G12" s="165" t="s">
        <v>565</v>
      </c>
      <c r="H12" s="103" t="s">
        <v>373</v>
      </c>
      <c r="I12" s="166" t="s">
        <v>549</v>
      </c>
      <c r="J12" s="105"/>
      <c r="K12" s="105" t="s">
        <v>278</v>
      </c>
      <c r="L12" s="105" t="s">
        <v>278</v>
      </c>
      <c r="M12" s="92"/>
      <c r="N12" s="92"/>
      <c r="O12" s="92"/>
    </row>
    <row r="13" spans="1:15" ht="28.9" hidden="1">
      <c r="A13" s="105" t="s">
        <v>566</v>
      </c>
      <c r="B13" s="105"/>
      <c r="C13" s="299" t="s">
        <v>567</v>
      </c>
      <c r="D13" s="280" t="s">
        <v>568</v>
      </c>
      <c r="E13" s="92"/>
      <c r="F13" s="164">
        <v>1</v>
      </c>
      <c r="G13" s="165" t="s">
        <v>569</v>
      </c>
      <c r="H13" s="103" t="s">
        <v>373</v>
      </c>
      <c r="I13" s="166" t="s">
        <v>549</v>
      </c>
      <c r="J13" s="105"/>
      <c r="K13" s="105" t="s">
        <v>278</v>
      </c>
      <c r="L13" s="105" t="s">
        <v>278</v>
      </c>
      <c r="M13" s="92"/>
      <c r="N13" s="92"/>
      <c r="O13" s="92"/>
    </row>
    <row r="14" spans="1:15" ht="32.65" hidden="1" customHeight="1">
      <c r="A14" s="105" t="s">
        <v>570</v>
      </c>
      <c r="B14" s="105"/>
      <c r="C14" s="299" t="s">
        <v>571</v>
      </c>
      <c r="D14" s="287" t="s">
        <v>572</v>
      </c>
      <c r="E14" s="92"/>
      <c r="F14" s="164">
        <v>1</v>
      </c>
      <c r="G14" s="165" t="s">
        <v>573</v>
      </c>
      <c r="H14" s="103" t="s">
        <v>373</v>
      </c>
      <c r="I14" s="166" t="s">
        <v>549</v>
      </c>
      <c r="J14" s="105"/>
      <c r="K14" s="105" t="s">
        <v>278</v>
      </c>
      <c r="L14" s="105" t="s">
        <v>278</v>
      </c>
      <c r="M14" s="92"/>
      <c r="N14" s="92"/>
      <c r="O14" s="92"/>
    </row>
    <row r="15" spans="1:15" hidden="1">
      <c r="A15" s="105" t="s">
        <v>574</v>
      </c>
      <c r="B15" s="105" t="s">
        <v>575</v>
      </c>
      <c r="C15" s="69" t="s">
        <v>576</v>
      </c>
      <c r="D15" s="336"/>
      <c r="E15" s="92"/>
      <c r="F15" s="164">
        <v>1</v>
      </c>
      <c r="G15" s="165" t="s">
        <v>561</v>
      </c>
      <c r="H15" s="103" t="s">
        <v>373</v>
      </c>
      <c r="I15" s="166" t="s">
        <v>549</v>
      </c>
      <c r="J15" s="105"/>
      <c r="K15" s="105" t="s">
        <v>278</v>
      </c>
      <c r="L15" s="105" t="s">
        <v>278</v>
      </c>
      <c r="M15" s="92"/>
      <c r="N15" s="92"/>
      <c r="O15" s="92"/>
    </row>
    <row r="16" spans="1:15" hidden="1">
      <c r="A16" s="105" t="s">
        <v>577</v>
      </c>
      <c r="B16" s="105" t="s">
        <v>578</v>
      </c>
      <c r="C16" s="69" t="s">
        <v>579</v>
      </c>
      <c r="D16" s="337"/>
      <c r="E16" s="94"/>
      <c r="F16" s="164">
        <v>1</v>
      </c>
      <c r="G16" s="165" t="s">
        <v>561</v>
      </c>
      <c r="H16" s="103" t="s">
        <v>373</v>
      </c>
      <c r="I16" s="166" t="s">
        <v>549</v>
      </c>
      <c r="J16" s="105"/>
      <c r="K16" s="105" t="s">
        <v>278</v>
      </c>
      <c r="L16" s="105" t="s">
        <v>278</v>
      </c>
      <c r="M16" s="94"/>
      <c r="N16" s="94"/>
      <c r="O16" s="94"/>
    </row>
    <row r="17" spans="1:15" hidden="1">
      <c r="A17" s="105" t="s">
        <v>137</v>
      </c>
      <c r="B17" s="105"/>
      <c r="C17" s="105" t="s">
        <v>580</v>
      </c>
      <c r="D17" s="227"/>
      <c r="E17" s="94"/>
      <c r="F17" s="164">
        <v>1</v>
      </c>
      <c r="G17" s="165" t="s">
        <v>561</v>
      </c>
      <c r="H17" s="103" t="s">
        <v>373</v>
      </c>
      <c r="I17" s="166" t="s">
        <v>549</v>
      </c>
      <c r="J17" s="105"/>
      <c r="K17" s="105" t="s">
        <v>278</v>
      </c>
      <c r="L17" s="105" t="s">
        <v>278</v>
      </c>
      <c r="M17" s="94"/>
      <c r="N17" s="94"/>
      <c r="O17" s="94"/>
    </row>
    <row r="18" spans="1:15" hidden="1">
      <c r="A18" s="105" t="s">
        <v>138</v>
      </c>
      <c r="B18" s="105"/>
      <c r="C18" s="105" t="s">
        <v>581</v>
      </c>
      <c r="D18" s="229"/>
      <c r="E18" s="94"/>
      <c r="F18" s="164">
        <v>1</v>
      </c>
      <c r="G18" s="165" t="s">
        <v>561</v>
      </c>
      <c r="H18" s="103" t="s">
        <v>405</v>
      </c>
      <c r="I18" s="168" t="s">
        <v>582</v>
      </c>
      <c r="J18" s="94"/>
      <c r="K18" s="105" t="s">
        <v>278</v>
      </c>
      <c r="L18" s="105" t="s">
        <v>278</v>
      </c>
      <c r="M18" s="101"/>
      <c r="N18" s="69"/>
      <c r="O18" s="142"/>
    </row>
    <row r="19" spans="1:15" hidden="1">
      <c r="A19" s="105" t="s">
        <v>141</v>
      </c>
      <c r="B19" s="105"/>
      <c r="C19" s="107" t="s">
        <v>583</v>
      </c>
      <c r="D19" s="338"/>
      <c r="E19" s="94"/>
      <c r="F19" s="164">
        <v>1</v>
      </c>
      <c r="G19" s="165" t="s">
        <v>561</v>
      </c>
      <c r="H19" s="94" t="s">
        <v>215</v>
      </c>
      <c r="I19" s="167" t="s">
        <v>584</v>
      </c>
      <c r="J19" s="94"/>
      <c r="K19" s="105" t="s">
        <v>278</v>
      </c>
      <c r="L19" s="105" t="s">
        <v>278</v>
      </c>
      <c r="M19" s="101"/>
      <c r="N19" s="169"/>
      <c r="O19" s="142"/>
    </row>
    <row r="20" spans="1:15" hidden="1">
      <c r="A20" s="105" t="s">
        <v>142</v>
      </c>
      <c r="B20" s="105"/>
      <c r="C20" s="107" t="s">
        <v>585</v>
      </c>
      <c r="D20" s="229"/>
      <c r="E20" s="94"/>
      <c r="F20" s="164">
        <v>1</v>
      </c>
      <c r="G20" s="165" t="s">
        <v>561</v>
      </c>
      <c r="H20" s="94" t="s">
        <v>215</v>
      </c>
      <c r="I20" s="170" t="s">
        <v>586</v>
      </c>
      <c r="J20" s="94"/>
      <c r="K20" s="105" t="s">
        <v>278</v>
      </c>
      <c r="L20" s="105" t="s">
        <v>278</v>
      </c>
      <c r="M20" s="101"/>
      <c r="N20" s="169"/>
      <c r="O20" s="142"/>
    </row>
    <row r="21" spans="1:15" hidden="1">
      <c r="A21" s="94" t="s">
        <v>143</v>
      </c>
      <c r="B21" s="94"/>
      <c r="C21" s="107" t="s">
        <v>587</v>
      </c>
      <c r="D21" s="295"/>
      <c r="E21" s="94"/>
      <c r="F21" s="164">
        <v>1</v>
      </c>
      <c r="G21" s="165" t="s">
        <v>561</v>
      </c>
      <c r="H21" s="94" t="s">
        <v>405</v>
      </c>
      <c r="I21" s="166" t="s">
        <v>588</v>
      </c>
      <c r="J21" s="94"/>
      <c r="K21" s="105" t="s">
        <v>278</v>
      </c>
      <c r="L21" s="105" t="s">
        <v>278</v>
      </c>
      <c r="M21" s="101"/>
      <c r="N21" s="94"/>
      <c r="O21" s="142"/>
    </row>
    <row r="22" spans="1:15" ht="28.9" hidden="1">
      <c r="A22" s="103" t="s">
        <v>589</v>
      </c>
      <c r="B22" s="94"/>
      <c r="C22" s="69" t="s">
        <v>590</v>
      </c>
      <c r="D22" s="228"/>
      <c r="E22" s="94"/>
      <c r="F22" s="164">
        <v>1</v>
      </c>
      <c r="G22" s="165" t="s">
        <v>561</v>
      </c>
      <c r="H22" s="101" t="s">
        <v>591</v>
      </c>
      <c r="I22" s="166" t="s">
        <v>549</v>
      </c>
      <c r="J22" s="94"/>
      <c r="K22" s="142" t="s">
        <v>278</v>
      </c>
      <c r="L22" s="142" t="s">
        <v>278</v>
      </c>
      <c r="M22" s="94"/>
      <c r="N22" s="94"/>
      <c r="O22" s="94"/>
    </row>
    <row r="23" spans="1:15" hidden="1">
      <c r="A23" s="103" t="s">
        <v>592</v>
      </c>
      <c r="B23" s="94"/>
      <c r="C23" s="69" t="s">
        <v>593</v>
      </c>
      <c r="D23" s="227"/>
      <c r="E23" s="94"/>
      <c r="F23" s="164">
        <v>1</v>
      </c>
      <c r="G23" s="165" t="s">
        <v>561</v>
      </c>
      <c r="H23" s="101"/>
      <c r="I23" s="166"/>
      <c r="J23" s="94"/>
      <c r="K23" s="142"/>
      <c r="L23" s="142"/>
      <c r="M23" s="94"/>
      <c r="N23" s="94"/>
      <c r="O23" s="94"/>
    </row>
    <row r="24" spans="1:15" ht="28.9" hidden="1">
      <c r="A24" s="103" t="s">
        <v>594</v>
      </c>
      <c r="B24" s="94"/>
      <c r="C24" s="69" t="s">
        <v>595</v>
      </c>
      <c r="D24" s="69" t="s">
        <v>596</v>
      </c>
      <c r="E24" s="94"/>
      <c r="F24" s="164">
        <v>1</v>
      </c>
      <c r="G24" s="165"/>
      <c r="H24" s="101"/>
      <c r="I24" s="166"/>
      <c r="J24" s="94"/>
      <c r="K24" s="142"/>
      <c r="L24" s="142"/>
      <c r="M24" s="94"/>
      <c r="N24" s="94"/>
      <c r="O24" s="94"/>
    </row>
    <row r="25" spans="1:15" hidden="1">
      <c r="A25" s="103" t="s">
        <v>597</v>
      </c>
      <c r="B25" s="94"/>
      <c r="C25" s="299" t="s">
        <v>598</v>
      </c>
      <c r="D25" s="69" t="s">
        <v>599</v>
      </c>
      <c r="E25" s="94"/>
      <c r="F25" s="164">
        <v>1</v>
      </c>
      <c r="G25" s="165" t="s">
        <v>600</v>
      </c>
      <c r="H25" s="105" t="s">
        <v>215</v>
      </c>
      <c r="I25" s="177" t="s">
        <v>305</v>
      </c>
      <c r="J25" s="94"/>
      <c r="K25" s="142"/>
      <c r="L25" s="142"/>
      <c r="M25" s="94"/>
      <c r="N25" s="94"/>
      <c r="O25" s="94"/>
    </row>
    <row r="26" spans="1:15" ht="28.9" hidden="1">
      <c r="A26" s="103" t="s">
        <v>601</v>
      </c>
      <c r="B26" s="94"/>
      <c r="C26" s="69" t="s">
        <v>602</v>
      </c>
      <c r="D26" s="69" t="s">
        <v>603</v>
      </c>
      <c r="E26" s="94"/>
      <c r="F26" s="164">
        <v>1</v>
      </c>
      <c r="G26" s="165" t="s">
        <v>604</v>
      </c>
      <c r="H26" s="180" t="s">
        <v>543</v>
      </c>
      <c r="I26" s="181" t="s">
        <v>544</v>
      </c>
      <c r="J26" s="94"/>
      <c r="K26" s="142"/>
      <c r="L26" s="142"/>
      <c r="M26" s="94"/>
      <c r="N26" s="94"/>
      <c r="O26" s="94"/>
    </row>
    <row r="27" spans="1:15">
      <c r="A27" s="91" t="s">
        <v>605</v>
      </c>
      <c r="C27" t="s">
        <v>606</v>
      </c>
      <c r="D27" s="224" t="s">
        <v>607</v>
      </c>
      <c r="F27" s="164">
        <v>1</v>
      </c>
      <c r="G27" s="84" t="s">
        <v>608</v>
      </c>
      <c r="H27" s="180" t="s">
        <v>543</v>
      </c>
      <c r="I27" s="181" t="s">
        <v>544</v>
      </c>
      <c r="J27" s="177" t="s">
        <v>218</v>
      </c>
      <c r="K27" s="177" t="s">
        <v>278</v>
      </c>
      <c r="L27" s="177" t="s">
        <v>278</v>
      </c>
      <c r="M27" s="177"/>
      <c r="N27" s="177"/>
      <c r="O27" s="177"/>
    </row>
    <row r="28" spans="1:15"/>
    <row r="29" spans="1:15"/>
    <row r="30" spans="1:15"/>
    <row r="32" spans="1:15"/>
    <row r="33"/>
    <row r="34"/>
    <row r="35"/>
    <row r="36"/>
    <row r="37"/>
  </sheetData>
  <protectedRanges>
    <protectedRange algorithmName="SHA-512" hashValue="3aPxfSFQRsqnD2m9OZ17HrEk9bAKa2CPc+4V+8h5EcJJi9dDQkDqTmK36csxtIc1DW3fipdvcwtHsgrDCIzBqQ==" saltValue="+y/FVHJer+fo7XVT8ZeTzw==" spinCount="100000" sqref="J3:L5 I6:K6 K18:K21 I26 J7:K17 I27:K27" name="Area locked_1"/>
    <protectedRange algorithmName="SHA-512" hashValue="ZguYlAdyb71IMfth0JhjlmtxX14hVx5omQi5ApBlH1eRzvDoMKrcH/U5ix8udScoKrPOyilweqooMB5Tej6y8g==" saltValue="7zSaR8crDg3BlTT9T4K2tg==" spinCount="100000" sqref="N9 G10 F7:F10 G12:G26 F11:G11 L7:L21 F12:F27" name="Interview_2"/>
    <protectedRange algorithmName="SHA-512" hashValue="mV3lW0l3Jt8RNokhL9N7RQfdEwtkDzqYEZ23mXpE73H+SNj96D3Oqd2UMbStoZq9Oifubx9AVqiyDIENfpo3xg==" saltValue="3V3nQMHtXFzjoPFIe6wzzA==" spinCount="100000" sqref="I7:I9 I22 G6:H6 H3:I5 I12:I17 H26:H27" name="Marketing"/>
    <protectedRange algorithmName="SHA-512" hashValue="mV3lW0l3Jt8RNokhL9N7RQfdEwtkDzqYEZ23mXpE73H+SNj96D3Oqd2UMbStoZq9Oifubx9AVqiyDIENfpo3xg==" saltValue="3V3nQMHtXFzjoPFIe6wzzA==" spinCount="100000" sqref="G7:G9 H25 H7:H17" name="Marketing_3"/>
    <protectedRange algorithmName="SHA-512" hashValue="mV3lW0l3Jt8RNokhL9N7RQfdEwtkDzqYEZ23mXpE73H+SNj96D3Oqd2UMbStoZq9Oifubx9AVqiyDIENfpo3xg==" saltValue="3V3nQMHtXFzjoPFIe6wzzA==" spinCount="100000" sqref="K22:L22 H18:H20 I18:I19 H22 H21:I21 M18:N22 D18:D22" name="Marketing_4"/>
    <protectedRange algorithmName="SHA-512" hashValue="ZguYlAdyb71IMfth0JhjlmtxX14hVx5omQi5ApBlH1eRzvDoMKrcH/U5ix8udScoKrPOyilweqooMB5Tej6y8g==" saltValue="7zSaR8crDg3BlTT9T4K2tg==" spinCount="100000" sqref="I25" name="Interview_3_1"/>
    <protectedRange algorithmName="SHA-512" hashValue="ZguYlAdyb71IMfth0JhjlmtxX14hVx5omQi5ApBlH1eRzvDoMKrcH/U5ix8udScoKrPOyilweqooMB5Tej6y8g==" saltValue="7zSaR8crDg3BlTT9T4K2tg==" spinCount="100000" sqref="I11" name="Interview_3_1_3"/>
  </protectedRanges>
  <mergeCells count="4">
    <mergeCell ref="A1:F1"/>
    <mergeCell ref="G1:I1"/>
    <mergeCell ref="J1:L1"/>
    <mergeCell ref="M1:O1"/>
  </mergeCells>
  <conditionalFormatting sqref="B3:B5 H7:H11 B7:B20">
    <cfRule type="cellIs" dxfId="63" priority="92" operator="equal">
      <formula>"NO"</formula>
    </cfRule>
    <cfRule type="cellIs" dxfId="62" priority="93" operator="equal">
      <formula>"YES"</formula>
    </cfRule>
  </conditionalFormatting>
  <conditionalFormatting sqref="B6">
    <cfRule type="cellIs" dxfId="61" priority="10" operator="equal">
      <formula>"NO"</formula>
    </cfRule>
    <cfRule type="cellIs" dxfId="60" priority="11" operator="equal">
      <formula>"YES"</formula>
    </cfRule>
  </conditionalFormatting>
  <conditionalFormatting sqref="C19:C21">
    <cfRule type="cellIs" dxfId="59" priority="35" operator="equal">
      <formula>"NO"</formula>
    </cfRule>
    <cfRule type="cellIs" dxfId="58" priority="36" operator="equal">
      <formula>"YES"</formula>
    </cfRule>
  </conditionalFormatting>
  <conditionalFormatting sqref="F3:F5 F7:F27">
    <cfRule type="cellIs" dxfId="57" priority="89" operator="equal">
      <formula>-1</formula>
    </cfRule>
    <cfRule type="cellIs" dxfId="56" priority="90" operator="equal">
      <formula>0</formula>
    </cfRule>
    <cfRule type="cellIs" dxfId="55" priority="91" operator="equal">
      <formula>1</formula>
    </cfRule>
  </conditionalFormatting>
  <conditionalFormatting sqref="F6">
    <cfRule type="cellIs" dxfId="54" priority="7" operator="equal">
      <formula>-1</formula>
    </cfRule>
    <cfRule type="cellIs" dxfId="53" priority="8" operator="equal">
      <formula>0</formula>
    </cfRule>
    <cfRule type="cellIs" dxfId="52" priority="9" operator="equal">
      <formula>1</formula>
    </cfRule>
  </conditionalFormatting>
  <conditionalFormatting sqref="H25">
    <cfRule type="cellIs" dxfId="51" priority="5" operator="equal">
      <formula>"NO"</formula>
    </cfRule>
    <cfRule type="cellIs" dxfId="50" priority="6" operator="equal">
      <formula>"YES"</formula>
    </cfRule>
  </conditionalFormatting>
  <hyperlinks>
    <hyperlink ref="I4" location="'I&amp;M Lists'!A60" display="See Type Of Fridges List" xr:uid="{F5BFD6B2-C1B8-4744-8AB7-4B7E28C253AF}"/>
    <hyperlink ref="I21" location="'I&amp;M Lists'!A160" display="See Premium Indicators List" xr:uid="{C9AD8774-60B0-4B28-96AB-3AA507D3A497}"/>
    <hyperlink ref="I18" location="'I&amp;M Lists'!A140" display="See Time Of The Day List" xr:uid="{F56FFA35-AA23-4403-8D80-84E33E3CC130}"/>
    <hyperlink ref="I19" location="'I&amp;M Lists'!A148" display="See Consumer Gender List" xr:uid="{78FAABEC-3943-4408-8343-6B9B15ABF212}"/>
    <hyperlink ref="I20" location="'I&amp;M Lists'!A154" display="See Consumer Age List" xr:uid="{BCF6BBE9-97DA-4376-B153-968D04D2A506}"/>
    <hyperlink ref="I7" location="'I&amp;M Lists'!A156" display="Visibility Brands" xr:uid="{485F798C-43DF-4224-96CC-BAEABF693B99}"/>
    <hyperlink ref="I8" location="'I&amp;M Lists'!A102" display="See Visibility Brands List" xr:uid="{11F1F6D9-DCDB-465B-B02A-5C02FADB9AFE}"/>
    <hyperlink ref="I22" location="'I&amp;M Lists'!A102" display="See Visibility Brands List" xr:uid="{A7BF8F22-FCFD-464D-B057-7EF656AA23F1}"/>
    <hyperlink ref="I12" location="'I&amp;M Lists'!A213" display="Visibility Brands" xr:uid="{9E17DA60-A712-435A-A609-38E990531E98}"/>
    <hyperlink ref="I10" location="'I&amp;M Lists'!A130" display="See Dealer Sign List" xr:uid="{9D398223-07FB-43C9-B8E3-90DBB1912E7E}"/>
    <hyperlink ref="I13" location="'I&amp;M Lists'!A213" display="Visibility Brands" xr:uid="{49C27EFD-3331-46E5-BE4A-5C7AD51157FC}"/>
    <hyperlink ref="I14" location="'I&amp;M Lists'!A213" display="Visibility Brands" xr:uid="{65A7F736-2C62-43A8-B878-CF026C292FAA}"/>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FA035A4-E467-4974-B2F6-40EA919EC1BC}">
          <x14:formula1>
            <xm:f>Constants!$A$2:$A$15</xm:f>
          </x14:formula1>
          <xm:sqref>G6 H3:H5 H25 H7:H22</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4037D-AE28-4EBD-A205-AF29AE2895A4}">
  <sheetPr codeName="Sheet10">
    <tabColor rgb="FFFFFF00"/>
  </sheetPr>
  <dimension ref="A1:W136"/>
  <sheetViews>
    <sheetView tabSelected="1" zoomScale="80" zoomScaleNormal="80" workbookViewId="0">
      <selection activeCell="C24" sqref="C24"/>
    </sheetView>
  </sheetViews>
  <sheetFormatPr defaultColWidth="0" defaultRowHeight="14.45" zeroHeight="1"/>
  <cols>
    <col min="1" max="1" width="9.28515625" style="91" customWidth="1"/>
    <col min="2" max="2" width="18.5703125" style="91" bestFit="1" customWidth="1"/>
    <col min="3" max="3" width="89.28515625" style="91" bestFit="1" customWidth="1"/>
    <col min="4" max="4" width="65.5703125" style="91" customWidth="1"/>
    <col min="5" max="5" width="27" style="91" customWidth="1"/>
    <col min="6" max="6" width="19.7109375" style="91" customWidth="1"/>
    <col min="7" max="7" width="25.42578125" style="91" customWidth="1"/>
    <col min="8" max="8" width="39.5703125" style="91" bestFit="1" customWidth="1"/>
    <col min="9" max="9" width="36.28515625" style="91" bestFit="1" customWidth="1"/>
    <col min="10" max="10" width="16.7109375" style="91" customWidth="1"/>
    <col min="11" max="11" width="9.28515625" style="91" customWidth="1"/>
    <col min="12" max="12" width="12.7109375" style="91" customWidth="1"/>
    <col min="13" max="14" width="9.28515625" style="91" customWidth="1"/>
    <col min="15" max="15" width="11.5703125" style="91" bestFit="1" customWidth="1"/>
    <col min="16" max="16" width="12.85546875" style="91" customWidth="1"/>
    <col min="17" max="17" width="7.28515625" style="91" customWidth="1"/>
    <col min="18" max="18" width="9.85546875" style="91" customWidth="1"/>
    <col min="19" max="19" width="52.28515625" style="91" customWidth="1"/>
    <col min="20" max="23" width="0" style="91" hidden="1" customWidth="1"/>
    <col min="24" max="16384" width="9.28515625" style="91" hidden="1"/>
  </cols>
  <sheetData>
    <row r="1" spans="1:23" ht="15">
      <c r="A1" s="387" t="s">
        <v>202</v>
      </c>
      <c r="B1" s="388"/>
      <c r="C1" s="388"/>
      <c r="D1" s="388"/>
      <c r="E1" s="388"/>
      <c r="F1" s="389"/>
      <c r="G1" s="387" t="s">
        <v>203</v>
      </c>
      <c r="H1" s="388"/>
      <c r="I1" s="389"/>
      <c r="J1" s="387" t="s">
        <v>204</v>
      </c>
      <c r="K1" s="388"/>
      <c r="L1" s="389"/>
      <c r="M1" s="387" t="s">
        <v>205</v>
      </c>
      <c r="N1" s="388"/>
      <c r="O1" s="389"/>
      <c r="P1" s="363"/>
      <c r="Q1" s="363"/>
      <c r="R1" s="363"/>
    </row>
    <row r="2" spans="1:23" ht="75.75" customHeight="1">
      <c r="A2" s="86" t="s">
        <v>20</v>
      </c>
      <c r="B2" s="86" t="s">
        <v>21</v>
      </c>
      <c r="C2" s="86" t="s">
        <v>22</v>
      </c>
      <c r="D2" s="79" t="s">
        <v>206</v>
      </c>
      <c r="E2" s="86" t="s">
        <v>207</v>
      </c>
      <c r="F2" s="86" t="s">
        <v>208</v>
      </c>
      <c r="G2" s="86" t="s">
        <v>23</v>
      </c>
      <c r="H2" s="86" t="s">
        <v>24</v>
      </c>
      <c r="I2" s="86" t="s">
        <v>25</v>
      </c>
      <c r="J2" s="86" t="s">
        <v>209</v>
      </c>
      <c r="K2" s="86" t="s">
        <v>210</v>
      </c>
      <c r="L2" s="86" t="s">
        <v>211</v>
      </c>
      <c r="M2" s="86" t="s">
        <v>212</v>
      </c>
      <c r="N2" s="86" t="s">
        <v>28</v>
      </c>
      <c r="O2" s="86" t="s">
        <v>29</v>
      </c>
      <c r="P2" s="86" t="s">
        <v>609</v>
      </c>
      <c r="Q2" s="86" t="s">
        <v>610</v>
      </c>
      <c r="R2" s="86" t="s">
        <v>29</v>
      </c>
      <c r="S2" s="365" t="s">
        <v>611</v>
      </c>
    </row>
    <row r="3" spans="1:23" ht="54" customHeight="1">
      <c r="A3" s="7" t="s">
        <v>30</v>
      </c>
      <c r="B3" s="7" t="s">
        <v>353</v>
      </c>
      <c r="C3" s="69"/>
      <c r="D3" s="69"/>
      <c r="E3" s="2"/>
      <c r="F3" s="238"/>
      <c r="G3" s="2"/>
      <c r="H3" s="7"/>
      <c r="I3" s="99"/>
      <c r="J3" s="2"/>
      <c r="K3" s="7"/>
      <c r="L3" s="7"/>
      <c r="M3" s="2"/>
      <c r="N3" s="2"/>
      <c r="O3" s="2"/>
      <c r="P3" s="2"/>
      <c r="Q3" s="2"/>
      <c r="R3" s="2"/>
      <c r="S3" s="57"/>
      <c r="T3"/>
      <c r="U3"/>
      <c r="V3"/>
      <c r="W3"/>
    </row>
    <row r="4" spans="1:23" customFormat="1" ht="15">
      <c r="A4" s="7" t="s">
        <v>162</v>
      </c>
      <c r="B4" s="7"/>
      <c r="C4" s="69" t="str">
        <f>"Where do you mainly source your "&amp;R5&amp;" cigarettes from?"</f>
        <v>Where do you mainly source your  cigarettes from?</v>
      </c>
      <c r="D4" s="69" t="s">
        <v>612</v>
      </c>
      <c r="E4" s="2"/>
      <c r="F4" s="238">
        <v>1</v>
      </c>
      <c r="G4" s="2" t="s">
        <v>613</v>
      </c>
      <c r="H4" s="7" t="s">
        <v>215</v>
      </c>
      <c r="I4" s="99" t="s">
        <v>614</v>
      </c>
      <c r="J4" s="2" t="s">
        <v>218</v>
      </c>
      <c r="K4" s="7" t="s">
        <v>278</v>
      </c>
      <c r="L4" s="7" t="s">
        <v>278</v>
      </c>
      <c r="M4" s="2"/>
      <c r="N4" s="2"/>
      <c r="O4" s="2"/>
      <c r="P4" s="2"/>
      <c r="Q4" s="2"/>
      <c r="R4" s="2"/>
      <c r="S4" s="57"/>
    </row>
    <row r="5" spans="1:23" customFormat="1" ht="15">
      <c r="A5" s="7" t="s">
        <v>164</v>
      </c>
      <c r="B5" s="85" t="s">
        <v>615</v>
      </c>
      <c r="C5" s="105" t="s">
        <v>616</v>
      </c>
      <c r="D5" s="105" t="s">
        <v>617</v>
      </c>
      <c r="E5" s="2"/>
      <c r="F5" s="238">
        <v>1</v>
      </c>
      <c r="G5" s="2" t="s">
        <v>618</v>
      </c>
      <c r="H5" s="7" t="s">
        <v>215</v>
      </c>
      <c r="I5" s="99" t="s">
        <v>619</v>
      </c>
      <c r="J5" s="2" t="s">
        <v>218</v>
      </c>
      <c r="K5" s="7" t="s">
        <v>278</v>
      </c>
      <c r="L5" s="7" t="s">
        <v>278</v>
      </c>
      <c r="M5" s="2"/>
      <c r="N5" s="2"/>
      <c r="O5" s="2"/>
      <c r="P5" s="2"/>
      <c r="Q5" s="2"/>
      <c r="R5" s="2"/>
      <c r="S5" s="29">
        <v>1</v>
      </c>
    </row>
    <row r="6" spans="1:23" customFormat="1" ht="15">
      <c r="A6" s="7" t="s">
        <v>165</v>
      </c>
      <c r="B6" s="85" t="s">
        <v>615</v>
      </c>
      <c r="C6" s="105" t="s">
        <v>620</v>
      </c>
      <c r="D6" s="105" t="s">
        <v>621</v>
      </c>
      <c r="E6" s="2"/>
      <c r="F6" s="238">
        <v>1</v>
      </c>
      <c r="G6" s="2" t="s">
        <v>622</v>
      </c>
      <c r="H6" s="7" t="s">
        <v>41</v>
      </c>
      <c r="I6" s="7" t="s">
        <v>494</v>
      </c>
      <c r="J6" s="2" t="s">
        <v>218</v>
      </c>
      <c r="K6" s="7" t="s">
        <v>278</v>
      </c>
      <c r="L6" s="7" t="s">
        <v>278</v>
      </c>
      <c r="M6" s="2"/>
      <c r="N6" s="2"/>
      <c r="O6" s="2"/>
      <c r="P6" s="2">
        <v>0</v>
      </c>
      <c r="Q6" s="2">
        <v>7</v>
      </c>
      <c r="R6" s="2"/>
      <c r="S6" s="29">
        <v>2</v>
      </c>
    </row>
    <row r="7" spans="1:23" customFormat="1" ht="15" hidden="1" customHeight="1">
      <c r="A7" s="7" t="s">
        <v>167</v>
      </c>
      <c r="B7" s="85" t="str">
        <f>A4&amp;"=3,5 or 6"</f>
        <v>D-10=3,5 or 6</v>
      </c>
      <c r="C7" s="105" t="s">
        <v>623</v>
      </c>
      <c r="D7" s="105"/>
      <c r="E7" s="2"/>
      <c r="F7" s="238">
        <v>0</v>
      </c>
      <c r="G7" s="2"/>
      <c r="H7" s="7" t="s">
        <v>215</v>
      </c>
      <c r="I7" s="7" t="s">
        <v>305</v>
      </c>
      <c r="J7" s="2"/>
      <c r="K7" s="7" t="s">
        <v>278</v>
      </c>
      <c r="L7" s="7" t="s">
        <v>278</v>
      </c>
      <c r="M7" s="2"/>
      <c r="N7" s="2"/>
      <c r="O7" s="2"/>
      <c r="P7" s="2"/>
      <c r="Q7" s="2"/>
      <c r="R7" s="2"/>
      <c r="S7" s="29">
        <v>3</v>
      </c>
    </row>
    <row r="8" spans="1:23" customFormat="1" ht="15" hidden="1" customHeight="1">
      <c r="A8" s="7" t="s">
        <v>624</v>
      </c>
      <c r="B8" s="85" t="str">
        <f>A4&amp;"=3,5 or 6"</f>
        <v>D-10=3,5 or 6</v>
      </c>
      <c r="C8" s="105" t="s">
        <v>625</v>
      </c>
      <c r="D8" s="105"/>
      <c r="E8" s="2"/>
      <c r="F8" s="238">
        <v>0</v>
      </c>
      <c r="G8" s="2"/>
      <c r="H8" s="7" t="s">
        <v>41</v>
      </c>
      <c r="I8" s="2" t="s">
        <v>544</v>
      </c>
      <c r="J8" s="2"/>
      <c r="K8" s="7" t="s">
        <v>278</v>
      </c>
      <c r="L8" s="7" t="s">
        <v>278</v>
      </c>
      <c r="M8" s="2"/>
      <c r="N8" s="2"/>
      <c r="O8" s="2"/>
      <c r="P8" s="2"/>
      <c r="Q8" s="2"/>
      <c r="R8" s="2"/>
      <c r="S8" s="29">
        <v>4</v>
      </c>
    </row>
    <row r="9" spans="1:23" customFormat="1" ht="15" hidden="1" customHeight="1">
      <c r="A9" s="7" t="s">
        <v>626</v>
      </c>
      <c r="B9" s="85" t="str">
        <f>A4&amp;" is not 1"</f>
        <v>D-10 is not 1</v>
      </c>
      <c r="C9" s="105" t="s">
        <v>627</v>
      </c>
      <c r="D9" s="105"/>
      <c r="E9" s="2"/>
      <c r="F9" s="238">
        <v>0</v>
      </c>
      <c r="G9" s="2"/>
      <c r="H9" s="7" t="s">
        <v>215</v>
      </c>
      <c r="I9" s="246" t="s">
        <v>628</v>
      </c>
      <c r="J9" s="2"/>
      <c r="K9" s="7" t="s">
        <v>278</v>
      </c>
      <c r="L9" s="7" t="s">
        <v>278</v>
      </c>
      <c r="M9" s="2"/>
      <c r="N9" s="2"/>
      <c r="O9" s="2"/>
      <c r="P9" s="2"/>
      <c r="Q9" s="2"/>
      <c r="R9" s="2"/>
      <c r="S9" s="29">
        <v>5</v>
      </c>
    </row>
    <row r="10" spans="1:23" customFormat="1" ht="15.75" hidden="1" customHeight="1">
      <c r="A10" s="7" t="s">
        <v>629</v>
      </c>
      <c r="B10" s="85" t="str">
        <f>A9&amp;" is not 1"</f>
        <v>D-15 is not 1</v>
      </c>
      <c r="C10" s="105" t="s">
        <v>630</v>
      </c>
      <c r="D10" s="105"/>
      <c r="E10" s="2"/>
      <c r="F10" s="238">
        <v>0</v>
      </c>
      <c r="G10" s="2"/>
      <c r="H10" s="7" t="s">
        <v>405</v>
      </c>
      <c r="I10" s="246" t="s">
        <v>631</v>
      </c>
      <c r="J10" s="2"/>
      <c r="K10" s="7" t="s">
        <v>278</v>
      </c>
      <c r="L10" s="7" t="s">
        <v>278</v>
      </c>
      <c r="M10" s="2"/>
      <c r="N10" s="2"/>
      <c r="O10" s="2"/>
      <c r="P10" s="2"/>
      <c r="Q10" s="2"/>
      <c r="R10" s="2"/>
      <c r="S10" s="29">
        <v>6</v>
      </c>
    </row>
    <row r="11" spans="1:23" customFormat="1" ht="15" hidden="1" customHeight="1">
      <c r="A11" s="7" t="s">
        <v>632</v>
      </c>
      <c r="B11" s="85" t="str">
        <f>A10&amp;" =1"</f>
        <v>D-16 =1</v>
      </c>
      <c r="C11" s="105" t="s">
        <v>633</v>
      </c>
      <c r="D11" s="105"/>
      <c r="E11" s="2"/>
      <c r="F11" s="238">
        <v>0</v>
      </c>
      <c r="G11" s="2"/>
      <c r="H11" s="7" t="s">
        <v>41</v>
      </c>
      <c r="I11" s="2" t="s">
        <v>544</v>
      </c>
      <c r="J11" s="2"/>
      <c r="K11" s="7" t="s">
        <v>278</v>
      </c>
      <c r="L11" s="7" t="s">
        <v>278</v>
      </c>
      <c r="M11" s="2"/>
      <c r="N11" s="2"/>
      <c r="O11" s="2"/>
      <c r="P11" s="2"/>
      <c r="Q11" s="2"/>
      <c r="R11" s="2"/>
      <c r="S11" s="29">
        <v>7</v>
      </c>
    </row>
    <row r="12" spans="1:23" customFormat="1" ht="15" hidden="1" customHeight="1">
      <c r="A12" s="7" t="s">
        <v>634</v>
      </c>
      <c r="B12" s="85" t="str">
        <f>A10&amp;" =2"</f>
        <v>D-16 =2</v>
      </c>
      <c r="C12" s="105" t="s">
        <v>464</v>
      </c>
      <c r="D12" s="105"/>
      <c r="E12" s="2"/>
      <c r="F12" s="238">
        <v>0</v>
      </c>
      <c r="G12" s="2"/>
      <c r="H12" s="7" t="s">
        <v>41</v>
      </c>
      <c r="I12" s="7" t="s">
        <v>635</v>
      </c>
      <c r="J12" s="2"/>
      <c r="K12" s="7" t="s">
        <v>278</v>
      </c>
      <c r="L12" s="7" t="s">
        <v>278</v>
      </c>
      <c r="M12" s="2"/>
      <c r="N12" s="2"/>
      <c r="O12" s="2"/>
      <c r="P12" s="2"/>
      <c r="Q12" s="2"/>
      <c r="R12" s="2"/>
      <c r="S12" s="29">
        <v>8</v>
      </c>
    </row>
    <row r="13" spans="1:23" customFormat="1" ht="45.75">
      <c r="A13" s="7" t="s">
        <v>636</v>
      </c>
      <c r="B13" s="85" t="s">
        <v>637</v>
      </c>
      <c r="C13" s="105" t="s">
        <v>638</v>
      </c>
      <c r="D13" s="105" t="s">
        <v>639</v>
      </c>
      <c r="E13" s="2"/>
      <c r="F13" s="238">
        <v>1</v>
      </c>
      <c r="G13" s="2" t="s">
        <v>640</v>
      </c>
      <c r="H13" s="7" t="s">
        <v>215</v>
      </c>
      <c r="I13" s="301" t="s">
        <v>641</v>
      </c>
      <c r="J13" s="2" t="s">
        <v>218</v>
      </c>
      <c r="K13" s="7" t="s">
        <v>278</v>
      </c>
      <c r="L13" s="7" t="s">
        <v>278</v>
      </c>
      <c r="M13" s="2"/>
      <c r="N13" s="2"/>
      <c r="O13" s="2"/>
      <c r="P13" s="2"/>
      <c r="Q13" s="2"/>
      <c r="R13" s="2"/>
      <c r="S13" s="29">
        <v>3</v>
      </c>
    </row>
    <row r="14" spans="1:23" customFormat="1" ht="15">
      <c r="A14" s="398" t="s">
        <v>297</v>
      </c>
      <c r="B14" s="399"/>
      <c r="C14" s="399"/>
      <c r="D14" s="399"/>
      <c r="E14" s="399"/>
      <c r="F14" s="399"/>
      <c r="G14" s="399"/>
      <c r="H14" s="399"/>
      <c r="I14" s="399"/>
      <c r="J14" s="399"/>
      <c r="K14" s="399"/>
      <c r="L14" s="399"/>
      <c r="M14" s="399"/>
      <c r="N14" s="399"/>
      <c r="O14" s="400"/>
      <c r="P14" s="364"/>
      <c r="Q14" s="364"/>
      <c r="R14" s="364"/>
      <c r="S14" s="29">
        <v>4</v>
      </c>
    </row>
    <row r="15" spans="1:23" s="84" customFormat="1" ht="15">
      <c r="A15" s="7" t="s">
        <v>642</v>
      </c>
      <c r="B15" s="7"/>
      <c r="C15" s="69" t="str">
        <f>"Where do you mainly source your "&amp;R6&amp;" cigarettes from?"</f>
        <v>Where do you mainly source your  cigarettes from?</v>
      </c>
      <c r="D15" s="69" t="s">
        <v>643</v>
      </c>
      <c r="E15" s="2"/>
      <c r="F15" s="238">
        <v>1</v>
      </c>
      <c r="G15" s="2" t="s">
        <v>644</v>
      </c>
      <c r="H15" s="7" t="s">
        <v>215</v>
      </c>
      <c r="I15" s="246" t="s">
        <v>614</v>
      </c>
      <c r="J15" s="2" t="s">
        <v>218</v>
      </c>
      <c r="K15" s="7" t="s">
        <v>278</v>
      </c>
      <c r="L15" s="7" t="s">
        <v>278</v>
      </c>
      <c r="M15" s="2"/>
      <c r="N15" s="2"/>
      <c r="O15" s="2"/>
      <c r="P15" s="2"/>
      <c r="Q15" s="2"/>
      <c r="R15" s="2"/>
      <c r="S15" s="29">
        <v>5</v>
      </c>
    </row>
    <row r="16" spans="1:23" s="84" customFormat="1" ht="15">
      <c r="A16" s="7" t="s">
        <v>645</v>
      </c>
      <c r="B16" s="85" t="s">
        <v>646</v>
      </c>
      <c r="C16" s="105" t="str">
        <f t="shared" ref="C16:C23" si="0">C5</f>
        <v>How do you make the majority of your orders?</v>
      </c>
      <c r="D16" s="105" t="s">
        <v>617</v>
      </c>
      <c r="E16" s="2"/>
      <c r="F16" s="238">
        <v>1</v>
      </c>
      <c r="G16" s="2" t="s">
        <v>618</v>
      </c>
      <c r="H16" s="7" t="s">
        <v>215</v>
      </c>
      <c r="I16" s="246" t="s">
        <v>619</v>
      </c>
      <c r="J16" s="2" t="s">
        <v>218</v>
      </c>
      <c r="K16" s="7" t="s">
        <v>278</v>
      </c>
      <c r="L16" s="7" t="s">
        <v>278</v>
      </c>
      <c r="M16" s="2"/>
      <c r="N16" s="2"/>
      <c r="O16" s="2"/>
      <c r="P16" s="2"/>
      <c r="Q16" s="2"/>
      <c r="R16" s="2"/>
      <c r="S16" s="29">
        <v>6</v>
      </c>
    </row>
    <row r="17" spans="1:19" s="84" customFormat="1" ht="15">
      <c r="A17" s="7" t="s">
        <v>647</v>
      </c>
      <c r="B17" s="85" t="s">
        <v>646</v>
      </c>
      <c r="C17" s="105" t="str">
        <f t="shared" si="0"/>
        <v>How often do you buy, get delivered per week?</v>
      </c>
      <c r="D17" s="105" t="s">
        <v>621</v>
      </c>
      <c r="E17" s="2"/>
      <c r="F17" s="238">
        <v>1</v>
      </c>
      <c r="G17" s="2" t="s">
        <v>622</v>
      </c>
      <c r="H17" s="7" t="s">
        <v>41</v>
      </c>
      <c r="I17" s="7" t="s">
        <v>494</v>
      </c>
      <c r="J17" s="2" t="s">
        <v>218</v>
      </c>
      <c r="K17" s="7" t="s">
        <v>278</v>
      </c>
      <c r="L17" s="7" t="s">
        <v>278</v>
      </c>
      <c r="M17" s="2"/>
      <c r="N17" s="2"/>
      <c r="O17" s="2"/>
      <c r="P17" s="2">
        <v>0</v>
      </c>
      <c r="Q17" s="2">
        <v>7</v>
      </c>
      <c r="R17" s="2"/>
      <c r="S17" s="29">
        <v>7</v>
      </c>
    </row>
    <row r="18" spans="1:19" s="84" customFormat="1" ht="14.65" hidden="1" customHeight="1">
      <c r="A18" s="7" t="s">
        <v>648</v>
      </c>
      <c r="B18" s="85" t="str">
        <f>A15&amp;"=3,5 or 6"</f>
        <v>D-20=3,5 or 6</v>
      </c>
      <c r="C18" s="105" t="str">
        <f t="shared" si="0"/>
        <v>Are you happy with the order quantity and/or frequency?</v>
      </c>
      <c r="D18" s="105"/>
      <c r="E18" s="2"/>
      <c r="F18" s="238">
        <v>1</v>
      </c>
      <c r="G18" s="2"/>
      <c r="H18" s="7" t="s">
        <v>215</v>
      </c>
      <c r="I18" s="7" t="s">
        <v>305</v>
      </c>
      <c r="J18" s="2"/>
      <c r="K18" s="7" t="s">
        <v>278</v>
      </c>
      <c r="L18" s="7" t="s">
        <v>278</v>
      </c>
      <c r="M18" s="2"/>
      <c r="N18" s="2"/>
      <c r="O18" s="2"/>
      <c r="P18" s="2"/>
      <c r="Q18" s="2"/>
      <c r="R18" s="2"/>
      <c r="S18" s="29">
        <v>8</v>
      </c>
    </row>
    <row r="19" spans="1:19" s="84" customFormat="1" ht="14.65" hidden="1" customHeight="1">
      <c r="A19" s="7" t="s">
        <v>649</v>
      </c>
      <c r="B19" s="85" t="str">
        <f>A15&amp;"=3,5 or 6"</f>
        <v>D-20=3,5 or 6</v>
      </c>
      <c r="C19" s="105" t="str">
        <f t="shared" si="0"/>
        <v>What is the minimum quantity to order to get delivered by a supplier/wholesaler or distributor?</v>
      </c>
      <c r="D19" s="105"/>
      <c r="E19" s="2"/>
      <c r="F19" s="238">
        <v>1</v>
      </c>
      <c r="G19" s="2"/>
      <c r="H19" s="7" t="s">
        <v>41</v>
      </c>
      <c r="I19" s="2" t="s">
        <v>544</v>
      </c>
      <c r="J19" s="2"/>
      <c r="K19" s="7" t="s">
        <v>278</v>
      </c>
      <c r="L19" s="7" t="s">
        <v>278</v>
      </c>
      <c r="M19" s="2"/>
      <c r="N19" s="2"/>
      <c r="O19" s="2"/>
      <c r="P19" s="2"/>
      <c r="Q19" s="2"/>
      <c r="R19" s="2"/>
      <c r="S19" s="29">
        <v>9</v>
      </c>
    </row>
    <row r="20" spans="1:19" s="84" customFormat="1" ht="15" hidden="1" customHeight="1">
      <c r="A20" s="7" t="s">
        <v>650</v>
      </c>
      <c r="B20" s="85" t="str">
        <f>A15&amp;" is not 1"</f>
        <v>D-20 is not 1</v>
      </c>
      <c r="C20" s="105" t="str">
        <f t="shared" si="0"/>
        <v>What are your payment conditions?</v>
      </c>
      <c r="D20" s="105"/>
      <c r="E20" s="2"/>
      <c r="F20" s="238">
        <v>0</v>
      </c>
      <c r="G20" s="2"/>
      <c r="H20" s="7" t="s">
        <v>215</v>
      </c>
      <c r="I20" s="246" t="s">
        <v>628</v>
      </c>
      <c r="J20" s="2"/>
      <c r="K20" s="7" t="s">
        <v>278</v>
      </c>
      <c r="L20" s="7" t="s">
        <v>278</v>
      </c>
      <c r="M20" s="2"/>
      <c r="N20" s="2"/>
      <c r="O20" s="2"/>
      <c r="P20" s="2"/>
      <c r="Q20" s="2"/>
      <c r="R20" s="2"/>
      <c r="S20" s="29">
        <v>10</v>
      </c>
    </row>
    <row r="21" spans="1:19" s="84" customFormat="1" ht="15" hidden="1" customHeight="1">
      <c r="A21" s="7" t="s">
        <v>651</v>
      </c>
      <c r="B21" s="85" t="str">
        <f>A20&amp;" is not 1"</f>
        <v>D-25 is not 1</v>
      </c>
      <c r="C21" s="105" t="str">
        <f t="shared" si="0"/>
        <v>What type of credit do you get?</v>
      </c>
      <c r="D21" s="105"/>
      <c r="E21" s="2"/>
      <c r="F21" s="238">
        <v>0</v>
      </c>
      <c r="G21" s="2"/>
      <c r="H21" s="7" t="s">
        <v>405</v>
      </c>
      <c r="I21" s="246" t="s">
        <v>631</v>
      </c>
      <c r="J21" s="2"/>
      <c r="K21" s="7" t="s">
        <v>278</v>
      </c>
      <c r="L21" s="7" t="s">
        <v>278</v>
      </c>
      <c r="M21" s="2"/>
      <c r="N21" s="2"/>
      <c r="O21" s="2"/>
      <c r="P21" s="2"/>
      <c r="Q21" s="2"/>
      <c r="R21" s="2"/>
      <c r="S21" s="29">
        <v>11</v>
      </c>
    </row>
    <row r="22" spans="1:19" s="84" customFormat="1" ht="15" hidden="1" customHeight="1">
      <c r="A22" s="7" t="s">
        <v>652</v>
      </c>
      <c r="B22" s="85" t="str">
        <f>A21&amp;" =1"</f>
        <v>D-26 =1</v>
      </c>
      <c r="C22" s="105" t="str">
        <f t="shared" si="0"/>
        <v>What is the maximum number of open invoices allowed?</v>
      </c>
      <c r="D22" s="105"/>
      <c r="E22" s="2"/>
      <c r="F22" s="238">
        <v>0</v>
      </c>
      <c r="G22" s="2"/>
      <c r="H22" s="7" t="s">
        <v>41</v>
      </c>
      <c r="I22" s="2" t="s">
        <v>544</v>
      </c>
      <c r="J22" s="2"/>
      <c r="K22" s="7" t="s">
        <v>278</v>
      </c>
      <c r="L22" s="7" t="s">
        <v>278</v>
      </c>
      <c r="M22" s="2"/>
      <c r="N22" s="2"/>
      <c r="O22" s="2"/>
      <c r="P22" s="2"/>
      <c r="Q22" s="2"/>
      <c r="R22" s="2"/>
      <c r="S22" s="29">
        <v>12</v>
      </c>
    </row>
    <row r="23" spans="1:19" s="84" customFormat="1" ht="15" hidden="1" customHeight="1">
      <c r="A23" s="7" t="s">
        <v>653</v>
      </c>
      <c r="B23" s="85" t="str">
        <f>A21&amp;" =2"</f>
        <v>D-26 =2</v>
      </c>
      <c r="C23" s="105" t="str">
        <f t="shared" si="0"/>
        <v>How long is the credit in weeks?</v>
      </c>
      <c r="D23" s="105"/>
      <c r="E23" s="2"/>
      <c r="F23" s="238">
        <v>0</v>
      </c>
      <c r="G23" s="2"/>
      <c r="H23" s="7" t="s">
        <v>41</v>
      </c>
      <c r="I23" s="7" t="s">
        <v>635</v>
      </c>
      <c r="J23" s="2"/>
      <c r="K23" s="7" t="s">
        <v>278</v>
      </c>
      <c r="L23" s="7" t="s">
        <v>278</v>
      </c>
      <c r="M23" s="2"/>
      <c r="N23" s="2"/>
      <c r="O23" s="2"/>
      <c r="P23" s="2"/>
      <c r="Q23" s="2"/>
      <c r="R23" s="2"/>
      <c r="S23" s="29">
        <v>13</v>
      </c>
    </row>
    <row r="24" spans="1:19" s="84" customFormat="1" ht="45.75">
      <c r="A24" s="7" t="s">
        <v>654</v>
      </c>
      <c r="B24" s="85" t="s">
        <v>655</v>
      </c>
      <c r="C24" s="281" t="str">
        <f>C13</f>
        <v>What is the name of your official Wholesaler/Distributor?</v>
      </c>
      <c r="D24" s="105" t="s">
        <v>639</v>
      </c>
      <c r="E24" s="2"/>
      <c r="F24" s="238">
        <v>1</v>
      </c>
      <c r="G24" s="2" t="s">
        <v>656</v>
      </c>
      <c r="H24" s="7" t="s">
        <v>215</v>
      </c>
      <c r="I24" s="247" t="s">
        <v>657</v>
      </c>
      <c r="J24" s="2" t="s">
        <v>218</v>
      </c>
      <c r="K24" s="7" t="s">
        <v>278</v>
      </c>
      <c r="L24" s="7" t="s">
        <v>278</v>
      </c>
      <c r="M24" s="3"/>
      <c r="N24" s="2"/>
      <c r="O24" s="2"/>
      <c r="P24" s="2"/>
      <c r="Q24" s="2"/>
      <c r="R24" s="2"/>
    </row>
    <row r="25" spans="1:19" customFormat="1" ht="15">
      <c r="A25" s="398" t="s">
        <v>297</v>
      </c>
      <c r="B25" s="399"/>
      <c r="C25" s="399"/>
      <c r="D25" s="399"/>
      <c r="E25" s="399"/>
      <c r="F25" s="399"/>
      <c r="G25" s="399"/>
      <c r="H25" s="399"/>
      <c r="I25" s="399"/>
      <c r="J25" s="399"/>
      <c r="K25" s="399"/>
      <c r="L25" s="399"/>
      <c r="M25" s="399"/>
      <c r="N25" s="399"/>
      <c r="O25" s="400"/>
      <c r="P25" s="364"/>
      <c r="Q25" s="364"/>
      <c r="R25" s="364"/>
    </row>
    <row r="26" spans="1:19" customFormat="1" ht="14.65" customHeight="1">
      <c r="A26" s="7" t="s">
        <v>658</v>
      </c>
      <c r="B26" s="7"/>
      <c r="C26" s="307" t="str">
        <f>"Where do you mainly source your "&amp;R13&amp;" cigarettes from?"</f>
        <v>Where do you mainly source your  cigarettes from?</v>
      </c>
      <c r="D26" s="69" t="s">
        <v>659</v>
      </c>
      <c r="E26" s="2"/>
      <c r="F26" s="238">
        <v>1</v>
      </c>
      <c r="G26" s="2" t="s">
        <v>660</v>
      </c>
      <c r="H26" s="7" t="s">
        <v>215</v>
      </c>
      <c r="I26" s="246" t="s">
        <v>614</v>
      </c>
      <c r="J26" s="2" t="s">
        <v>218</v>
      </c>
      <c r="K26" s="7" t="s">
        <v>278</v>
      </c>
      <c r="L26" s="7" t="s">
        <v>278</v>
      </c>
      <c r="M26" s="2"/>
      <c r="N26" s="2"/>
      <c r="O26" s="2"/>
      <c r="P26" s="2"/>
      <c r="Q26" s="2"/>
      <c r="R26" s="2"/>
    </row>
    <row r="27" spans="1:19" customFormat="1" ht="14.65" customHeight="1">
      <c r="A27" s="7" t="s">
        <v>661</v>
      </c>
      <c r="B27" s="85" t="s">
        <v>662</v>
      </c>
      <c r="C27" s="308" t="str">
        <f t="shared" ref="C27:C35" si="1">C16</f>
        <v>How do you make the majority of your orders?</v>
      </c>
      <c r="D27" s="105" t="s">
        <v>617</v>
      </c>
      <c r="E27" s="2"/>
      <c r="F27" s="238">
        <v>1</v>
      </c>
      <c r="G27" s="2" t="s">
        <v>618</v>
      </c>
      <c r="H27" s="7" t="s">
        <v>215</v>
      </c>
      <c r="I27" s="246" t="s">
        <v>619</v>
      </c>
      <c r="J27" s="2" t="s">
        <v>218</v>
      </c>
      <c r="K27" s="7" t="s">
        <v>278</v>
      </c>
      <c r="L27" s="7" t="s">
        <v>278</v>
      </c>
      <c r="M27" s="2"/>
      <c r="N27" s="2"/>
      <c r="O27" s="2"/>
      <c r="P27" s="2"/>
      <c r="Q27" s="2"/>
      <c r="R27" s="2"/>
    </row>
    <row r="28" spans="1:19" customFormat="1" ht="14.65" customHeight="1">
      <c r="A28" s="7" t="s">
        <v>663</v>
      </c>
      <c r="B28" s="85" t="s">
        <v>662</v>
      </c>
      <c r="C28" s="308" t="str">
        <f t="shared" si="1"/>
        <v>How often do you buy, get delivered per week?</v>
      </c>
      <c r="D28" s="105" t="s">
        <v>621</v>
      </c>
      <c r="E28" s="2"/>
      <c r="F28" s="238">
        <v>1</v>
      </c>
      <c r="G28" s="2" t="s">
        <v>622</v>
      </c>
      <c r="H28" s="7" t="s">
        <v>41</v>
      </c>
      <c r="I28" s="7" t="s">
        <v>494</v>
      </c>
      <c r="J28" s="2" t="s">
        <v>218</v>
      </c>
      <c r="K28" s="7" t="s">
        <v>278</v>
      </c>
      <c r="L28" s="7" t="s">
        <v>278</v>
      </c>
      <c r="M28" s="2"/>
      <c r="N28" s="2"/>
      <c r="O28" s="2"/>
      <c r="P28" s="2">
        <v>0</v>
      </c>
      <c r="Q28" s="2">
        <v>7</v>
      </c>
      <c r="R28" s="2"/>
    </row>
    <row r="29" spans="1:19" customFormat="1" ht="14.65" hidden="1" customHeight="1">
      <c r="A29" s="7" t="s">
        <v>664</v>
      </c>
      <c r="B29" s="85" t="str">
        <f>A26&amp;"=3,5 or 6"</f>
        <v>D-30=3,5 or 6</v>
      </c>
      <c r="C29" s="308" t="str">
        <f t="shared" si="1"/>
        <v>Are you happy with the order quantity and/or frequency?</v>
      </c>
      <c r="D29" s="105"/>
      <c r="E29" s="2"/>
      <c r="F29" s="238">
        <v>0</v>
      </c>
      <c r="G29" s="2"/>
      <c r="H29" s="7" t="s">
        <v>215</v>
      </c>
      <c r="I29" s="7" t="s">
        <v>305</v>
      </c>
      <c r="J29" s="2"/>
      <c r="K29" s="7" t="s">
        <v>278</v>
      </c>
      <c r="L29" s="7" t="s">
        <v>278</v>
      </c>
      <c r="M29" s="2"/>
      <c r="N29" s="2"/>
      <c r="O29" s="2"/>
      <c r="P29" s="2"/>
      <c r="Q29" s="2"/>
      <c r="R29" s="2"/>
    </row>
    <row r="30" spans="1:19" customFormat="1" ht="14.65" hidden="1" customHeight="1">
      <c r="A30" s="7" t="s">
        <v>665</v>
      </c>
      <c r="B30" s="85" t="str">
        <f>A26&amp;"=3,5 or 6"</f>
        <v>D-30=3,5 or 6</v>
      </c>
      <c r="C30" s="308" t="str">
        <f t="shared" si="1"/>
        <v>What is the minimum quantity to order to get delivered by a supplier/wholesaler or distributor?</v>
      </c>
      <c r="D30" s="105"/>
      <c r="E30" s="2"/>
      <c r="F30" s="238">
        <v>0</v>
      </c>
      <c r="G30" s="2"/>
      <c r="H30" s="7" t="s">
        <v>41</v>
      </c>
      <c r="I30" s="2" t="s">
        <v>544</v>
      </c>
      <c r="J30" s="2"/>
      <c r="K30" s="7" t="s">
        <v>278</v>
      </c>
      <c r="L30" s="7" t="s">
        <v>278</v>
      </c>
      <c r="M30" s="2"/>
      <c r="N30" s="2"/>
      <c r="O30" s="2"/>
      <c r="P30" s="2"/>
      <c r="Q30" s="2"/>
      <c r="R30" s="2"/>
    </row>
    <row r="31" spans="1:19" customFormat="1" ht="14.65" hidden="1" customHeight="1">
      <c r="A31" s="7" t="s">
        <v>666</v>
      </c>
      <c r="B31" s="85" t="str">
        <f>A26&amp;" is not 1"</f>
        <v>D-30 is not 1</v>
      </c>
      <c r="C31" s="308" t="str">
        <f t="shared" si="1"/>
        <v>What are your payment conditions?</v>
      </c>
      <c r="D31" s="105"/>
      <c r="E31" s="2"/>
      <c r="F31" s="238">
        <v>0</v>
      </c>
      <c r="G31" s="2"/>
      <c r="H31" s="7" t="s">
        <v>215</v>
      </c>
      <c r="I31" s="246" t="s">
        <v>628</v>
      </c>
      <c r="J31" s="2"/>
      <c r="K31" s="7" t="s">
        <v>278</v>
      </c>
      <c r="L31" s="7" t="s">
        <v>278</v>
      </c>
      <c r="M31" s="2"/>
      <c r="N31" s="2"/>
      <c r="O31" s="2"/>
      <c r="P31" s="2"/>
      <c r="Q31" s="2"/>
      <c r="R31" s="2"/>
    </row>
    <row r="32" spans="1:19" customFormat="1" ht="14.65" hidden="1" customHeight="1">
      <c r="A32" s="7" t="s">
        <v>667</v>
      </c>
      <c r="B32" s="85" t="str">
        <f>A31&amp;" is not 1"</f>
        <v>D-35 is not 1</v>
      </c>
      <c r="C32" s="308" t="str">
        <f t="shared" si="1"/>
        <v>What type of credit do you get?</v>
      </c>
      <c r="D32" s="105"/>
      <c r="E32" s="2"/>
      <c r="F32" s="238">
        <v>0</v>
      </c>
      <c r="G32" s="2"/>
      <c r="H32" s="7" t="s">
        <v>405</v>
      </c>
      <c r="I32" s="246" t="s">
        <v>631</v>
      </c>
      <c r="J32" s="2"/>
      <c r="K32" s="7" t="s">
        <v>278</v>
      </c>
      <c r="L32" s="7" t="s">
        <v>278</v>
      </c>
      <c r="M32" s="2"/>
      <c r="N32" s="2"/>
      <c r="O32" s="2"/>
      <c r="P32" s="2"/>
      <c r="Q32" s="2"/>
      <c r="R32" s="2"/>
    </row>
    <row r="33" spans="1:18" customFormat="1" ht="14.65" hidden="1" customHeight="1">
      <c r="A33" s="7" t="s">
        <v>668</v>
      </c>
      <c r="B33" s="85" t="str">
        <f>A32&amp;" =1"</f>
        <v>D-36 =1</v>
      </c>
      <c r="C33" s="308" t="str">
        <f t="shared" si="1"/>
        <v>What is the maximum number of open invoices allowed?</v>
      </c>
      <c r="D33" s="105"/>
      <c r="E33" s="2"/>
      <c r="F33" s="238">
        <v>0</v>
      </c>
      <c r="G33" s="2"/>
      <c r="H33" s="7" t="s">
        <v>41</v>
      </c>
      <c r="I33" s="2" t="s">
        <v>544</v>
      </c>
      <c r="J33" s="2"/>
      <c r="K33" s="7" t="s">
        <v>278</v>
      </c>
      <c r="L33" s="7" t="s">
        <v>278</v>
      </c>
      <c r="M33" s="2"/>
      <c r="N33" s="2"/>
      <c r="O33" s="2"/>
      <c r="P33" s="2"/>
      <c r="Q33" s="2"/>
      <c r="R33" s="2"/>
    </row>
    <row r="34" spans="1:18" customFormat="1" ht="14.65" hidden="1" customHeight="1">
      <c r="A34" s="7" t="s">
        <v>669</v>
      </c>
      <c r="B34" s="85" t="str">
        <f>A32&amp;" =2"</f>
        <v>D-36 =2</v>
      </c>
      <c r="C34" s="308" t="str">
        <f t="shared" si="1"/>
        <v>How long is the credit in weeks?</v>
      </c>
      <c r="D34" s="105"/>
      <c r="E34" s="2"/>
      <c r="F34" s="238">
        <v>0</v>
      </c>
      <c r="G34" s="2"/>
      <c r="H34" s="7" t="s">
        <v>41</v>
      </c>
      <c r="I34" s="7" t="s">
        <v>635</v>
      </c>
      <c r="J34" s="2"/>
      <c r="K34" s="7" t="s">
        <v>278</v>
      </c>
      <c r="L34" s="7" t="s">
        <v>278</v>
      </c>
      <c r="M34" s="2"/>
      <c r="N34" s="2"/>
      <c r="O34" s="2"/>
      <c r="P34" s="2"/>
      <c r="Q34" s="2"/>
      <c r="R34" s="2"/>
    </row>
    <row r="35" spans="1:18" customFormat="1" ht="14.65" customHeight="1">
      <c r="A35" s="7" t="s">
        <v>670</v>
      </c>
      <c r="B35" s="85" t="s">
        <v>671</v>
      </c>
      <c r="C35" s="308" t="str">
        <f t="shared" si="1"/>
        <v>What is the name of your official Wholesaler/Distributor?</v>
      </c>
      <c r="D35" s="105" t="s">
        <v>639</v>
      </c>
      <c r="E35" s="2"/>
      <c r="F35" s="238">
        <v>1</v>
      </c>
      <c r="G35" s="2" t="s">
        <v>672</v>
      </c>
      <c r="H35" s="7" t="s">
        <v>215</v>
      </c>
      <c r="I35" s="247" t="s">
        <v>657</v>
      </c>
      <c r="J35" s="2" t="s">
        <v>218</v>
      </c>
      <c r="K35" s="7" t="s">
        <v>278</v>
      </c>
      <c r="L35" s="7" t="s">
        <v>278</v>
      </c>
      <c r="M35" s="3"/>
      <c r="N35" s="2"/>
      <c r="O35" s="2"/>
      <c r="P35" s="2"/>
      <c r="Q35" s="2"/>
      <c r="R35" s="2"/>
    </row>
    <row r="36" spans="1:18" customFormat="1" ht="15">
      <c r="A36" s="398" t="s">
        <v>297</v>
      </c>
      <c r="B36" s="399"/>
      <c r="C36" s="399"/>
      <c r="D36" s="399"/>
      <c r="E36" s="399"/>
      <c r="F36" s="399"/>
      <c r="G36" s="399"/>
      <c r="H36" s="399"/>
      <c r="I36" s="399"/>
      <c r="J36" s="399"/>
      <c r="K36" s="399"/>
      <c r="L36" s="399"/>
      <c r="M36" s="399"/>
      <c r="N36" s="399"/>
      <c r="O36" s="400"/>
      <c r="P36" s="364"/>
      <c r="Q36" s="364"/>
      <c r="R36" s="364"/>
    </row>
    <row r="37" spans="1:18" customFormat="1" ht="14.65" customHeight="1">
      <c r="A37" s="7" t="s">
        <v>673</v>
      </c>
      <c r="B37" s="7"/>
      <c r="C37" s="307" t="str">
        <f>"Where do you mainly source your "&amp;R14&amp;" cigarettes from?"</f>
        <v>Where do you mainly source your  cigarettes from?</v>
      </c>
      <c r="D37" s="69" t="s">
        <v>674</v>
      </c>
      <c r="E37" s="2"/>
      <c r="F37" s="238">
        <v>1</v>
      </c>
      <c r="G37" s="2" t="s">
        <v>675</v>
      </c>
      <c r="H37" s="7" t="s">
        <v>215</v>
      </c>
      <c r="I37" s="246" t="s">
        <v>614</v>
      </c>
      <c r="J37" s="2" t="s">
        <v>218</v>
      </c>
      <c r="K37" s="7" t="s">
        <v>278</v>
      </c>
      <c r="L37" s="7" t="s">
        <v>278</v>
      </c>
      <c r="M37" s="2"/>
      <c r="N37" s="2"/>
      <c r="O37" s="2"/>
      <c r="P37" s="2"/>
      <c r="Q37" s="2"/>
      <c r="R37" s="2"/>
    </row>
    <row r="38" spans="1:18" customFormat="1" ht="14.65" customHeight="1">
      <c r="A38" s="7" t="s">
        <v>676</v>
      </c>
      <c r="B38" s="85" t="s">
        <v>677</v>
      </c>
      <c r="C38" s="308" t="str">
        <f t="shared" ref="C38:C46" si="2">C27</f>
        <v>How do you make the majority of your orders?</v>
      </c>
      <c r="D38" s="105" t="s">
        <v>617</v>
      </c>
      <c r="E38" s="2"/>
      <c r="F38" s="238">
        <v>1</v>
      </c>
      <c r="G38" s="2" t="s">
        <v>618</v>
      </c>
      <c r="H38" s="7" t="s">
        <v>215</v>
      </c>
      <c r="I38" s="246" t="s">
        <v>619</v>
      </c>
      <c r="J38" s="2" t="s">
        <v>218</v>
      </c>
      <c r="K38" s="7" t="s">
        <v>278</v>
      </c>
      <c r="L38" s="7" t="s">
        <v>278</v>
      </c>
      <c r="M38" s="2"/>
      <c r="N38" s="2"/>
      <c r="O38" s="2"/>
      <c r="P38" s="2"/>
      <c r="Q38" s="2"/>
      <c r="R38" s="2"/>
    </row>
    <row r="39" spans="1:18" customFormat="1" ht="14.65" customHeight="1">
      <c r="A39" s="7" t="s">
        <v>678</v>
      </c>
      <c r="B39" s="85" t="s">
        <v>677</v>
      </c>
      <c r="C39" s="308" t="str">
        <f t="shared" si="2"/>
        <v>How often do you buy, get delivered per week?</v>
      </c>
      <c r="D39" s="105" t="s">
        <v>621</v>
      </c>
      <c r="E39" s="2"/>
      <c r="F39" s="238">
        <v>1</v>
      </c>
      <c r="G39" s="2" t="s">
        <v>622</v>
      </c>
      <c r="H39" s="7" t="s">
        <v>41</v>
      </c>
      <c r="I39" s="7" t="s">
        <v>494</v>
      </c>
      <c r="J39" s="2" t="s">
        <v>218</v>
      </c>
      <c r="K39" s="7" t="s">
        <v>278</v>
      </c>
      <c r="L39" s="7" t="s">
        <v>278</v>
      </c>
      <c r="M39" s="2"/>
      <c r="N39" s="2"/>
      <c r="O39" s="2"/>
      <c r="P39" s="2">
        <v>0</v>
      </c>
      <c r="Q39" s="2">
        <v>7</v>
      </c>
      <c r="R39" s="2"/>
    </row>
    <row r="40" spans="1:18" customFormat="1" ht="14.65" hidden="1" customHeight="1">
      <c r="A40" s="7" t="s">
        <v>679</v>
      </c>
      <c r="B40" s="85" t="str">
        <f>A37&amp;"=3,5 or 6"</f>
        <v>D-40=3,5 or 6</v>
      </c>
      <c r="C40" s="308" t="str">
        <f t="shared" si="2"/>
        <v>Are you happy with the order quantity and/or frequency?</v>
      </c>
      <c r="D40" s="105"/>
      <c r="E40" s="2"/>
      <c r="F40" s="238">
        <v>0</v>
      </c>
      <c r="G40" s="2"/>
      <c r="H40" s="7" t="s">
        <v>215</v>
      </c>
      <c r="I40" s="7" t="s">
        <v>305</v>
      </c>
      <c r="J40" s="2"/>
      <c r="K40" s="7" t="s">
        <v>278</v>
      </c>
      <c r="L40" s="7" t="s">
        <v>278</v>
      </c>
      <c r="M40" s="2"/>
      <c r="N40" s="2"/>
      <c r="O40" s="2"/>
      <c r="P40" s="2"/>
      <c r="Q40" s="2"/>
      <c r="R40" s="2"/>
    </row>
    <row r="41" spans="1:18" customFormat="1" ht="14.65" hidden="1" customHeight="1">
      <c r="A41" s="7" t="s">
        <v>680</v>
      </c>
      <c r="B41" s="85" t="str">
        <f>A37&amp;"=3,5 or 6"</f>
        <v>D-40=3,5 or 6</v>
      </c>
      <c r="C41" s="308" t="str">
        <f t="shared" si="2"/>
        <v>What is the minimum quantity to order to get delivered by a supplier/wholesaler or distributor?</v>
      </c>
      <c r="D41" s="105"/>
      <c r="E41" s="2"/>
      <c r="F41" s="238">
        <v>0</v>
      </c>
      <c r="G41" s="2"/>
      <c r="H41" s="7" t="s">
        <v>41</v>
      </c>
      <c r="I41" s="2" t="s">
        <v>544</v>
      </c>
      <c r="J41" s="2"/>
      <c r="K41" s="7" t="s">
        <v>278</v>
      </c>
      <c r="L41" s="7" t="s">
        <v>278</v>
      </c>
      <c r="M41" s="2"/>
      <c r="N41" s="2"/>
      <c r="O41" s="2"/>
      <c r="P41" s="2"/>
      <c r="Q41" s="2"/>
      <c r="R41" s="2"/>
    </row>
    <row r="42" spans="1:18" customFormat="1" ht="14.65" hidden="1" customHeight="1">
      <c r="A42" s="7" t="s">
        <v>681</v>
      </c>
      <c r="B42" s="85" t="str">
        <f>A37&amp;" is not 1"</f>
        <v>D-40 is not 1</v>
      </c>
      <c r="C42" s="308" t="str">
        <f t="shared" si="2"/>
        <v>What are your payment conditions?</v>
      </c>
      <c r="D42" s="105"/>
      <c r="E42" s="2"/>
      <c r="F42" s="238">
        <v>0</v>
      </c>
      <c r="G42" s="2"/>
      <c r="H42" s="7" t="s">
        <v>215</v>
      </c>
      <c r="I42" s="246" t="s">
        <v>628</v>
      </c>
      <c r="J42" s="2"/>
      <c r="K42" s="7" t="s">
        <v>278</v>
      </c>
      <c r="L42" s="7" t="s">
        <v>278</v>
      </c>
      <c r="M42" s="2"/>
      <c r="N42" s="2"/>
      <c r="O42" s="2"/>
      <c r="P42" s="2"/>
      <c r="Q42" s="2"/>
      <c r="R42" s="2"/>
    </row>
    <row r="43" spans="1:18" customFormat="1" ht="14.65" hidden="1" customHeight="1">
      <c r="A43" s="7" t="s">
        <v>682</v>
      </c>
      <c r="B43" s="85" t="str">
        <f>A42&amp;" is not 1"</f>
        <v>D-45 is not 1</v>
      </c>
      <c r="C43" s="308" t="str">
        <f t="shared" si="2"/>
        <v>What type of credit do you get?</v>
      </c>
      <c r="D43" s="105"/>
      <c r="E43" s="2"/>
      <c r="F43" s="238">
        <v>0</v>
      </c>
      <c r="G43" s="2"/>
      <c r="H43" s="7" t="s">
        <v>405</v>
      </c>
      <c r="I43" s="246" t="s">
        <v>631</v>
      </c>
      <c r="J43" s="2"/>
      <c r="K43" s="7" t="s">
        <v>278</v>
      </c>
      <c r="L43" s="7" t="s">
        <v>278</v>
      </c>
      <c r="M43" s="2"/>
      <c r="N43" s="2"/>
      <c r="O43" s="2"/>
      <c r="P43" s="2"/>
      <c r="Q43" s="2"/>
      <c r="R43" s="2"/>
    </row>
    <row r="44" spans="1:18" customFormat="1" ht="14.65" hidden="1" customHeight="1">
      <c r="A44" s="7" t="s">
        <v>683</v>
      </c>
      <c r="B44" s="85" t="str">
        <f>A43&amp;" =1"</f>
        <v>D-46 =1</v>
      </c>
      <c r="C44" s="308" t="str">
        <f t="shared" si="2"/>
        <v>What is the maximum number of open invoices allowed?</v>
      </c>
      <c r="D44" s="105"/>
      <c r="E44" s="2"/>
      <c r="F44" s="238">
        <v>0</v>
      </c>
      <c r="G44" s="2"/>
      <c r="H44" s="7" t="s">
        <v>41</v>
      </c>
      <c r="I44" s="2" t="s">
        <v>544</v>
      </c>
      <c r="J44" s="2"/>
      <c r="K44" s="7" t="s">
        <v>278</v>
      </c>
      <c r="L44" s="7" t="s">
        <v>278</v>
      </c>
      <c r="M44" s="2"/>
      <c r="N44" s="2"/>
      <c r="O44" s="2"/>
      <c r="P44" s="2"/>
      <c r="Q44" s="2"/>
      <c r="R44" s="2"/>
    </row>
    <row r="45" spans="1:18" customFormat="1" ht="14.65" hidden="1" customHeight="1">
      <c r="A45" s="7" t="s">
        <v>684</v>
      </c>
      <c r="B45" s="85" t="str">
        <f>A43&amp;" =2"</f>
        <v>D-46 =2</v>
      </c>
      <c r="C45" s="308" t="str">
        <f t="shared" si="2"/>
        <v>How long is the credit in weeks?</v>
      </c>
      <c r="D45" s="105"/>
      <c r="E45" s="2"/>
      <c r="F45" s="238">
        <v>0</v>
      </c>
      <c r="G45" s="2"/>
      <c r="H45" s="7" t="s">
        <v>41</v>
      </c>
      <c r="I45" s="7" t="s">
        <v>635</v>
      </c>
      <c r="J45" s="2"/>
      <c r="K45" s="7" t="s">
        <v>278</v>
      </c>
      <c r="L45" s="7" t="s">
        <v>278</v>
      </c>
      <c r="M45" s="2"/>
      <c r="N45" s="2"/>
      <c r="O45" s="2"/>
      <c r="P45" s="2"/>
      <c r="Q45" s="2"/>
      <c r="R45" s="2"/>
    </row>
    <row r="46" spans="1:18" customFormat="1" ht="14.65" customHeight="1">
      <c r="A46" s="7" t="s">
        <v>685</v>
      </c>
      <c r="B46" s="85" t="s">
        <v>686</v>
      </c>
      <c r="C46" s="308" t="str">
        <f t="shared" si="2"/>
        <v>What is the name of your official Wholesaler/Distributor?</v>
      </c>
      <c r="D46" s="105" t="s">
        <v>639</v>
      </c>
      <c r="E46" s="2"/>
      <c r="F46" s="238">
        <v>1</v>
      </c>
      <c r="G46" s="2" t="s">
        <v>687</v>
      </c>
      <c r="H46" s="7" t="s">
        <v>215</v>
      </c>
      <c r="I46" s="247" t="s">
        <v>657</v>
      </c>
      <c r="J46" s="2" t="s">
        <v>218</v>
      </c>
      <c r="K46" s="7" t="s">
        <v>278</v>
      </c>
      <c r="L46" s="7" t="s">
        <v>278</v>
      </c>
      <c r="M46" s="3"/>
      <c r="N46" s="2"/>
      <c r="O46" s="2"/>
      <c r="P46" s="2"/>
      <c r="Q46" s="2"/>
      <c r="R46" s="2"/>
    </row>
    <row r="47" spans="1:18" customFormat="1" ht="15">
      <c r="A47" s="398" t="s">
        <v>297</v>
      </c>
      <c r="B47" s="399"/>
      <c r="C47" s="399"/>
      <c r="D47" s="399"/>
      <c r="E47" s="399"/>
      <c r="F47" s="399"/>
      <c r="G47" s="399"/>
      <c r="H47" s="399"/>
      <c r="I47" s="399"/>
      <c r="J47" s="399"/>
      <c r="K47" s="399"/>
      <c r="L47" s="399"/>
      <c r="M47" s="399"/>
      <c r="N47" s="399"/>
      <c r="O47" s="400"/>
      <c r="P47" s="364"/>
      <c r="Q47" s="364"/>
      <c r="R47" s="364"/>
    </row>
    <row r="48" spans="1:18" customFormat="1" ht="14.65" customHeight="1">
      <c r="A48" s="7" t="s">
        <v>688</v>
      </c>
      <c r="B48" s="7"/>
      <c r="C48" s="307" t="str">
        <f>"Where do you mainly source your "&amp;R15&amp;" cigarettes from?(UTC new name)"</f>
        <v>Where do you mainly source your  cigarettes from?(UTC new name)</v>
      </c>
      <c r="D48" s="69" t="s">
        <v>689</v>
      </c>
      <c r="E48" s="2"/>
      <c r="F48" s="238">
        <v>1</v>
      </c>
      <c r="G48" s="2" t="s">
        <v>690</v>
      </c>
      <c r="H48" s="7" t="s">
        <v>215</v>
      </c>
      <c r="I48" s="246" t="s">
        <v>614</v>
      </c>
      <c r="J48" s="2" t="s">
        <v>218</v>
      </c>
      <c r="K48" s="7" t="s">
        <v>278</v>
      </c>
      <c r="L48" s="7" t="s">
        <v>278</v>
      </c>
      <c r="M48" s="2"/>
      <c r="N48" s="2"/>
      <c r="O48" s="2"/>
      <c r="P48" s="2"/>
      <c r="Q48" s="2"/>
      <c r="R48" s="2"/>
    </row>
    <row r="49" spans="1:18" customFormat="1" ht="14.65" customHeight="1">
      <c r="A49" s="7" t="s">
        <v>691</v>
      </c>
      <c r="B49" s="85" t="s">
        <v>692</v>
      </c>
      <c r="C49" s="308" t="str">
        <f t="shared" ref="C49:C57" si="3">C38</f>
        <v>How do you make the majority of your orders?</v>
      </c>
      <c r="D49" s="105" t="s">
        <v>617</v>
      </c>
      <c r="E49" s="2"/>
      <c r="F49" s="238">
        <v>1</v>
      </c>
      <c r="G49" s="2" t="s">
        <v>618</v>
      </c>
      <c r="H49" s="7" t="s">
        <v>215</v>
      </c>
      <c r="I49" s="246" t="s">
        <v>619</v>
      </c>
      <c r="J49" s="2" t="s">
        <v>218</v>
      </c>
      <c r="K49" s="7" t="s">
        <v>278</v>
      </c>
      <c r="L49" s="7" t="s">
        <v>278</v>
      </c>
      <c r="M49" s="2"/>
      <c r="N49" s="2"/>
      <c r="O49" s="2"/>
      <c r="P49" s="2"/>
      <c r="Q49" s="2"/>
      <c r="R49" s="2"/>
    </row>
    <row r="50" spans="1:18" customFormat="1" ht="14.65" customHeight="1">
      <c r="A50" s="7" t="s">
        <v>693</v>
      </c>
      <c r="B50" s="85" t="s">
        <v>692</v>
      </c>
      <c r="C50" s="308" t="str">
        <f t="shared" si="3"/>
        <v>How often do you buy, get delivered per week?</v>
      </c>
      <c r="D50" s="105" t="s">
        <v>621</v>
      </c>
      <c r="E50" s="2"/>
      <c r="F50" s="238">
        <v>1</v>
      </c>
      <c r="G50" s="2" t="s">
        <v>622</v>
      </c>
      <c r="H50" s="7" t="s">
        <v>41</v>
      </c>
      <c r="I50" s="7" t="s">
        <v>494</v>
      </c>
      <c r="J50" s="2" t="s">
        <v>218</v>
      </c>
      <c r="K50" s="7" t="s">
        <v>278</v>
      </c>
      <c r="L50" s="7" t="s">
        <v>278</v>
      </c>
      <c r="M50" s="2"/>
      <c r="N50" s="2"/>
      <c r="O50" s="2"/>
      <c r="P50" s="2">
        <v>0</v>
      </c>
      <c r="Q50" s="2">
        <v>7</v>
      </c>
      <c r="R50" s="2"/>
    </row>
    <row r="51" spans="1:18" customFormat="1" ht="14.65" hidden="1" customHeight="1">
      <c r="A51" s="7" t="s">
        <v>694</v>
      </c>
      <c r="B51" s="85" t="str">
        <f>A48&amp;"=3,5 or 6"</f>
        <v>D-50=3,5 or 6</v>
      </c>
      <c r="C51" s="308" t="str">
        <f t="shared" si="3"/>
        <v>Are you happy with the order quantity and/or frequency?</v>
      </c>
      <c r="D51" s="105"/>
      <c r="E51" s="2"/>
      <c r="F51" s="238">
        <v>0</v>
      </c>
      <c r="G51" s="2"/>
      <c r="H51" s="7" t="s">
        <v>215</v>
      </c>
      <c r="I51" s="7" t="s">
        <v>305</v>
      </c>
      <c r="J51" s="2"/>
      <c r="K51" s="7" t="s">
        <v>278</v>
      </c>
      <c r="L51" s="7" t="s">
        <v>278</v>
      </c>
      <c r="M51" s="2"/>
      <c r="N51" s="2"/>
      <c r="O51" s="2"/>
      <c r="P51" s="2"/>
      <c r="Q51" s="2"/>
      <c r="R51" s="2"/>
    </row>
    <row r="52" spans="1:18" customFormat="1" ht="14.65" hidden="1" customHeight="1">
      <c r="A52" s="7" t="s">
        <v>695</v>
      </c>
      <c r="B52" s="85" t="str">
        <f>A48&amp;"=3,5 or 6"</f>
        <v>D-50=3,5 or 6</v>
      </c>
      <c r="C52" s="308" t="str">
        <f t="shared" si="3"/>
        <v>What is the minimum quantity to order to get delivered by a supplier/wholesaler or distributor?</v>
      </c>
      <c r="D52" s="105"/>
      <c r="E52" s="2"/>
      <c r="F52" s="238">
        <v>0</v>
      </c>
      <c r="G52" s="2"/>
      <c r="H52" s="7" t="s">
        <v>41</v>
      </c>
      <c r="I52" s="2" t="s">
        <v>544</v>
      </c>
      <c r="J52" s="2"/>
      <c r="K52" s="7" t="s">
        <v>278</v>
      </c>
      <c r="L52" s="7" t="s">
        <v>278</v>
      </c>
      <c r="M52" s="2"/>
      <c r="N52" s="2"/>
      <c r="O52" s="2"/>
      <c r="P52" s="2"/>
      <c r="Q52" s="2"/>
      <c r="R52" s="2"/>
    </row>
    <row r="53" spans="1:18" customFormat="1" ht="14.65" hidden="1" customHeight="1">
      <c r="A53" s="7" t="s">
        <v>172</v>
      </c>
      <c r="B53" s="85" t="str">
        <f>A48&amp;" is not 1"</f>
        <v>D-50 is not 1</v>
      </c>
      <c r="C53" s="308" t="str">
        <f t="shared" si="3"/>
        <v>What are your payment conditions?</v>
      </c>
      <c r="D53" s="105"/>
      <c r="E53" s="2"/>
      <c r="F53" s="238">
        <v>0</v>
      </c>
      <c r="G53" s="2"/>
      <c r="H53" s="7" t="s">
        <v>215</v>
      </c>
      <c r="I53" s="246" t="s">
        <v>628</v>
      </c>
      <c r="J53" s="2"/>
      <c r="K53" s="7" t="s">
        <v>278</v>
      </c>
      <c r="L53" s="7" t="s">
        <v>278</v>
      </c>
      <c r="M53" s="2"/>
      <c r="N53" s="2"/>
      <c r="O53" s="2"/>
      <c r="P53" s="2"/>
      <c r="Q53" s="2"/>
      <c r="R53" s="2"/>
    </row>
    <row r="54" spans="1:18" customFormat="1" ht="14.65" hidden="1" customHeight="1">
      <c r="A54" s="7" t="s">
        <v>696</v>
      </c>
      <c r="B54" s="85" t="str">
        <f>A53&amp;" is not 1"</f>
        <v>D-55 is not 1</v>
      </c>
      <c r="C54" s="308" t="str">
        <f t="shared" si="3"/>
        <v>What type of credit do you get?</v>
      </c>
      <c r="D54" s="105"/>
      <c r="E54" s="2"/>
      <c r="F54" s="238">
        <v>0</v>
      </c>
      <c r="G54" s="2"/>
      <c r="H54" s="7" t="s">
        <v>405</v>
      </c>
      <c r="I54" s="246" t="s">
        <v>631</v>
      </c>
      <c r="J54" s="2"/>
      <c r="K54" s="7" t="s">
        <v>278</v>
      </c>
      <c r="L54" s="7" t="s">
        <v>278</v>
      </c>
      <c r="M54" s="2"/>
      <c r="N54" s="2"/>
      <c r="O54" s="2"/>
      <c r="P54" s="2"/>
      <c r="Q54" s="2"/>
      <c r="R54" s="2"/>
    </row>
    <row r="55" spans="1:18" customFormat="1" ht="14.65" hidden="1" customHeight="1">
      <c r="A55" s="7" t="s">
        <v>697</v>
      </c>
      <c r="B55" s="85" t="str">
        <f>A54&amp;" =1"</f>
        <v>D-56 =1</v>
      </c>
      <c r="C55" s="308" t="str">
        <f t="shared" si="3"/>
        <v>What is the maximum number of open invoices allowed?</v>
      </c>
      <c r="D55" s="105"/>
      <c r="E55" s="2"/>
      <c r="F55" s="238">
        <v>0</v>
      </c>
      <c r="G55" s="2"/>
      <c r="H55" s="7" t="s">
        <v>41</v>
      </c>
      <c r="I55" s="2" t="s">
        <v>544</v>
      </c>
      <c r="J55" s="2"/>
      <c r="K55" s="7" t="s">
        <v>278</v>
      </c>
      <c r="L55" s="7" t="s">
        <v>278</v>
      </c>
      <c r="M55" s="2"/>
      <c r="N55" s="2"/>
      <c r="O55" s="2"/>
      <c r="P55" s="2"/>
      <c r="Q55" s="2"/>
      <c r="R55" s="2"/>
    </row>
    <row r="56" spans="1:18" customFormat="1" ht="14.65" hidden="1" customHeight="1">
      <c r="A56" s="7" t="s">
        <v>698</v>
      </c>
      <c r="B56" s="85" t="str">
        <f>A54&amp;" =2"</f>
        <v>D-56 =2</v>
      </c>
      <c r="C56" s="308" t="str">
        <f t="shared" si="3"/>
        <v>How long is the credit in weeks?</v>
      </c>
      <c r="D56" s="105"/>
      <c r="E56" s="2"/>
      <c r="F56" s="238">
        <v>0</v>
      </c>
      <c r="G56" s="2"/>
      <c r="H56" s="7" t="s">
        <v>41</v>
      </c>
      <c r="I56" s="7" t="s">
        <v>635</v>
      </c>
      <c r="J56" s="2"/>
      <c r="K56" s="7" t="s">
        <v>278</v>
      </c>
      <c r="L56" s="7" t="s">
        <v>278</v>
      </c>
      <c r="M56" s="2"/>
      <c r="N56" s="2"/>
      <c r="O56" s="2"/>
      <c r="P56" s="2"/>
      <c r="Q56" s="2"/>
      <c r="R56" s="2"/>
    </row>
    <row r="57" spans="1:18" customFormat="1" ht="14.65" customHeight="1">
      <c r="A57" s="7" t="s">
        <v>699</v>
      </c>
      <c r="B57" s="85" t="s">
        <v>700</v>
      </c>
      <c r="C57" s="308" t="str">
        <f t="shared" si="3"/>
        <v>What is the name of your official Wholesaler/Distributor?</v>
      </c>
      <c r="D57" s="105" t="s">
        <v>639</v>
      </c>
      <c r="E57" s="2"/>
      <c r="F57" s="238">
        <v>1</v>
      </c>
      <c r="G57" s="2" t="s">
        <v>701</v>
      </c>
      <c r="H57" s="7" t="s">
        <v>215</v>
      </c>
      <c r="I57" s="247" t="s">
        <v>657</v>
      </c>
      <c r="J57" s="2" t="s">
        <v>218</v>
      </c>
      <c r="K57" s="7" t="s">
        <v>278</v>
      </c>
      <c r="L57" s="7" t="s">
        <v>278</v>
      </c>
      <c r="M57" s="3"/>
      <c r="N57" s="2"/>
      <c r="O57" s="2"/>
      <c r="P57" s="2"/>
      <c r="Q57" s="2"/>
      <c r="R57" s="2"/>
    </row>
    <row r="58" spans="1:18" customFormat="1" ht="15" hidden="1" customHeight="1">
      <c r="A58" s="398" t="s">
        <v>297</v>
      </c>
      <c r="B58" s="399"/>
      <c r="C58" s="399"/>
      <c r="D58" s="399"/>
      <c r="E58" s="399"/>
      <c r="F58" s="399"/>
      <c r="G58" s="399"/>
      <c r="H58" s="399"/>
      <c r="I58" s="399"/>
      <c r="J58" s="399"/>
      <c r="K58" s="399"/>
      <c r="L58" s="399"/>
      <c r="M58" s="399"/>
      <c r="N58" s="399"/>
      <c r="O58" s="400"/>
      <c r="P58" s="364"/>
      <c r="Q58" s="364"/>
      <c r="R58" s="364"/>
    </row>
    <row r="59" spans="1:18" customFormat="1" ht="14.65" hidden="1" customHeight="1">
      <c r="A59" s="7" t="s">
        <v>174</v>
      </c>
      <c r="B59" s="7"/>
      <c r="C59" s="69" t="str">
        <f>"Where do you mainly source your "&amp;R10&amp;" cigarettes from?"</f>
        <v>Where do you mainly source your  cigarettes from?</v>
      </c>
      <c r="D59" s="248"/>
      <c r="E59" s="2"/>
      <c r="F59" s="238">
        <v>-1</v>
      </c>
      <c r="G59" s="2"/>
      <c r="H59" s="7" t="s">
        <v>215</v>
      </c>
      <c r="I59" s="246" t="s">
        <v>614</v>
      </c>
      <c r="J59" s="2"/>
      <c r="K59" s="7" t="s">
        <v>278</v>
      </c>
      <c r="L59" s="7" t="s">
        <v>278</v>
      </c>
      <c r="M59" s="2"/>
      <c r="N59" s="2"/>
      <c r="O59" s="2"/>
      <c r="P59" s="2"/>
      <c r="Q59" s="2"/>
      <c r="R59" s="2"/>
    </row>
    <row r="60" spans="1:18" customFormat="1" ht="14.65" hidden="1" customHeight="1">
      <c r="A60" s="7" t="s">
        <v>702</v>
      </c>
      <c r="B60" s="85" t="str">
        <f>A59&amp;" is not 1"</f>
        <v>D-60 is not 1</v>
      </c>
      <c r="C60" s="105" t="str">
        <f t="shared" ref="C60:C68" si="4">C49</f>
        <v>How do you make the majority of your orders?</v>
      </c>
      <c r="D60" s="105"/>
      <c r="E60" s="2"/>
      <c r="F60" s="238">
        <v>-1</v>
      </c>
      <c r="G60" s="2"/>
      <c r="H60" s="7" t="s">
        <v>215</v>
      </c>
      <c r="I60" s="246" t="s">
        <v>619</v>
      </c>
      <c r="J60" s="2"/>
      <c r="K60" s="7" t="s">
        <v>278</v>
      </c>
      <c r="L60" s="7" t="s">
        <v>278</v>
      </c>
      <c r="M60" s="2"/>
      <c r="N60" s="2"/>
      <c r="O60" s="2"/>
      <c r="P60" s="2"/>
      <c r="Q60" s="2"/>
      <c r="R60" s="2"/>
    </row>
    <row r="61" spans="1:18" customFormat="1" ht="14.65" hidden="1" customHeight="1">
      <c r="A61" s="7" t="s">
        <v>703</v>
      </c>
      <c r="B61" s="85" t="str">
        <f>A59&amp;" is not 1"</f>
        <v>D-60 is not 1</v>
      </c>
      <c r="C61" s="105" t="str">
        <f t="shared" si="4"/>
        <v>How often do you buy, get delivered per week?</v>
      </c>
      <c r="D61" s="105"/>
      <c r="E61" s="2"/>
      <c r="F61" s="238">
        <v>0</v>
      </c>
      <c r="G61" s="2"/>
      <c r="H61" s="7" t="s">
        <v>41</v>
      </c>
      <c r="I61" s="7" t="s">
        <v>494</v>
      </c>
      <c r="J61" s="2"/>
      <c r="K61" s="7" t="s">
        <v>278</v>
      </c>
      <c r="L61" s="7" t="s">
        <v>278</v>
      </c>
      <c r="M61" s="2"/>
      <c r="N61" s="2"/>
      <c r="O61" s="2"/>
      <c r="P61" s="2"/>
      <c r="Q61" s="2"/>
      <c r="R61" s="2"/>
    </row>
    <row r="62" spans="1:18" customFormat="1" ht="14.65" hidden="1" customHeight="1">
      <c r="A62" s="7" t="s">
        <v>704</v>
      </c>
      <c r="B62" s="85" t="str">
        <f>A59&amp;"=3,5 or 6"</f>
        <v>D-60=3,5 or 6</v>
      </c>
      <c r="C62" s="105" t="str">
        <f t="shared" si="4"/>
        <v>Are you happy with the order quantity and/or frequency?</v>
      </c>
      <c r="D62" s="105"/>
      <c r="E62" s="2"/>
      <c r="F62" s="238">
        <v>0</v>
      </c>
      <c r="G62" s="2"/>
      <c r="H62" s="7" t="s">
        <v>215</v>
      </c>
      <c r="I62" s="7" t="s">
        <v>305</v>
      </c>
      <c r="J62" s="2"/>
      <c r="K62" s="7" t="s">
        <v>278</v>
      </c>
      <c r="L62" s="7" t="s">
        <v>278</v>
      </c>
      <c r="M62" s="2"/>
      <c r="N62" s="2"/>
      <c r="O62" s="2"/>
      <c r="P62" s="2"/>
      <c r="Q62" s="2"/>
      <c r="R62" s="2"/>
    </row>
    <row r="63" spans="1:18" customFormat="1" ht="14.65" hidden="1" customHeight="1">
      <c r="A63" s="7" t="s">
        <v>705</v>
      </c>
      <c r="B63" s="85" t="str">
        <f>A59&amp;"=3,5 or 6"</f>
        <v>D-60=3,5 or 6</v>
      </c>
      <c r="C63" s="105" t="str">
        <f t="shared" si="4"/>
        <v>What is the minimum quantity to order to get delivered by a supplier/wholesaler or distributor?</v>
      </c>
      <c r="D63" s="105"/>
      <c r="E63" s="2"/>
      <c r="F63" s="238">
        <v>0</v>
      </c>
      <c r="G63" s="2"/>
      <c r="H63" s="7" t="s">
        <v>41</v>
      </c>
      <c r="I63" s="2" t="s">
        <v>544</v>
      </c>
      <c r="J63" s="2"/>
      <c r="K63" s="7" t="s">
        <v>278</v>
      </c>
      <c r="L63" s="7" t="s">
        <v>278</v>
      </c>
      <c r="M63" s="2"/>
      <c r="N63" s="2"/>
      <c r="O63" s="2"/>
      <c r="P63" s="2"/>
      <c r="Q63" s="2"/>
      <c r="R63" s="2"/>
    </row>
    <row r="64" spans="1:18" customFormat="1" ht="14.65" hidden="1" customHeight="1">
      <c r="A64" s="7" t="s">
        <v>176</v>
      </c>
      <c r="B64" s="85" t="str">
        <f>A59&amp;" is not 1"</f>
        <v>D-60 is not 1</v>
      </c>
      <c r="C64" s="105" t="str">
        <f t="shared" si="4"/>
        <v>What are your payment conditions?</v>
      </c>
      <c r="D64" s="105"/>
      <c r="E64" s="2"/>
      <c r="F64" s="238">
        <v>0</v>
      </c>
      <c r="G64" s="2"/>
      <c r="H64" s="7" t="s">
        <v>215</v>
      </c>
      <c r="I64" s="246" t="s">
        <v>628</v>
      </c>
      <c r="J64" s="2"/>
      <c r="K64" s="7" t="s">
        <v>278</v>
      </c>
      <c r="L64" s="7" t="s">
        <v>278</v>
      </c>
      <c r="M64" s="2"/>
      <c r="N64" s="2"/>
      <c r="O64" s="2"/>
      <c r="P64" s="2"/>
      <c r="Q64" s="2"/>
      <c r="R64" s="2"/>
    </row>
    <row r="65" spans="1:18" customFormat="1" ht="14.65" hidden="1" customHeight="1">
      <c r="A65" s="7" t="s">
        <v>706</v>
      </c>
      <c r="B65" s="85" t="str">
        <f>A64&amp;" is not 1"</f>
        <v>D-65 is not 1</v>
      </c>
      <c r="C65" s="105" t="str">
        <f t="shared" si="4"/>
        <v>What type of credit do you get?</v>
      </c>
      <c r="D65" s="105"/>
      <c r="E65" s="2"/>
      <c r="F65" s="238">
        <v>0</v>
      </c>
      <c r="G65" s="2"/>
      <c r="H65" s="7" t="s">
        <v>405</v>
      </c>
      <c r="I65" s="246" t="s">
        <v>631</v>
      </c>
      <c r="J65" s="2"/>
      <c r="K65" s="7" t="s">
        <v>278</v>
      </c>
      <c r="L65" s="7" t="s">
        <v>278</v>
      </c>
      <c r="M65" s="2"/>
      <c r="N65" s="2"/>
      <c r="O65" s="2"/>
      <c r="P65" s="2"/>
      <c r="Q65" s="2"/>
      <c r="R65" s="2"/>
    </row>
    <row r="66" spans="1:18" customFormat="1" ht="14.65" hidden="1" customHeight="1">
      <c r="A66" s="7" t="s">
        <v>707</v>
      </c>
      <c r="B66" s="85" t="str">
        <f>A65&amp;" =1"</f>
        <v>D-66 =1</v>
      </c>
      <c r="C66" s="105" t="str">
        <f t="shared" si="4"/>
        <v>What is the maximum number of open invoices allowed?</v>
      </c>
      <c r="D66" s="105"/>
      <c r="E66" s="2"/>
      <c r="F66" s="238">
        <v>0</v>
      </c>
      <c r="G66" s="2"/>
      <c r="H66" s="7" t="s">
        <v>41</v>
      </c>
      <c r="I66" s="2" t="s">
        <v>544</v>
      </c>
      <c r="J66" s="2"/>
      <c r="K66" s="7" t="s">
        <v>278</v>
      </c>
      <c r="L66" s="7" t="s">
        <v>278</v>
      </c>
      <c r="M66" s="2"/>
      <c r="N66" s="2"/>
      <c r="O66" s="2"/>
      <c r="P66" s="2"/>
      <c r="Q66" s="2"/>
      <c r="R66" s="2"/>
    </row>
    <row r="67" spans="1:18" customFormat="1" ht="14.65" hidden="1" customHeight="1">
      <c r="A67" s="7" t="s">
        <v>708</v>
      </c>
      <c r="B67" s="85" t="str">
        <f>A65&amp;" =2"</f>
        <v>D-66 =2</v>
      </c>
      <c r="C67" s="105" t="str">
        <f t="shared" si="4"/>
        <v>How long is the credit in weeks?</v>
      </c>
      <c r="D67" s="105"/>
      <c r="E67" s="2"/>
      <c r="F67" s="238">
        <v>0</v>
      </c>
      <c r="G67" s="2"/>
      <c r="H67" s="7" t="s">
        <v>41</v>
      </c>
      <c r="I67" s="7" t="s">
        <v>635</v>
      </c>
      <c r="J67" s="2"/>
      <c r="K67" s="7" t="s">
        <v>278</v>
      </c>
      <c r="L67" s="7" t="s">
        <v>278</v>
      </c>
      <c r="M67" s="2"/>
      <c r="N67" s="2"/>
      <c r="O67" s="2"/>
      <c r="P67" s="2"/>
      <c r="Q67" s="2"/>
      <c r="R67" s="2"/>
    </row>
    <row r="68" spans="1:18" customFormat="1" ht="14.65" hidden="1" customHeight="1">
      <c r="A68" s="7" t="s">
        <v>709</v>
      </c>
      <c r="B68" s="85" t="str">
        <f>A59&amp;"=4 or 5"</f>
        <v>D-60=4 or 5</v>
      </c>
      <c r="C68" s="105" t="str">
        <f t="shared" si="4"/>
        <v>What is the name of your official Wholesaler/Distributor?</v>
      </c>
      <c r="D68" s="69"/>
      <c r="E68" s="2"/>
      <c r="F68" s="238">
        <v>-1</v>
      </c>
      <c r="G68" s="2"/>
      <c r="H68" s="7" t="s">
        <v>215</v>
      </c>
      <c r="I68" s="247" t="s">
        <v>657</v>
      </c>
      <c r="J68" s="2"/>
      <c r="K68" s="7" t="s">
        <v>278</v>
      </c>
      <c r="L68" s="7" t="s">
        <v>278</v>
      </c>
      <c r="M68" s="3"/>
      <c r="N68" s="2"/>
      <c r="O68" s="2"/>
      <c r="P68" s="2"/>
      <c r="Q68" s="2"/>
      <c r="R68" s="2"/>
    </row>
    <row r="69" spans="1:18" customFormat="1" ht="15" hidden="1" customHeight="1">
      <c r="A69" s="398" t="s">
        <v>297</v>
      </c>
      <c r="B69" s="399"/>
      <c r="C69" s="399"/>
      <c r="D69" s="399"/>
      <c r="E69" s="399"/>
      <c r="F69" s="399"/>
      <c r="G69" s="399"/>
      <c r="H69" s="399"/>
      <c r="I69" s="399"/>
      <c r="J69" s="399"/>
      <c r="K69" s="399"/>
      <c r="L69" s="399"/>
      <c r="M69" s="399"/>
      <c r="N69" s="399"/>
      <c r="O69" s="400"/>
      <c r="P69" s="364"/>
      <c r="Q69" s="364"/>
      <c r="R69" s="364"/>
    </row>
    <row r="70" spans="1:18" customFormat="1" ht="14.65" hidden="1" customHeight="1">
      <c r="A70" s="7" t="s">
        <v>178</v>
      </c>
      <c r="B70" s="7"/>
      <c r="C70" s="69" t="str">
        <f>"Where do you mainly source your "&amp;R11&amp;" cigarettes from?"</f>
        <v>Where do you mainly source your  cigarettes from?</v>
      </c>
      <c r="D70" s="248"/>
      <c r="E70" s="2"/>
      <c r="F70" s="238">
        <v>1</v>
      </c>
      <c r="G70" s="2"/>
      <c r="H70" s="7" t="s">
        <v>215</v>
      </c>
      <c r="I70" s="246" t="s">
        <v>614</v>
      </c>
      <c r="J70" s="2"/>
      <c r="K70" s="7" t="s">
        <v>278</v>
      </c>
      <c r="L70" s="7" t="s">
        <v>278</v>
      </c>
      <c r="M70" s="2"/>
      <c r="N70" s="2"/>
      <c r="O70" s="2"/>
      <c r="P70" s="2"/>
      <c r="Q70" s="2"/>
      <c r="R70" s="2"/>
    </row>
    <row r="71" spans="1:18" customFormat="1" ht="14.65" hidden="1" customHeight="1">
      <c r="A71" s="7" t="s">
        <v>710</v>
      </c>
      <c r="B71" s="85" t="str">
        <f>A70&amp;" is not 1"</f>
        <v>D-70 is not 1</v>
      </c>
      <c r="C71" s="105" t="str">
        <f t="shared" ref="C71:C79" si="5">C49</f>
        <v>How do you make the majority of your orders?</v>
      </c>
      <c r="D71" s="105"/>
      <c r="E71" s="2"/>
      <c r="F71" s="238">
        <v>1</v>
      </c>
      <c r="G71" s="2"/>
      <c r="H71" s="7" t="s">
        <v>215</v>
      </c>
      <c r="I71" s="246" t="s">
        <v>619</v>
      </c>
      <c r="J71" s="2"/>
      <c r="K71" s="7" t="s">
        <v>278</v>
      </c>
      <c r="L71" s="7" t="s">
        <v>278</v>
      </c>
      <c r="M71" s="2"/>
      <c r="N71" s="2"/>
      <c r="O71" s="2"/>
      <c r="P71" s="2"/>
      <c r="Q71" s="2"/>
      <c r="R71" s="2"/>
    </row>
    <row r="72" spans="1:18" customFormat="1" ht="14.65" hidden="1" customHeight="1">
      <c r="A72" s="7" t="s">
        <v>711</v>
      </c>
      <c r="B72" s="85" t="str">
        <f>A70&amp;" is not 1"</f>
        <v>D-70 is not 1</v>
      </c>
      <c r="C72" s="105" t="str">
        <f t="shared" si="5"/>
        <v>How often do you buy, get delivered per week?</v>
      </c>
      <c r="D72" s="105"/>
      <c r="E72" s="2"/>
      <c r="F72" s="238">
        <v>1</v>
      </c>
      <c r="G72" s="2"/>
      <c r="H72" s="7" t="s">
        <v>41</v>
      </c>
      <c r="I72" s="7" t="s">
        <v>494</v>
      </c>
      <c r="J72" s="2"/>
      <c r="K72" s="7" t="s">
        <v>278</v>
      </c>
      <c r="L72" s="7" t="s">
        <v>278</v>
      </c>
      <c r="M72" s="2"/>
      <c r="N72" s="2"/>
      <c r="O72" s="2"/>
      <c r="P72" s="2"/>
      <c r="Q72" s="2"/>
      <c r="R72" s="2"/>
    </row>
    <row r="73" spans="1:18" customFormat="1" ht="14.65" hidden="1" customHeight="1">
      <c r="A73" s="7" t="s">
        <v>712</v>
      </c>
      <c r="B73" s="85" t="str">
        <f>A70&amp;"=3,5 or 6"</f>
        <v>D-70=3,5 or 6</v>
      </c>
      <c r="C73" s="105" t="str">
        <f t="shared" si="5"/>
        <v>Are you happy with the order quantity and/or frequency?</v>
      </c>
      <c r="D73" s="105"/>
      <c r="E73" s="2"/>
      <c r="F73" s="238">
        <v>1</v>
      </c>
      <c r="G73" s="2"/>
      <c r="H73" s="7" t="s">
        <v>215</v>
      </c>
      <c r="I73" s="7" t="s">
        <v>305</v>
      </c>
      <c r="J73" s="2"/>
      <c r="K73" s="7" t="s">
        <v>278</v>
      </c>
      <c r="L73" s="7" t="s">
        <v>278</v>
      </c>
      <c r="M73" s="2"/>
      <c r="N73" s="2"/>
      <c r="O73" s="2"/>
      <c r="P73" s="2"/>
      <c r="Q73" s="2"/>
      <c r="R73" s="2"/>
    </row>
    <row r="74" spans="1:18" customFormat="1" ht="14.65" hidden="1" customHeight="1">
      <c r="A74" s="7" t="s">
        <v>713</v>
      </c>
      <c r="B74" s="85" t="str">
        <f>A70&amp;"=3,5 or 6"</f>
        <v>D-70=3,5 or 6</v>
      </c>
      <c r="C74" s="105" t="str">
        <f t="shared" si="5"/>
        <v>What is the minimum quantity to order to get delivered by a supplier/wholesaler or distributor?</v>
      </c>
      <c r="D74" s="105"/>
      <c r="E74" s="2"/>
      <c r="F74" s="238">
        <v>1</v>
      </c>
      <c r="G74" s="2"/>
      <c r="H74" s="7" t="s">
        <v>41</v>
      </c>
      <c r="I74" s="2" t="s">
        <v>544</v>
      </c>
      <c r="J74" s="2"/>
      <c r="K74" s="7" t="s">
        <v>278</v>
      </c>
      <c r="L74" s="7" t="s">
        <v>278</v>
      </c>
      <c r="M74" s="2"/>
      <c r="N74" s="2"/>
      <c r="O74" s="2"/>
      <c r="P74" s="2"/>
      <c r="Q74" s="2"/>
      <c r="R74" s="2"/>
    </row>
    <row r="75" spans="1:18" customFormat="1" ht="14.65" hidden="1" customHeight="1">
      <c r="A75" s="7" t="s">
        <v>180</v>
      </c>
      <c r="B75" s="85" t="str">
        <f>A70&amp;" is not 1"</f>
        <v>D-70 is not 1</v>
      </c>
      <c r="C75" s="105" t="str">
        <f t="shared" si="5"/>
        <v>What are your payment conditions?</v>
      </c>
      <c r="D75" s="105"/>
      <c r="E75" s="2"/>
      <c r="F75" s="238">
        <v>1</v>
      </c>
      <c r="G75" s="2"/>
      <c r="H75" s="7" t="s">
        <v>215</v>
      </c>
      <c r="I75" s="246" t="s">
        <v>628</v>
      </c>
      <c r="J75" s="2"/>
      <c r="K75" s="7" t="s">
        <v>278</v>
      </c>
      <c r="L75" s="7" t="s">
        <v>278</v>
      </c>
      <c r="M75" s="2"/>
      <c r="N75" s="2"/>
      <c r="O75" s="2"/>
      <c r="P75" s="2"/>
      <c r="Q75" s="2"/>
      <c r="R75" s="2"/>
    </row>
    <row r="76" spans="1:18" customFormat="1" ht="14.65" hidden="1" customHeight="1">
      <c r="A76" s="7" t="s">
        <v>714</v>
      </c>
      <c r="B76" s="85" t="str">
        <f>A75&amp;" is not 1"</f>
        <v>D-75 is not 1</v>
      </c>
      <c r="C76" s="105" t="str">
        <f t="shared" si="5"/>
        <v>What type of credit do you get?</v>
      </c>
      <c r="D76" s="105"/>
      <c r="E76" s="2"/>
      <c r="F76" s="238">
        <v>1</v>
      </c>
      <c r="G76" s="2"/>
      <c r="H76" s="7" t="s">
        <v>405</v>
      </c>
      <c r="I76" s="246" t="s">
        <v>631</v>
      </c>
      <c r="J76" s="2"/>
      <c r="K76" s="7" t="s">
        <v>278</v>
      </c>
      <c r="L76" s="7" t="s">
        <v>278</v>
      </c>
      <c r="M76" s="2"/>
      <c r="N76" s="2"/>
      <c r="O76" s="2"/>
      <c r="P76" s="2"/>
      <c r="Q76" s="2"/>
      <c r="R76" s="2"/>
    </row>
    <row r="77" spans="1:18" customFormat="1" ht="14.65" hidden="1" customHeight="1">
      <c r="A77" s="7" t="s">
        <v>715</v>
      </c>
      <c r="B77" s="85" t="str">
        <f>A76&amp;" =1"</f>
        <v>D-76 =1</v>
      </c>
      <c r="C77" s="105" t="str">
        <f t="shared" si="5"/>
        <v>What is the maximum number of open invoices allowed?</v>
      </c>
      <c r="D77" s="105"/>
      <c r="E77" s="2"/>
      <c r="F77" s="238">
        <v>1</v>
      </c>
      <c r="G77" s="2"/>
      <c r="H77" s="7" t="s">
        <v>41</v>
      </c>
      <c r="I77" s="2" t="s">
        <v>544</v>
      </c>
      <c r="J77" s="2"/>
      <c r="K77" s="7" t="s">
        <v>278</v>
      </c>
      <c r="L77" s="7" t="s">
        <v>278</v>
      </c>
      <c r="M77" s="2"/>
      <c r="N77" s="2"/>
      <c r="O77" s="2"/>
      <c r="P77" s="2"/>
      <c r="Q77" s="2"/>
      <c r="R77" s="2"/>
    </row>
    <row r="78" spans="1:18" customFormat="1" ht="14.65" hidden="1" customHeight="1">
      <c r="A78" s="7" t="s">
        <v>716</v>
      </c>
      <c r="B78" s="85" t="str">
        <f>A76&amp;" =2"</f>
        <v>D-76 =2</v>
      </c>
      <c r="C78" s="105" t="str">
        <f t="shared" si="5"/>
        <v>How long is the credit in weeks?</v>
      </c>
      <c r="D78" s="105"/>
      <c r="E78" s="2"/>
      <c r="F78" s="238">
        <v>1</v>
      </c>
      <c r="G78" s="2"/>
      <c r="H78" s="7" t="s">
        <v>41</v>
      </c>
      <c r="I78" s="7" t="s">
        <v>635</v>
      </c>
      <c r="J78" s="2"/>
      <c r="K78" s="7" t="s">
        <v>278</v>
      </c>
      <c r="L78" s="7" t="s">
        <v>278</v>
      </c>
      <c r="M78" s="2"/>
      <c r="N78" s="2"/>
      <c r="O78" s="2"/>
      <c r="P78" s="2"/>
      <c r="Q78" s="2"/>
      <c r="R78" s="2"/>
    </row>
    <row r="79" spans="1:18" customFormat="1" ht="14.65" hidden="1" customHeight="1">
      <c r="A79" s="7" t="s">
        <v>717</v>
      </c>
      <c r="B79" s="85" t="str">
        <f>A70&amp;"=4 or 5"</f>
        <v>D-70=4 or 5</v>
      </c>
      <c r="C79" s="105" t="str">
        <f t="shared" si="5"/>
        <v>What is the name of your official Wholesaler/Distributor?</v>
      </c>
      <c r="D79" s="69"/>
      <c r="E79" s="2"/>
      <c r="F79" s="238">
        <v>1</v>
      </c>
      <c r="G79" s="2"/>
      <c r="H79" s="7" t="s">
        <v>215</v>
      </c>
      <c r="I79" s="247" t="s">
        <v>657</v>
      </c>
      <c r="J79" s="2"/>
      <c r="K79" s="7" t="s">
        <v>278</v>
      </c>
      <c r="L79" s="7" t="s">
        <v>278</v>
      </c>
      <c r="M79" s="3"/>
      <c r="N79" s="2"/>
      <c r="O79" s="2"/>
      <c r="P79" s="2"/>
      <c r="Q79" s="2"/>
      <c r="R79" s="2"/>
    </row>
    <row r="80" spans="1:18" customFormat="1" ht="15" hidden="1" customHeight="1">
      <c r="A80" s="398" t="s">
        <v>297</v>
      </c>
      <c r="B80" s="399"/>
      <c r="C80" s="399"/>
      <c r="D80" s="399"/>
      <c r="E80" s="399"/>
      <c r="F80" s="399"/>
      <c r="G80" s="399"/>
      <c r="H80" s="399"/>
      <c r="I80" s="399"/>
      <c r="J80" s="399"/>
      <c r="K80" s="399"/>
      <c r="L80" s="399"/>
      <c r="M80" s="399"/>
      <c r="N80" s="399"/>
      <c r="O80" s="400"/>
      <c r="P80" s="364"/>
      <c r="Q80" s="364"/>
      <c r="R80" s="364"/>
    </row>
    <row r="81" spans="1:18" customFormat="1" ht="14.65" hidden="1" customHeight="1">
      <c r="A81" s="7" t="s">
        <v>181</v>
      </c>
      <c r="B81" s="7"/>
      <c r="C81" s="69" t="str">
        <f>"Where do you mainly source your "&amp;R12&amp;" cigarettes from?"</f>
        <v>Where do you mainly source your  cigarettes from?</v>
      </c>
      <c r="D81" s="248"/>
      <c r="E81" s="2"/>
      <c r="F81" s="238">
        <v>1</v>
      </c>
      <c r="G81" s="2"/>
      <c r="H81" s="7" t="s">
        <v>215</v>
      </c>
      <c r="I81" s="246" t="s">
        <v>614</v>
      </c>
      <c r="J81" s="2"/>
      <c r="K81" s="7" t="s">
        <v>278</v>
      </c>
      <c r="L81" s="7" t="s">
        <v>278</v>
      </c>
      <c r="M81" s="2"/>
      <c r="N81" s="2"/>
      <c r="O81" s="2"/>
      <c r="P81" s="2"/>
      <c r="Q81" s="2"/>
      <c r="R81" s="2"/>
    </row>
    <row r="82" spans="1:18" customFormat="1" ht="14.65" hidden="1" customHeight="1">
      <c r="A82" s="7" t="s">
        <v>718</v>
      </c>
      <c r="B82" s="85" t="str">
        <f>A81&amp;" is not 1"</f>
        <v>D-80 is not 1</v>
      </c>
      <c r="C82" s="105" t="str">
        <f t="shared" ref="C82:C90" si="6">C60</f>
        <v>How do you make the majority of your orders?</v>
      </c>
      <c r="D82" s="105"/>
      <c r="E82" s="2"/>
      <c r="F82" s="238">
        <v>1</v>
      </c>
      <c r="G82" s="2"/>
      <c r="H82" s="7" t="s">
        <v>215</v>
      </c>
      <c r="I82" s="246" t="s">
        <v>619</v>
      </c>
      <c r="J82" s="2"/>
      <c r="K82" s="7" t="s">
        <v>278</v>
      </c>
      <c r="L82" s="7" t="s">
        <v>278</v>
      </c>
      <c r="M82" s="2"/>
      <c r="N82" s="2"/>
      <c r="O82" s="2"/>
      <c r="P82" s="2"/>
      <c r="Q82" s="2"/>
      <c r="R82" s="2"/>
    </row>
    <row r="83" spans="1:18" customFormat="1" ht="14.65" hidden="1" customHeight="1">
      <c r="A83" s="7" t="s">
        <v>719</v>
      </c>
      <c r="B83" s="85" t="str">
        <f>A81&amp;" is not 1"</f>
        <v>D-80 is not 1</v>
      </c>
      <c r="C83" s="105" t="str">
        <f t="shared" si="6"/>
        <v>How often do you buy, get delivered per week?</v>
      </c>
      <c r="D83" s="105"/>
      <c r="E83" s="2"/>
      <c r="F83" s="238">
        <v>1</v>
      </c>
      <c r="G83" s="2"/>
      <c r="H83" s="7" t="s">
        <v>41</v>
      </c>
      <c r="I83" s="7" t="s">
        <v>494</v>
      </c>
      <c r="J83" s="2"/>
      <c r="K83" s="7" t="s">
        <v>278</v>
      </c>
      <c r="L83" s="7" t="s">
        <v>278</v>
      </c>
      <c r="M83" s="2"/>
      <c r="N83" s="2"/>
      <c r="O83" s="2"/>
      <c r="P83" s="2"/>
      <c r="Q83" s="2"/>
      <c r="R83" s="2"/>
    </row>
    <row r="84" spans="1:18" customFormat="1" ht="14.65" hidden="1" customHeight="1">
      <c r="A84" s="7" t="s">
        <v>720</v>
      </c>
      <c r="B84" s="85" t="str">
        <f>A81&amp;"=3,5 or 6"</f>
        <v>D-80=3,5 or 6</v>
      </c>
      <c r="C84" s="105" t="str">
        <f t="shared" si="6"/>
        <v>Are you happy with the order quantity and/or frequency?</v>
      </c>
      <c r="D84" s="105"/>
      <c r="E84" s="2"/>
      <c r="F84" s="238">
        <v>1</v>
      </c>
      <c r="G84" s="359" t="s">
        <v>721</v>
      </c>
      <c r="H84" s="7" t="s">
        <v>215</v>
      </c>
      <c r="I84" s="7" t="s">
        <v>305</v>
      </c>
      <c r="J84" s="2"/>
      <c r="K84" s="7" t="s">
        <v>278</v>
      </c>
      <c r="L84" s="7" t="s">
        <v>278</v>
      </c>
      <c r="M84" s="2"/>
      <c r="N84" s="2"/>
      <c r="O84" s="2"/>
      <c r="P84" s="2"/>
      <c r="Q84" s="2"/>
      <c r="R84" s="2"/>
    </row>
    <row r="85" spans="1:18" customFormat="1" ht="14.65" hidden="1" customHeight="1">
      <c r="A85" s="7" t="s">
        <v>722</v>
      </c>
      <c r="B85" s="85" t="str">
        <f>A81&amp;"=3,5 or 6"</f>
        <v>D-80=3,5 or 6</v>
      </c>
      <c r="C85" s="105" t="str">
        <f t="shared" si="6"/>
        <v>What is the minimum quantity to order to get delivered by a supplier/wholesaler or distributor?</v>
      </c>
      <c r="D85" s="105"/>
      <c r="E85" s="2"/>
      <c r="F85" s="238">
        <v>1</v>
      </c>
      <c r="G85" s="359" t="s">
        <v>723</v>
      </c>
      <c r="H85" s="7" t="s">
        <v>41</v>
      </c>
      <c r="I85" s="2" t="s">
        <v>544</v>
      </c>
      <c r="J85" s="2"/>
      <c r="K85" s="7" t="s">
        <v>278</v>
      </c>
      <c r="L85" s="7" t="s">
        <v>278</v>
      </c>
      <c r="M85" s="2"/>
      <c r="N85" s="2"/>
      <c r="O85" s="2"/>
      <c r="P85" s="2"/>
      <c r="Q85" s="2"/>
      <c r="R85" s="2"/>
    </row>
    <row r="86" spans="1:18" customFormat="1" ht="14.65" hidden="1" customHeight="1">
      <c r="A86" s="7" t="s">
        <v>724</v>
      </c>
      <c r="B86" s="85" t="str">
        <f>A81&amp;" is not 1"</f>
        <v>D-80 is not 1</v>
      </c>
      <c r="C86" s="105" t="str">
        <f t="shared" si="6"/>
        <v>What are your payment conditions?</v>
      </c>
      <c r="D86" s="105"/>
      <c r="E86" s="2"/>
      <c r="F86" s="238">
        <v>1</v>
      </c>
      <c r="G86" s="359" t="s">
        <v>725</v>
      </c>
      <c r="H86" s="7" t="s">
        <v>215</v>
      </c>
      <c r="I86" s="246" t="s">
        <v>628</v>
      </c>
      <c r="J86" s="2"/>
      <c r="K86" s="7" t="s">
        <v>278</v>
      </c>
      <c r="L86" s="7" t="s">
        <v>278</v>
      </c>
      <c r="M86" s="2"/>
      <c r="N86" s="2"/>
      <c r="O86" s="2"/>
      <c r="P86" s="2"/>
      <c r="Q86" s="2"/>
      <c r="R86" s="2"/>
    </row>
    <row r="87" spans="1:18" customFormat="1" ht="14.65" hidden="1" customHeight="1">
      <c r="A87" s="7" t="s">
        <v>726</v>
      </c>
      <c r="B87" s="85" t="str">
        <f>A86&amp;" is not 1"</f>
        <v>D-85 is not 1</v>
      </c>
      <c r="C87" s="105" t="str">
        <f t="shared" si="6"/>
        <v>What type of credit do you get?</v>
      </c>
      <c r="D87" s="105"/>
      <c r="E87" s="2"/>
      <c r="F87" s="238">
        <v>1</v>
      </c>
      <c r="G87" s="359" t="s">
        <v>727</v>
      </c>
      <c r="H87" s="7" t="s">
        <v>405</v>
      </c>
      <c r="I87" s="246" t="s">
        <v>631</v>
      </c>
      <c r="J87" s="2"/>
      <c r="K87" s="7" t="s">
        <v>278</v>
      </c>
      <c r="L87" s="7" t="s">
        <v>278</v>
      </c>
      <c r="M87" s="2"/>
      <c r="N87" s="2"/>
      <c r="O87" s="2"/>
      <c r="P87" s="2"/>
      <c r="Q87" s="2"/>
      <c r="R87" s="2"/>
    </row>
    <row r="88" spans="1:18" customFormat="1" ht="14.65" hidden="1" customHeight="1">
      <c r="A88" s="7" t="s">
        <v>728</v>
      </c>
      <c r="B88" s="85" t="str">
        <f>A87&amp;" =1"</f>
        <v>D-86 =1</v>
      </c>
      <c r="C88" s="105" t="str">
        <f t="shared" si="6"/>
        <v>What is the maximum number of open invoices allowed?</v>
      </c>
      <c r="D88" s="105"/>
      <c r="E88" s="2"/>
      <c r="F88" s="238">
        <v>1</v>
      </c>
      <c r="G88" s="359" t="s">
        <v>729</v>
      </c>
      <c r="H88" s="7" t="s">
        <v>41</v>
      </c>
      <c r="I88" s="2" t="s">
        <v>544</v>
      </c>
      <c r="J88" s="2"/>
      <c r="K88" s="7" t="s">
        <v>278</v>
      </c>
      <c r="L88" s="7" t="s">
        <v>278</v>
      </c>
      <c r="M88" s="2"/>
      <c r="N88" s="2"/>
      <c r="O88" s="2"/>
      <c r="P88" s="2"/>
      <c r="Q88" s="2"/>
      <c r="R88" s="2"/>
    </row>
    <row r="89" spans="1:18" customFormat="1" ht="14.65" hidden="1" customHeight="1">
      <c r="A89" s="7" t="s">
        <v>730</v>
      </c>
      <c r="B89" s="85" t="str">
        <f>A87&amp;" =2"</f>
        <v>D-86 =2</v>
      </c>
      <c r="C89" s="105" t="str">
        <f t="shared" si="6"/>
        <v>How long is the credit in weeks?</v>
      </c>
      <c r="D89" s="105"/>
      <c r="E89" s="2"/>
      <c r="F89" s="238">
        <v>1</v>
      </c>
      <c r="G89" s="359" t="s">
        <v>731</v>
      </c>
      <c r="H89" s="7" t="s">
        <v>41</v>
      </c>
      <c r="I89" s="7" t="s">
        <v>635</v>
      </c>
      <c r="J89" s="2"/>
      <c r="K89" s="7" t="s">
        <v>278</v>
      </c>
      <c r="L89" s="7" t="s">
        <v>278</v>
      </c>
      <c r="M89" s="2"/>
      <c r="N89" s="2"/>
      <c r="O89" s="2"/>
      <c r="P89" s="2"/>
      <c r="Q89" s="2"/>
      <c r="R89" s="2"/>
    </row>
    <row r="90" spans="1:18" customFormat="1" ht="14.65" hidden="1" customHeight="1">
      <c r="A90" s="7" t="s">
        <v>732</v>
      </c>
      <c r="B90" s="85" t="str">
        <f>A81&amp;"=4 or 5"</f>
        <v>D-80=4 or 5</v>
      </c>
      <c r="C90" s="105" t="str">
        <f t="shared" si="6"/>
        <v>What is the name of your official Wholesaler/Distributor?</v>
      </c>
      <c r="D90" s="69"/>
      <c r="E90" s="2"/>
      <c r="F90" s="238">
        <v>1</v>
      </c>
      <c r="G90" s="2"/>
      <c r="H90" s="7" t="s">
        <v>215</v>
      </c>
      <c r="I90" s="247" t="s">
        <v>657</v>
      </c>
      <c r="J90" s="2"/>
      <c r="K90" s="7" t="s">
        <v>278</v>
      </c>
      <c r="L90" s="7" t="s">
        <v>278</v>
      </c>
      <c r="M90" s="3"/>
      <c r="N90" s="2"/>
      <c r="O90" s="2"/>
      <c r="P90" s="2"/>
      <c r="Q90" s="2"/>
      <c r="R90" s="2"/>
    </row>
    <row r="91" spans="1:18" customFormat="1" ht="15" hidden="1" customHeight="1" collapsed="1">
      <c r="A91" s="398" t="s">
        <v>297</v>
      </c>
      <c r="B91" s="399"/>
      <c r="C91" s="399"/>
      <c r="D91" s="399"/>
      <c r="E91" s="399"/>
      <c r="F91" s="399"/>
      <c r="G91" s="399"/>
      <c r="H91" s="399"/>
      <c r="I91" s="399"/>
      <c r="J91" s="399"/>
      <c r="K91" s="399"/>
      <c r="L91" s="399"/>
      <c r="M91" s="399"/>
      <c r="N91" s="399"/>
      <c r="O91" s="400"/>
      <c r="P91" s="364"/>
      <c r="Q91" s="364"/>
      <c r="R91" s="364"/>
    </row>
    <row r="92" spans="1:18" customFormat="1" ht="14.65" hidden="1" customHeight="1">
      <c r="A92" s="7" t="s">
        <v>182</v>
      </c>
      <c r="B92" s="7"/>
      <c r="C92" s="69" t="str">
        <f>"Where do you mainly source your "&amp;R13&amp;" cigarettes from?"</f>
        <v>Where do you mainly source your  cigarettes from?</v>
      </c>
      <c r="D92" s="248"/>
      <c r="E92" s="2"/>
      <c r="F92" s="238">
        <v>1</v>
      </c>
      <c r="G92" s="2"/>
      <c r="H92" s="7" t="s">
        <v>215</v>
      </c>
      <c r="I92" s="246" t="s">
        <v>614</v>
      </c>
      <c r="J92" s="2"/>
      <c r="K92" s="7" t="s">
        <v>278</v>
      </c>
      <c r="L92" s="7" t="s">
        <v>278</v>
      </c>
      <c r="M92" s="2"/>
      <c r="N92" s="2"/>
      <c r="O92" s="2"/>
      <c r="P92" s="2"/>
      <c r="Q92" s="2"/>
      <c r="R92" s="2"/>
    </row>
    <row r="93" spans="1:18" customFormat="1" ht="14.65" hidden="1" customHeight="1">
      <c r="A93" s="7" t="s">
        <v>733</v>
      </c>
      <c r="B93" s="85" t="str">
        <f>A92&amp;" is not 1"</f>
        <v>D-90 is not 1</v>
      </c>
      <c r="C93" s="105" t="str">
        <f t="shared" ref="C93:C101" si="7">C71</f>
        <v>How do you make the majority of your orders?</v>
      </c>
      <c r="D93" s="105"/>
      <c r="E93" s="2"/>
      <c r="F93" s="238">
        <v>1</v>
      </c>
      <c r="G93" s="2"/>
      <c r="H93" s="7" t="s">
        <v>215</v>
      </c>
      <c r="I93" s="246" t="s">
        <v>619</v>
      </c>
      <c r="J93" s="2"/>
      <c r="K93" s="7" t="s">
        <v>278</v>
      </c>
      <c r="L93" s="7" t="s">
        <v>278</v>
      </c>
      <c r="M93" s="2"/>
      <c r="N93" s="2"/>
      <c r="O93" s="2"/>
      <c r="P93" s="2"/>
      <c r="Q93" s="2"/>
      <c r="R93" s="2"/>
    </row>
    <row r="94" spans="1:18" customFormat="1" ht="14.65" hidden="1" customHeight="1">
      <c r="A94" s="7" t="s">
        <v>734</v>
      </c>
      <c r="B94" s="85" t="str">
        <f>A92&amp;" is not 1"</f>
        <v>D-90 is not 1</v>
      </c>
      <c r="C94" s="105" t="str">
        <f t="shared" si="7"/>
        <v>How often do you buy, get delivered per week?</v>
      </c>
      <c r="D94" s="105"/>
      <c r="E94" s="2"/>
      <c r="F94" s="238">
        <v>1</v>
      </c>
      <c r="G94" s="2"/>
      <c r="H94" s="7" t="s">
        <v>41</v>
      </c>
      <c r="I94" s="7" t="s">
        <v>494</v>
      </c>
      <c r="J94" s="2"/>
      <c r="K94" s="7" t="s">
        <v>278</v>
      </c>
      <c r="L94" s="7" t="s">
        <v>278</v>
      </c>
      <c r="M94" s="2"/>
      <c r="N94" s="2"/>
      <c r="O94" s="2"/>
      <c r="P94" s="2"/>
      <c r="Q94" s="2"/>
      <c r="R94" s="2"/>
    </row>
    <row r="95" spans="1:18" customFormat="1" ht="14.65" hidden="1" customHeight="1">
      <c r="A95" s="7" t="s">
        <v>735</v>
      </c>
      <c r="B95" s="85" t="str">
        <f>A92&amp;"=3,5 or 6"</f>
        <v>D-90=3,5 or 6</v>
      </c>
      <c r="C95" s="105" t="str">
        <f t="shared" si="7"/>
        <v>Are you happy with the order quantity and/or frequency?</v>
      </c>
      <c r="D95" s="105"/>
      <c r="E95" s="2"/>
      <c r="F95" s="238">
        <v>1</v>
      </c>
      <c r="G95" s="2"/>
      <c r="H95" s="7" t="s">
        <v>215</v>
      </c>
      <c r="I95" s="7" t="s">
        <v>305</v>
      </c>
      <c r="J95" s="2"/>
      <c r="K95" s="7" t="s">
        <v>278</v>
      </c>
      <c r="L95" s="7" t="s">
        <v>278</v>
      </c>
      <c r="M95" s="2"/>
      <c r="N95" s="2"/>
      <c r="O95" s="2"/>
      <c r="P95" s="2"/>
      <c r="Q95" s="2"/>
      <c r="R95" s="2"/>
    </row>
    <row r="96" spans="1:18" customFormat="1" ht="14.65" hidden="1" customHeight="1">
      <c r="A96" s="7" t="s">
        <v>736</v>
      </c>
      <c r="B96" s="85" t="str">
        <f>A92&amp;"=3,5 or 6"</f>
        <v>D-90=3,5 or 6</v>
      </c>
      <c r="C96" s="105" t="str">
        <f t="shared" si="7"/>
        <v>What is the minimum quantity to order to get delivered by a supplier/wholesaler or distributor?</v>
      </c>
      <c r="D96" s="105"/>
      <c r="E96" s="2"/>
      <c r="F96" s="238">
        <v>1</v>
      </c>
      <c r="G96" s="2"/>
      <c r="H96" s="7" t="s">
        <v>41</v>
      </c>
      <c r="I96" s="2" t="s">
        <v>544</v>
      </c>
      <c r="J96" s="2"/>
      <c r="K96" s="7" t="s">
        <v>278</v>
      </c>
      <c r="L96" s="7" t="s">
        <v>278</v>
      </c>
      <c r="M96" s="2"/>
      <c r="N96" s="2"/>
      <c r="O96" s="2"/>
      <c r="P96" s="2"/>
      <c r="Q96" s="2"/>
      <c r="R96" s="2"/>
    </row>
    <row r="97" spans="1:18" customFormat="1" ht="14.65" hidden="1" customHeight="1">
      <c r="A97" s="7" t="s">
        <v>737</v>
      </c>
      <c r="B97" s="85" t="str">
        <f>A92&amp;" is not 1"</f>
        <v>D-90 is not 1</v>
      </c>
      <c r="C97" s="105" t="str">
        <f t="shared" si="7"/>
        <v>What are your payment conditions?</v>
      </c>
      <c r="D97" s="105"/>
      <c r="E97" s="2"/>
      <c r="F97" s="238">
        <v>1</v>
      </c>
      <c r="G97" s="2"/>
      <c r="H97" s="7" t="s">
        <v>215</v>
      </c>
      <c r="I97" s="246" t="s">
        <v>628</v>
      </c>
      <c r="J97" s="2"/>
      <c r="K97" s="7" t="s">
        <v>278</v>
      </c>
      <c r="L97" s="7" t="s">
        <v>278</v>
      </c>
      <c r="M97" s="2"/>
      <c r="N97" s="2"/>
      <c r="O97" s="2"/>
      <c r="P97" s="2"/>
      <c r="Q97" s="2"/>
      <c r="R97" s="2"/>
    </row>
    <row r="98" spans="1:18" customFormat="1" ht="14.65" hidden="1" customHeight="1">
      <c r="A98" s="7" t="s">
        <v>738</v>
      </c>
      <c r="B98" s="85" t="str">
        <f>A97&amp;" is not 1"</f>
        <v>D-95 is not 1</v>
      </c>
      <c r="C98" s="105" t="str">
        <f t="shared" si="7"/>
        <v>What type of credit do you get?</v>
      </c>
      <c r="D98" s="105"/>
      <c r="E98" s="2"/>
      <c r="F98" s="238">
        <v>1</v>
      </c>
      <c r="G98" s="2"/>
      <c r="H98" s="7" t="s">
        <v>405</v>
      </c>
      <c r="I98" s="246" t="s">
        <v>631</v>
      </c>
      <c r="J98" s="2"/>
      <c r="K98" s="7" t="s">
        <v>278</v>
      </c>
      <c r="L98" s="7" t="s">
        <v>278</v>
      </c>
      <c r="M98" s="2"/>
      <c r="N98" s="2"/>
      <c r="O98" s="2"/>
      <c r="P98" s="2"/>
      <c r="Q98" s="2"/>
      <c r="R98" s="2"/>
    </row>
    <row r="99" spans="1:18" customFormat="1" ht="14.65" hidden="1" customHeight="1">
      <c r="A99" s="7" t="s">
        <v>739</v>
      </c>
      <c r="B99" s="85" t="str">
        <f>A98&amp;" =1"</f>
        <v>D-96 =1</v>
      </c>
      <c r="C99" s="105" t="str">
        <f t="shared" si="7"/>
        <v>What is the maximum number of open invoices allowed?</v>
      </c>
      <c r="D99" s="105"/>
      <c r="E99" s="2"/>
      <c r="F99" s="238">
        <v>1</v>
      </c>
      <c r="G99" s="2"/>
      <c r="H99" s="7" t="s">
        <v>41</v>
      </c>
      <c r="I99" s="2" t="s">
        <v>544</v>
      </c>
      <c r="J99" s="2"/>
      <c r="K99" s="7" t="s">
        <v>278</v>
      </c>
      <c r="L99" s="7" t="s">
        <v>278</v>
      </c>
      <c r="M99" s="2"/>
      <c r="N99" s="2"/>
      <c r="O99" s="2"/>
      <c r="P99" s="2"/>
      <c r="Q99" s="2"/>
      <c r="R99" s="2"/>
    </row>
    <row r="100" spans="1:18" customFormat="1" ht="14.65" hidden="1" customHeight="1">
      <c r="A100" s="7" t="s">
        <v>740</v>
      </c>
      <c r="B100" s="85" t="str">
        <f>A98&amp;" =2"</f>
        <v>D-96 =2</v>
      </c>
      <c r="C100" s="105" t="str">
        <f t="shared" si="7"/>
        <v>How long is the credit in weeks?</v>
      </c>
      <c r="D100" s="105"/>
      <c r="E100" s="2"/>
      <c r="F100" s="238">
        <v>1</v>
      </c>
      <c r="G100" s="2"/>
      <c r="H100" s="7" t="s">
        <v>41</v>
      </c>
      <c r="I100" s="7" t="s">
        <v>635</v>
      </c>
      <c r="J100" s="2"/>
      <c r="K100" s="7" t="s">
        <v>278</v>
      </c>
      <c r="L100" s="7" t="s">
        <v>278</v>
      </c>
      <c r="M100" s="2"/>
      <c r="N100" s="2"/>
      <c r="O100" s="2"/>
      <c r="P100" s="2"/>
      <c r="Q100" s="2"/>
      <c r="R100" s="2"/>
    </row>
    <row r="101" spans="1:18" customFormat="1" ht="14.65" hidden="1" customHeight="1">
      <c r="A101" s="7" t="s">
        <v>741</v>
      </c>
      <c r="B101" s="85" t="str">
        <f>A92&amp;"=4 or 5"</f>
        <v>D-90=4 or 5</v>
      </c>
      <c r="C101" s="105" t="str">
        <f t="shared" si="7"/>
        <v>What is the name of your official Wholesaler/Distributor?</v>
      </c>
      <c r="D101" s="69"/>
      <c r="E101" s="2"/>
      <c r="F101" s="238">
        <v>1</v>
      </c>
      <c r="G101" s="2"/>
      <c r="H101" s="7" t="s">
        <v>215</v>
      </c>
      <c r="I101" s="247" t="s">
        <v>657</v>
      </c>
      <c r="J101" s="2"/>
      <c r="K101" s="7" t="s">
        <v>278</v>
      </c>
      <c r="L101" s="7" t="s">
        <v>278</v>
      </c>
      <c r="M101" s="3"/>
      <c r="N101" s="2"/>
      <c r="O101" s="2"/>
      <c r="P101" s="2"/>
      <c r="Q101" s="2"/>
      <c r="R101" s="2"/>
    </row>
    <row r="102" spans="1:18" customFormat="1" ht="15">
      <c r="A102" s="398" t="s">
        <v>297</v>
      </c>
      <c r="B102" s="399"/>
      <c r="C102" s="399"/>
      <c r="D102" s="399"/>
      <c r="E102" s="399"/>
      <c r="F102" s="399"/>
      <c r="G102" s="399"/>
      <c r="H102" s="399"/>
      <c r="I102" s="399"/>
      <c r="J102" s="399"/>
      <c r="K102" s="399"/>
      <c r="L102" s="399"/>
      <c r="M102" s="399"/>
      <c r="N102" s="399"/>
      <c r="O102" s="400"/>
      <c r="P102" s="364"/>
      <c r="Q102" s="364"/>
      <c r="R102" s="364"/>
    </row>
    <row r="103" spans="1:18" customFormat="1" ht="15">
      <c r="A103" s="7" t="s">
        <v>184</v>
      </c>
      <c r="B103" s="85"/>
      <c r="C103" s="92" t="s">
        <v>742</v>
      </c>
      <c r="D103" s="92" t="s">
        <v>743</v>
      </c>
      <c r="E103" s="2"/>
      <c r="F103" s="238">
        <v>1</v>
      </c>
      <c r="G103" s="2" t="s">
        <v>744</v>
      </c>
      <c r="H103" s="7" t="s">
        <v>405</v>
      </c>
      <c r="I103" s="358" t="s">
        <v>745</v>
      </c>
      <c r="J103" s="249" t="s">
        <v>218</v>
      </c>
      <c r="K103" s="2" t="s">
        <v>278</v>
      </c>
      <c r="L103" s="7" t="s">
        <v>278</v>
      </c>
      <c r="M103" s="2"/>
      <c r="N103" s="2"/>
      <c r="O103" s="2"/>
      <c r="P103" s="2"/>
      <c r="Q103" s="2"/>
      <c r="R103" s="2"/>
    </row>
    <row r="104" spans="1:18" customFormat="1" ht="16.899999999999999" customHeight="1">
      <c r="A104" s="7" t="s">
        <v>746</v>
      </c>
      <c r="B104" s="85" t="s">
        <v>747</v>
      </c>
      <c r="C104" s="69" t="str">
        <f t="shared" ref="C104:C112" si="8">"How many times per month does the "&amp;R5&amp;" Sales Reps visit you?"</f>
        <v>How many times per month does the  Sales Reps visit you?</v>
      </c>
      <c r="D104" s="69" t="s">
        <v>748</v>
      </c>
      <c r="E104" s="2"/>
      <c r="F104" s="238">
        <v>1</v>
      </c>
      <c r="G104" s="2" t="s">
        <v>749</v>
      </c>
      <c r="H104" s="7" t="s">
        <v>215</v>
      </c>
      <c r="I104" s="99" t="s">
        <v>750</v>
      </c>
      <c r="J104" s="249" t="s">
        <v>218</v>
      </c>
      <c r="K104" s="2" t="s">
        <v>278</v>
      </c>
      <c r="L104" s="7" t="s">
        <v>278</v>
      </c>
      <c r="M104" s="2"/>
      <c r="N104" s="2"/>
      <c r="O104" s="2"/>
      <c r="P104" s="2"/>
      <c r="Q104" s="2"/>
      <c r="R104" s="2"/>
    </row>
    <row r="105" spans="1:18" customFormat="1" ht="15">
      <c r="A105" s="7" t="s">
        <v>751</v>
      </c>
      <c r="B105" s="85" t="s">
        <v>752</v>
      </c>
      <c r="C105" s="69" t="str">
        <f t="shared" si="8"/>
        <v>How many times per month does the  Sales Reps visit you?</v>
      </c>
      <c r="D105" s="69" t="s">
        <v>748</v>
      </c>
      <c r="E105" s="2"/>
      <c r="F105" s="238">
        <v>1</v>
      </c>
      <c r="G105" s="2" t="s">
        <v>753</v>
      </c>
      <c r="H105" s="7" t="s">
        <v>215</v>
      </c>
      <c r="I105" s="99" t="s">
        <v>750</v>
      </c>
      <c r="J105" s="249" t="s">
        <v>218</v>
      </c>
      <c r="K105" s="2" t="s">
        <v>278</v>
      </c>
      <c r="L105" s="7" t="s">
        <v>278</v>
      </c>
      <c r="M105" s="2"/>
      <c r="N105" s="2"/>
      <c r="O105" s="2"/>
      <c r="P105" s="2"/>
      <c r="Q105" s="2"/>
      <c r="R105" s="2"/>
    </row>
    <row r="106" spans="1:18" customFormat="1" ht="14.65" customHeight="1">
      <c r="A106" s="7" t="s">
        <v>754</v>
      </c>
      <c r="B106" s="85" t="s">
        <v>755</v>
      </c>
      <c r="C106" s="69" t="str">
        <f>"How many times per month does the "&amp;R13&amp;" Sales Reps visit you?"</f>
        <v>How many times per month does the  Sales Reps visit you?</v>
      </c>
      <c r="D106" s="69" t="s">
        <v>748</v>
      </c>
      <c r="E106" s="2"/>
      <c r="F106" s="238">
        <v>1</v>
      </c>
      <c r="G106" s="2" t="s">
        <v>756</v>
      </c>
      <c r="H106" s="7" t="s">
        <v>215</v>
      </c>
      <c r="I106" s="99" t="s">
        <v>750</v>
      </c>
      <c r="J106" s="249" t="s">
        <v>218</v>
      </c>
      <c r="K106" s="2" t="s">
        <v>278</v>
      </c>
      <c r="L106" s="7" t="s">
        <v>278</v>
      </c>
      <c r="M106" s="2"/>
      <c r="N106" s="2"/>
      <c r="O106" s="2"/>
      <c r="P106" s="2"/>
      <c r="Q106" s="2"/>
      <c r="R106" s="2"/>
    </row>
    <row r="107" spans="1:18" customFormat="1" ht="14.65" customHeight="1">
      <c r="A107" s="7" t="s">
        <v>757</v>
      </c>
      <c r="B107" s="85" t="s">
        <v>758</v>
      </c>
      <c r="C107" s="69" t="str">
        <f>"How many times per month does the "&amp;R14&amp;" Sales Reps visit you?"</f>
        <v>How many times per month does the  Sales Reps visit you?</v>
      </c>
      <c r="D107" s="69" t="s">
        <v>748</v>
      </c>
      <c r="E107" s="2"/>
      <c r="F107" s="238">
        <v>1</v>
      </c>
      <c r="G107" s="2" t="s">
        <v>759</v>
      </c>
      <c r="H107" s="7" t="s">
        <v>215</v>
      </c>
      <c r="I107" s="99" t="s">
        <v>750</v>
      </c>
      <c r="J107" s="249" t="s">
        <v>218</v>
      </c>
      <c r="K107" s="2" t="s">
        <v>278</v>
      </c>
      <c r="L107" s="7" t="s">
        <v>278</v>
      </c>
      <c r="M107" s="2"/>
      <c r="N107" s="2"/>
      <c r="O107" s="2"/>
      <c r="P107" s="2"/>
      <c r="Q107" s="2"/>
      <c r="R107" s="2"/>
    </row>
    <row r="108" spans="1:18" customFormat="1" ht="14.65" customHeight="1">
      <c r="A108" s="7" t="s">
        <v>760</v>
      </c>
      <c r="B108" s="85" t="s">
        <v>761</v>
      </c>
      <c r="C108" s="69" t="str">
        <f>"How many times per month does the "&amp;R15&amp;" Sales Reps visit you?"</f>
        <v>How many times per month does the  Sales Reps visit you?</v>
      </c>
      <c r="D108" s="69" t="s">
        <v>748</v>
      </c>
      <c r="E108" s="2"/>
      <c r="F108" s="238">
        <v>1</v>
      </c>
      <c r="G108" s="2" t="s">
        <v>762</v>
      </c>
      <c r="H108" s="7" t="s">
        <v>215</v>
      </c>
      <c r="I108" s="99" t="s">
        <v>750</v>
      </c>
      <c r="J108" s="249" t="s">
        <v>218</v>
      </c>
      <c r="K108" s="2" t="s">
        <v>278</v>
      </c>
      <c r="L108" s="7" t="s">
        <v>278</v>
      </c>
      <c r="M108" s="2"/>
      <c r="N108" s="2"/>
      <c r="O108" s="2"/>
      <c r="P108" s="2"/>
      <c r="Q108" s="2"/>
      <c r="R108" s="2"/>
    </row>
    <row r="109" spans="1:18" customFormat="1" ht="14.65" customHeight="1">
      <c r="A109" s="7" t="s">
        <v>185</v>
      </c>
      <c r="B109" s="85" t="s">
        <v>763</v>
      </c>
      <c r="C109" s="69" t="str">
        <f>"How many times per month does the "&amp;R16&amp;" Sales Reps visit you?"</f>
        <v>How many times per month does the  Sales Reps visit you?</v>
      </c>
      <c r="D109" s="69" t="s">
        <v>748</v>
      </c>
      <c r="E109" s="2"/>
      <c r="F109" s="238">
        <v>1</v>
      </c>
      <c r="G109" s="2" t="s">
        <v>764</v>
      </c>
      <c r="H109" s="7" t="s">
        <v>215</v>
      </c>
      <c r="I109" s="99" t="s">
        <v>750</v>
      </c>
      <c r="J109" s="249" t="s">
        <v>218</v>
      </c>
      <c r="K109" s="2" t="s">
        <v>278</v>
      </c>
      <c r="L109" s="7" t="s">
        <v>278</v>
      </c>
      <c r="M109" s="2"/>
      <c r="N109" s="2"/>
      <c r="O109" s="2"/>
      <c r="P109" s="2"/>
      <c r="Q109" s="2"/>
      <c r="R109" s="2"/>
    </row>
    <row r="110" spans="1:18" customFormat="1" ht="14.65" hidden="1" customHeight="1">
      <c r="A110" s="7" t="s">
        <v>765</v>
      </c>
      <c r="B110" s="85" t="str">
        <f>$A$103&amp;" = 7"</f>
        <v>D-100 = 7</v>
      </c>
      <c r="C110" s="69" t="str">
        <f t="shared" si="8"/>
        <v>How many times per month does the  Sales Reps visit you?</v>
      </c>
      <c r="D110" s="105"/>
      <c r="E110" s="2"/>
      <c r="F110" s="238">
        <v>1</v>
      </c>
      <c r="G110" s="2"/>
      <c r="H110" s="7" t="s">
        <v>215</v>
      </c>
      <c r="I110" s="246" t="s">
        <v>750</v>
      </c>
      <c r="J110" s="249"/>
      <c r="K110" s="2" t="s">
        <v>278</v>
      </c>
      <c r="L110" s="7" t="s">
        <v>278</v>
      </c>
      <c r="M110" s="2"/>
      <c r="N110" s="2"/>
      <c r="O110" s="2"/>
      <c r="P110" s="2"/>
      <c r="Q110" s="2"/>
      <c r="R110" s="2"/>
    </row>
    <row r="111" spans="1:18" customFormat="1" ht="14.65" hidden="1" customHeight="1">
      <c r="A111" s="7" t="s">
        <v>766</v>
      </c>
      <c r="B111" s="85" t="str">
        <f>$A$103&amp;" = 8"</f>
        <v>D-100 = 8</v>
      </c>
      <c r="C111" s="69" t="str">
        <f t="shared" si="8"/>
        <v>How many times per month does the  Sales Reps visit you?</v>
      </c>
      <c r="D111" s="105"/>
      <c r="E111" s="2"/>
      <c r="F111" s="238">
        <v>1</v>
      </c>
      <c r="G111" s="2"/>
      <c r="H111" s="7" t="s">
        <v>215</v>
      </c>
      <c r="I111" s="246" t="s">
        <v>750</v>
      </c>
      <c r="J111" s="249"/>
      <c r="K111" s="2" t="s">
        <v>278</v>
      </c>
      <c r="L111" s="7" t="s">
        <v>278</v>
      </c>
      <c r="M111" s="2"/>
      <c r="N111" s="2"/>
      <c r="O111" s="2"/>
      <c r="P111" s="2"/>
      <c r="Q111" s="2"/>
      <c r="R111" s="2"/>
    </row>
    <row r="112" spans="1:18" customFormat="1" ht="14.65" hidden="1" customHeight="1">
      <c r="A112" s="7" t="s">
        <v>767</v>
      </c>
      <c r="B112" s="85" t="str">
        <f>$A$103&amp;" = 9"</f>
        <v>D-100 = 9</v>
      </c>
      <c r="C112" s="69" t="str">
        <f t="shared" si="8"/>
        <v>How many times per month does the  Sales Reps visit you?</v>
      </c>
      <c r="D112" s="105"/>
      <c r="E112" s="2"/>
      <c r="F112" s="238">
        <v>1</v>
      </c>
      <c r="G112" s="2"/>
      <c r="H112" s="7" t="s">
        <v>215</v>
      </c>
      <c r="I112" s="246" t="s">
        <v>750</v>
      </c>
      <c r="J112" s="249"/>
      <c r="K112" s="2" t="s">
        <v>278</v>
      </c>
      <c r="L112" s="7" t="s">
        <v>278</v>
      </c>
      <c r="M112" s="2"/>
      <c r="N112" s="2"/>
      <c r="O112" s="2"/>
      <c r="P112" s="2"/>
      <c r="Q112" s="2"/>
      <c r="R112" s="2"/>
    </row>
    <row r="113" spans="1:23" customFormat="1" ht="15">
      <c r="A113" s="398" t="s">
        <v>297</v>
      </c>
      <c r="B113" s="399"/>
      <c r="C113" s="399"/>
      <c r="D113" s="399"/>
      <c r="E113" s="399"/>
      <c r="F113" s="399"/>
      <c r="G113" s="399"/>
      <c r="H113" s="399"/>
      <c r="I113" s="399"/>
      <c r="J113" s="399"/>
      <c r="K113" s="399"/>
      <c r="L113" s="399"/>
      <c r="M113" s="399"/>
      <c r="N113" s="399"/>
      <c r="O113" s="400"/>
      <c r="P113" s="364"/>
      <c r="Q113" s="364"/>
      <c r="R113" s="364"/>
    </row>
    <row r="114" spans="1:23" customFormat="1" ht="15" hidden="1" customHeight="1">
      <c r="A114" s="66" t="s">
        <v>768</v>
      </c>
      <c r="B114" s="96" t="str">
        <f>$A$103&amp;" = 1"</f>
        <v>D-100 = 1</v>
      </c>
      <c r="C114" s="101" t="str">
        <f>"From how many suppliers do you source your "&amp;R5&amp;" products?"</f>
        <v>From how many suppliers do you source your  products?</v>
      </c>
      <c r="D114" s="102"/>
      <c r="E114" s="81"/>
      <c r="F114" s="65">
        <v>-1</v>
      </c>
      <c r="G114" s="81"/>
      <c r="H114" s="66" t="s">
        <v>215</v>
      </c>
      <c r="I114" s="99" t="s">
        <v>769</v>
      </c>
      <c r="J114" s="81"/>
      <c r="K114" s="66" t="s">
        <v>278</v>
      </c>
      <c r="L114" s="66" t="s">
        <v>278</v>
      </c>
      <c r="M114" s="81"/>
      <c r="N114" s="81"/>
      <c r="O114" s="81"/>
      <c r="P114" s="81"/>
      <c r="Q114" s="81"/>
      <c r="R114" s="81"/>
    </row>
    <row r="115" spans="1:23" customFormat="1" ht="15" hidden="1" customHeight="1">
      <c r="A115" s="66" t="s">
        <v>770</v>
      </c>
      <c r="B115" s="96" t="str">
        <f>$A$103&amp;" = 2"</f>
        <v>D-100 = 2</v>
      </c>
      <c r="C115" s="101" t="str">
        <f t="shared" ref="C115:C119" si="9">"From how many suppliers do you source your "&amp;R6&amp;" products?"</f>
        <v>From how many suppliers do you source your  products?</v>
      </c>
      <c r="D115" s="102"/>
      <c r="E115" s="81"/>
      <c r="F115" s="65">
        <v>-1</v>
      </c>
      <c r="G115" s="81"/>
      <c r="H115" s="66" t="s">
        <v>215</v>
      </c>
      <c r="I115" s="99" t="s">
        <v>769</v>
      </c>
      <c r="J115" s="81"/>
      <c r="K115" s="66" t="s">
        <v>278</v>
      </c>
      <c r="L115" s="66" t="s">
        <v>278</v>
      </c>
      <c r="M115" s="81"/>
      <c r="N115" s="81"/>
      <c r="O115" s="81"/>
      <c r="P115" s="81"/>
      <c r="Q115" s="81"/>
      <c r="R115" s="81"/>
    </row>
    <row r="116" spans="1:23" customFormat="1" ht="14.65" hidden="1" customHeight="1">
      <c r="A116" s="66" t="s">
        <v>771</v>
      </c>
      <c r="B116" s="96" t="str">
        <f>$A$103&amp;" = 3"</f>
        <v>D-100 = 3</v>
      </c>
      <c r="C116" s="101" t="str">
        <f t="shared" si="9"/>
        <v>From how many suppliers do you source your  products?</v>
      </c>
      <c r="D116" s="102"/>
      <c r="E116" s="81"/>
      <c r="F116" s="65">
        <v>-1</v>
      </c>
      <c r="G116" s="81"/>
      <c r="H116" s="66" t="s">
        <v>215</v>
      </c>
      <c r="I116" s="99" t="s">
        <v>769</v>
      </c>
      <c r="J116" s="81"/>
      <c r="K116" s="66" t="s">
        <v>278</v>
      </c>
      <c r="L116" s="66" t="s">
        <v>278</v>
      </c>
      <c r="M116" s="81"/>
      <c r="N116" s="81"/>
      <c r="O116" s="81"/>
      <c r="P116" s="81"/>
      <c r="Q116" s="81"/>
      <c r="R116" s="81"/>
    </row>
    <row r="117" spans="1:23" customFormat="1" ht="14.65" hidden="1" customHeight="1">
      <c r="A117" s="66" t="s">
        <v>772</v>
      </c>
      <c r="B117" s="96" t="str">
        <f>$A$103&amp;" = 4"</f>
        <v>D-100 = 4</v>
      </c>
      <c r="C117" s="101" t="str">
        <f t="shared" si="9"/>
        <v>From how many suppliers do you source your  products?</v>
      </c>
      <c r="D117" s="102"/>
      <c r="E117" s="81"/>
      <c r="F117" s="65">
        <v>-1</v>
      </c>
      <c r="G117" s="81"/>
      <c r="H117" s="66" t="s">
        <v>215</v>
      </c>
      <c r="I117" s="99" t="s">
        <v>769</v>
      </c>
      <c r="J117" s="81"/>
      <c r="K117" s="66" t="s">
        <v>278</v>
      </c>
      <c r="L117" s="66" t="s">
        <v>278</v>
      </c>
      <c r="M117" s="81"/>
      <c r="N117" s="81"/>
      <c r="O117" s="81"/>
      <c r="P117" s="81"/>
      <c r="Q117" s="81"/>
      <c r="R117" s="81"/>
    </row>
    <row r="118" spans="1:23" customFormat="1" ht="14.65" hidden="1" customHeight="1">
      <c r="A118" s="66" t="s">
        <v>773</v>
      </c>
      <c r="B118" s="96" t="str">
        <f>$A$103&amp;" = 5"</f>
        <v>D-100 = 5</v>
      </c>
      <c r="C118" s="101" t="str">
        <f t="shared" si="9"/>
        <v>From how many suppliers do you source your  products?</v>
      </c>
      <c r="D118" s="102"/>
      <c r="E118" s="81"/>
      <c r="F118" s="65">
        <v>-1</v>
      </c>
      <c r="G118" s="81"/>
      <c r="H118" s="66" t="s">
        <v>215</v>
      </c>
      <c r="I118" s="99" t="s">
        <v>769</v>
      </c>
      <c r="J118" s="81"/>
      <c r="K118" s="66" t="s">
        <v>278</v>
      </c>
      <c r="L118" s="66" t="s">
        <v>278</v>
      </c>
      <c r="M118" s="81"/>
      <c r="N118" s="81"/>
      <c r="O118" s="81"/>
      <c r="P118" s="81"/>
      <c r="Q118" s="81"/>
      <c r="R118" s="81"/>
    </row>
    <row r="119" spans="1:23" customFormat="1" ht="14.65" hidden="1" customHeight="1">
      <c r="A119" s="66" t="s">
        <v>774</v>
      </c>
      <c r="B119" s="96" t="str">
        <f>$A$103&amp;" = 6"</f>
        <v>D-100 = 6</v>
      </c>
      <c r="C119" s="101" t="str">
        <f t="shared" si="9"/>
        <v>From how many suppliers do you source your  products?</v>
      </c>
      <c r="D119" s="102"/>
      <c r="E119" s="81"/>
      <c r="F119" s="65">
        <v>-1</v>
      </c>
      <c r="G119" s="81"/>
      <c r="H119" s="66" t="s">
        <v>215</v>
      </c>
      <c r="I119" s="99" t="s">
        <v>769</v>
      </c>
      <c r="J119" s="81"/>
      <c r="K119" s="66" t="s">
        <v>278</v>
      </c>
      <c r="L119" s="66" t="s">
        <v>278</v>
      </c>
      <c r="M119" s="81"/>
      <c r="N119" s="81"/>
      <c r="O119" s="81"/>
      <c r="P119" s="81"/>
      <c r="Q119" s="81"/>
      <c r="R119" s="81"/>
    </row>
    <row r="120" spans="1:23" customFormat="1" ht="14.65" hidden="1" customHeight="1">
      <c r="A120" s="66" t="s">
        <v>775</v>
      </c>
      <c r="B120" s="96" t="str">
        <f>$A$103&amp;" = 7"</f>
        <v>D-100 = 7</v>
      </c>
      <c r="C120" s="101" t="str">
        <f>"From how many suppliers do you source your "&amp;R11&amp;" products?"</f>
        <v>From how many suppliers do you source your  products?</v>
      </c>
      <c r="D120" s="102"/>
      <c r="E120" s="81"/>
      <c r="F120" s="65">
        <v>1</v>
      </c>
      <c r="G120" s="81"/>
      <c r="H120" s="66" t="s">
        <v>215</v>
      </c>
      <c r="I120" s="99" t="s">
        <v>769</v>
      </c>
      <c r="J120" s="81"/>
      <c r="K120" s="66" t="s">
        <v>278</v>
      </c>
      <c r="L120" s="66" t="s">
        <v>278</v>
      </c>
      <c r="M120" s="81"/>
      <c r="N120" s="81"/>
      <c r="O120" s="81"/>
      <c r="P120" s="81"/>
      <c r="Q120" s="81"/>
      <c r="R120" s="81"/>
    </row>
    <row r="121" spans="1:23" customFormat="1" ht="14.65" hidden="1" customHeight="1">
      <c r="A121" s="66" t="s">
        <v>776</v>
      </c>
      <c r="B121" s="96" t="str">
        <f>$A$103&amp;" = 8"</f>
        <v>D-100 = 8</v>
      </c>
      <c r="C121" s="101" t="str">
        <f>"From how many suppliers do you source your "&amp;R12&amp;" products?"</f>
        <v>From how many suppliers do you source your  products?</v>
      </c>
      <c r="D121" s="102"/>
      <c r="E121" s="81"/>
      <c r="F121" s="65">
        <v>1</v>
      </c>
      <c r="G121" s="81"/>
      <c r="H121" s="66" t="s">
        <v>215</v>
      </c>
      <c r="I121" s="99" t="s">
        <v>769</v>
      </c>
      <c r="J121" s="81"/>
      <c r="K121" s="66" t="s">
        <v>278</v>
      </c>
      <c r="L121" s="66" t="s">
        <v>278</v>
      </c>
      <c r="M121" s="81"/>
      <c r="N121" s="81"/>
      <c r="O121" s="81"/>
      <c r="P121" s="81"/>
      <c r="Q121" s="81"/>
      <c r="R121" s="81"/>
    </row>
    <row r="122" spans="1:23" customFormat="1" ht="14.65" hidden="1" customHeight="1">
      <c r="A122" s="66" t="s">
        <v>777</v>
      </c>
      <c r="B122" s="96" t="str">
        <f>$A$103&amp;" = 9"</f>
        <v>D-100 = 9</v>
      </c>
      <c r="C122" s="101" t="str">
        <f>"From how many suppliers do you source your "&amp;R13&amp;" products?"</f>
        <v>From how many suppliers do you source your  products?</v>
      </c>
      <c r="D122" s="102"/>
      <c r="E122" s="81"/>
      <c r="F122" s="65">
        <v>1</v>
      </c>
      <c r="G122" s="81"/>
      <c r="H122" s="66" t="s">
        <v>215</v>
      </c>
      <c r="I122" s="99" t="s">
        <v>769</v>
      </c>
      <c r="J122" s="81"/>
      <c r="K122" s="66" t="s">
        <v>278</v>
      </c>
      <c r="L122" s="66" t="s">
        <v>278</v>
      </c>
      <c r="M122" s="81"/>
      <c r="N122" s="81"/>
      <c r="O122" s="81"/>
      <c r="P122" s="81"/>
      <c r="Q122" s="81"/>
      <c r="R122" s="81"/>
    </row>
    <row r="123" spans="1:23" s="22" customFormat="1" ht="15" hidden="1" customHeight="1">
      <c r="A123" s="398" t="s">
        <v>297</v>
      </c>
      <c r="B123" s="399"/>
      <c r="C123" s="399"/>
      <c r="D123" s="399"/>
      <c r="E123" s="399"/>
      <c r="F123" s="399"/>
      <c r="G123" s="399"/>
      <c r="H123" s="399"/>
      <c r="I123" s="399"/>
      <c r="J123" s="399"/>
      <c r="K123" s="399"/>
      <c r="L123" s="399"/>
      <c r="M123" s="399"/>
      <c r="N123" s="399"/>
      <c r="O123" s="400"/>
      <c r="P123" s="364"/>
      <c r="Q123" s="364"/>
      <c r="R123" s="364"/>
      <c r="S123"/>
      <c r="T123"/>
      <c r="U123"/>
      <c r="V123"/>
      <c r="W123"/>
    </row>
    <row r="124" spans="1:23" customFormat="1" ht="15" hidden="1" customHeight="1">
      <c r="A124" s="66" t="s">
        <v>778</v>
      </c>
      <c r="B124" s="96"/>
      <c r="C124" s="9" t="str">
        <f>"How would you rate overall quality of service of your main "&amp;R5&amp;" supplier?"</f>
        <v>How would you rate overall quality of service of your main  supplier?</v>
      </c>
      <c r="D124" s="103"/>
      <c r="E124" s="81"/>
      <c r="F124" s="65">
        <v>-1</v>
      </c>
      <c r="G124" s="81"/>
      <c r="H124" s="66" t="s">
        <v>215</v>
      </c>
      <c r="I124" s="99" t="s">
        <v>779</v>
      </c>
      <c r="J124" s="9"/>
      <c r="K124" s="81" t="s">
        <v>278</v>
      </c>
      <c r="L124" s="66" t="s">
        <v>278</v>
      </c>
      <c r="M124" s="81"/>
      <c r="N124" s="81"/>
      <c r="O124" s="81"/>
      <c r="P124" s="81"/>
      <c r="Q124" s="81"/>
      <c r="R124" s="81"/>
    </row>
    <row r="125" spans="1:23" customFormat="1" ht="15" hidden="1" customHeight="1">
      <c r="A125" s="66" t="s">
        <v>780</v>
      </c>
      <c r="B125" s="96"/>
      <c r="C125" s="9" t="str">
        <f t="shared" ref="C125:C129" si="10">"How would you rate overall quality of service of your main "&amp;R6&amp;" supplier?"</f>
        <v>How would you rate overall quality of service of your main  supplier?</v>
      </c>
      <c r="D125" s="103"/>
      <c r="E125" s="81"/>
      <c r="F125" s="65">
        <v>-1</v>
      </c>
      <c r="G125" s="81"/>
      <c r="H125" s="66" t="s">
        <v>215</v>
      </c>
      <c r="I125" s="99" t="s">
        <v>779</v>
      </c>
      <c r="J125" s="9"/>
      <c r="K125" s="81" t="s">
        <v>278</v>
      </c>
      <c r="L125" s="66" t="s">
        <v>278</v>
      </c>
      <c r="M125" s="81"/>
      <c r="N125" s="81"/>
      <c r="O125" s="81"/>
      <c r="P125" s="81"/>
      <c r="Q125" s="81"/>
      <c r="R125" s="81"/>
    </row>
    <row r="126" spans="1:23" customFormat="1" ht="15" hidden="1" customHeight="1">
      <c r="A126" s="66" t="s">
        <v>781</v>
      </c>
      <c r="B126" s="96"/>
      <c r="C126" s="9" t="str">
        <f t="shared" si="10"/>
        <v>How would you rate overall quality of service of your main  supplier?</v>
      </c>
      <c r="D126" s="103"/>
      <c r="E126" s="81"/>
      <c r="F126" s="65">
        <v>-1</v>
      </c>
      <c r="G126" s="81"/>
      <c r="H126" s="66" t="s">
        <v>215</v>
      </c>
      <c r="I126" s="99" t="s">
        <v>779</v>
      </c>
      <c r="J126" s="9"/>
      <c r="K126" s="81" t="s">
        <v>278</v>
      </c>
      <c r="L126" s="66" t="s">
        <v>278</v>
      </c>
      <c r="M126" s="81"/>
      <c r="N126" s="81"/>
      <c r="O126" s="81"/>
      <c r="P126" s="81"/>
      <c r="Q126" s="81"/>
      <c r="R126" s="81"/>
    </row>
    <row r="127" spans="1:23" customFormat="1" ht="15" hidden="1" customHeight="1">
      <c r="A127" s="66" t="s">
        <v>782</v>
      </c>
      <c r="B127" s="96"/>
      <c r="C127" s="9" t="str">
        <f t="shared" si="10"/>
        <v>How would you rate overall quality of service of your main  supplier?</v>
      </c>
      <c r="D127" s="103"/>
      <c r="E127" s="81"/>
      <c r="F127" s="65">
        <v>-1</v>
      </c>
      <c r="G127" s="81"/>
      <c r="H127" s="66" t="s">
        <v>215</v>
      </c>
      <c r="I127" s="99" t="s">
        <v>779</v>
      </c>
      <c r="J127" s="9"/>
      <c r="K127" s="81" t="s">
        <v>278</v>
      </c>
      <c r="L127" s="66" t="s">
        <v>278</v>
      </c>
      <c r="M127" s="81"/>
      <c r="N127" s="81"/>
      <c r="O127" s="81"/>
      <c r="P127" s="81"/>
      <c r="Q127" s="81"/>
      <c r="R127" s="81"/>
    </row>
    <row r="128" spans="1:23" customFormat="1" ht="15" hidden="1" customHeight="1">
      <c r="A128" s="66" t="s">
        <v>783</v>
      </c>
      <c r="B128" s="96"/>
      <c r="C128" s="9" t="str">
        <f t="shared" si="10"/>
        <v>How would you rate overall quality of service of your main  supplier?</v>
      </c>
      <c r="D128" s="103"/>
      <c r="E128" s="81"/>
      <c r="F128" s="65">
        <v>-1</v>
      </c>
      <c r="G128" s="81"/>
      <c r="H128" s="66" t="s">
        <v>215</v>
      </c>
      <c r="I128" s="99" t="s">
        <v>779</v>
      </c>
      <c r="J128" s="9"/>
      <c r="K128" s="81" t="s">
        <v>278</v>
      </c>
      <c r="L128" s="66" t="s">
        <v>278</v>
      </c>
      <c r="M128" s="81"/>
      <c r="N128" s="81"/>
      <c r="O128" s="81"/>
      <c r="P128" s="81"/>
      <c r="Q128" s="81"/>
      <c r="R128" s="81"/>
    </row>
    <row r="129" spans="1:18" customFormat="1" ht="15" hidden="1" customHeight="1">
      <c r="A129" s="66" t="s">
        <v>784</v>
      </c>
      <c r="B129" s="66"/>
      <c r="C129" s="9" t="str">
        <f t="shared" si="10"/>
        <v>How would you rate overall quality of service of your main  supplier?</v>
      </c>
      <c r="D129" s="103"/>
      <c r="E129" s="81"/>
      <c r="F129" s="65">
        <v>-1</v>
      </c>
      <c r="G129" s="81"/>
      <c r="H129" s="66" t="s">
        <v>215</v>
      </c>
      <c r="I129" s="99" t="s">
        <v>779</v>
      </c>
      <c r="J129" s="9"/>
      <c r="K129" s="81" t="s">
        <v>278</v>
      </c>
      <c r="L129" s="66" t="s">
        <v>278</v>
      </c>
      <c r="M129" s="81"/>
      <c r="N129" s="81"/>
      <c r="O129" s="81"/>
      <c r="P129" s="81"/>
      <c r="Q129" s="81"/>
      <c r="R129" s="81"/>
    </row>
    <row r="130" spans="1:18" customFormat="1" ht="14.45" hidden="1" customHeight="1">
      <c r="A130" s="66" t="s">
        <v>785</v>
      </c>
      <c r="B130" s="66"/>
      <c r="C130" s="9" t="str">
        <f>"How would you rate overall quality of service of your main "&amp;R11&amp;" supplier?"</f>
        <v>How would you rate overall quality of service of your main  supplier?</v>
      </c>
      <c r="D130" s="9"/>
      <c r="E130" s="9"/>
      <c r="F130" s="65">
        <v>1</v>
      </c>
      <c r="G130" s="9"/>
      <c r="H130" s="66" t="s">
        <v>215</v>
      </c>
      <c r="I130" s="99" t="s">
        <v>779</v>
      </c>
      <c r="J130" s="9"/>
      <c r="K130" s="81" t="s">
        <v>278</v>
      </c>
      <c r="L130" s="66" t="s">
        <v>278</v>
      </c>
      <c r="M130" s="9"/>
      <c r="N130" s="9"/>
      <c r="O130" s="9"/>
      <c r="P130" s="9"/>
      <c r="Q130" s="9"/>
      <c r="R130" s="9"/>
    </row>
    <row r="131" spans="1:18" customFormat="1" ht="14.45" hidden="1" customHeight="1">
      <c r="A131" s="66" t="s">
        <v>786</v>
      </c>
      <c r="B131" s="66"/>
      <c r="C131" s="9" t="str">
        <f>"How would you rate overall quality of service of your main "&amp;R12&amp;" supplier?"</f>
        <v>How would you rate overall quality of service of your main  supplier?</v>
      </c>
      <c r="D131" s="9"/>
      <c r="E131" s="9"/>
      <c r="F131" s="65">
        <v>1</v>
      </c>
      <c r="G131" s="9"/>
      <c r="H131" s="66" t="s">
        <v>215</v>
      </c>
      <c r="I131" s="99" t="s">
        <v>779</v>
      </c>
      <c r="J131" s="9"/>
      <c r="K131" s="81" t="s">
        <v>278</v>
      </c>
      <c r="L131" s="66" t="s">
        <v>278</v>
      </c>
      <c r="M131" s="9"/>
      <c r="N131" s="9"/>
      <c r="O131" s="9"/>
      <c r="P131" s="9"/>
      <c r="Q131" s="9"/>
      <c r="R131" s="9"/>
    </row>
    <row r="132" spans="1:18" customFormat="1" ht="14.45" hidden="1" customHeight="1">
      <c r="A132" s="66" t="s">
        <v>787</v>
      </c>
      <c r="B132" s="66"/>
      <c r="C132" s="9" t="str">
        <f>"How would you rate overall quality of service of your main "&amp;R13&amp;" supplier?"</f>
        <v>How would you rate overall quality of service of your main  supplier?</v>
      </c>
      <c r="D132" s="9"/>
      <c r="E132" s="9"/>
      <c r="F132" s="65">
        <v>1</v>
      </c>
      <c r="G132" s="9"/>
      <c r="H132" s="66" t="s">
        <v>215</v>
      </c>
      <c r="I132" s="99" t="s">
        <v>779</v>
      </c>
      <c r="J132" s="9"/>
      <c r="K132" s="81" t="s">
        <v>278</v>
      </c>
      <c r="L132" s="66" t="s">
        <v>278</v>
      </c>
      <c r="M132" s="9"/>
      <c r="N132" s="9"/>
      <c r="O132" s="9"/>
      <c r="P132" s="9"/>
      <c r="Q132" s="9"/>
      <c r="R132" s="9"/>
    </row>
    <row r="133" spans="1:18" customFormat="1" hidden="1">
      <c r="A133" s="91"/>
      <c r="B133" s="91"/>
      <c r="C133" s="91"/>
      <c r="D133" s="91"/>
      <c r="E133" s="91"/>
      <c r="F133" s="91"/>
      <c r="G133" s="91"/>
      <c r="H133" s="91"/>
      <c r="I133" s="91"/>
      <c r="J133" s="91"/>
      <c r="K133" s="91"/>
      <c r="L133" s="91"/>
    </row>
    <row r="134" spans="1:18" customFormat="1" hidden="1" collapsed="1">
      <c r="A134" s="91"/>
      <c r="B134" s="91"/>
      <c r="C134" s="91"/>
      <c r="D134" s="91"/>
      <c r="E134" s="91"/>
      <c r="F134" s="91"/>
      <c r="G134" s="91"/>
      <c r="H134" s="91"/>
      <c r="I134" s="91"/>
      <c r="J134" s="91"/>
      <c r="K134" s="91"/>
      <c r="L134" s="91"/>
    </row>
    <row r="135" spans="1:18" customFormat="1" hidden="1">
      <c r="A135" s="91"/>
      <c r="B135" s="91"/>
      <c r="C135" s="91"/>
      <c r="D135" s="91"/>
      <c r="E135" s="91"/>
      <c r="F135" s="91"/>
      <c r="G135" s="91"/>
      <c r="H135" s="91"/>
      <c r="I135" s="91"/>
      <c r="J135" s="91"/>
      <c r="K135" s="91"/>
      <c r="L135" s="91"/>
    </row>
    <row r="136" spans="1:18" customFormat="1" hidden="1">
      <c r="A136" s="91"/>
      <c r="B136" s="91"/>
      <c r="C136" s="91"/>
      <c r="D136" s="91"/>
      <c r="E136" s="91"/>
      <c r="F136" s="91"/>
      <c r="G136" s="91"/>
      <c r="H136" s="91"/>
      <c r="I136" s="91"/>
      <c r="J136" s="91"/>
      <c r="K136" s="91"/>
      <c r="L136" s="91"/>
    </row>
  </sheetData>
  <protectedRanges>
    <protectedRange algorithmName="SHA-512" hashValue="wC8tzfOYZ3RTXjNh+/iZZBhdrSlfjL1XEdH17J/xxx99mzQLmsQjAx3SgBuaQGfEAWw+t/cO4YQl0yjNa5C4qw==" saltValue="CxyhgMMN5DNP3cWQB2vcAg==" spinCount="100000" sqref="H8:I9 H11:I11 H10 H6:H7 H13:I13 H12 H21 K15:N24 H17:H18 H23:H24 H32 K26:N35 H28:H29 H34:H35 H43 H39:H40 H45:H46 H54 K48:N57 H50:H51 H56:H57 J125:J129 J115:J122 K114:L122 H65 K59:N68 H61:H62 H67:H68 D59:D68 K103:L112 H104:H112 F81:F90 K81:N90 D81:D90 F70:F79 K70:N79 D70:D79 F92:F101 K92:N101 D92:D101 K124:L132 K37:N46 H70:H79 H81:H90 H92:H101 H114:H122 H124:H132 H19:I20 H22:I22 I24:J24 H30:I31 H33:I33 I35:J35 H41:I42 H44:I44 I46:J46 H52:I53 H55:I55 I57:J57 H59:I60 H63:I64 H66:I66 I68:J68 I70:I71 I74:I75 I77 I79:J79 I81:I82 I85:I86 I88 I90:J90 I92:I93 I96:I97 I99 I101:J101 F15:F24 F26:F35 F37:F46 F48:F57 F59:F68 H15:I16 H26:I27 H37:I38 H48:I49 D37:D46 D15:D24 D26:D35 D48:D57 K3:M13 H3:I5 F3:F13 D3:D13" name="Questions"/>
    <protectedRange algorithmName="SHA-512" hashValue="hUkirajtNVADTD+199uQkL5ARN5v21Zi4+VkFPs4yU6WGmEFYNyjk6+RvFn0yp6CEynDcAe1X1rmZtuuMg+XiQ==" saltValue="oWQRzHv9sgvytn2Ahvb1nA==" spinCount="100000" sqref="I7 I18 I29 I40 I51 I62 I73 I84 I95" name="Marketing_1_1"/>
    <protectedRange algorithmName="SHA-512" hashValue="hUkirajtNVADTD+199uQkL5ARN5v21Zi4+VkFPs4yU6WGmEFYNyjk6+RvFn0yp6CEynDcAe1X1rmZtuuMg+XiQ==" saltValue="oWQRzHv9sgvytn2Ahvb1nA==" spinCount="100000" sqref="I10 I21 I32 I43 I54 I65 I76 I87 I98" name="Marketing_1_2"/>
    <protectedRange algorithmName="SHA-512" hashValue="hUkirajtNVADTD+199uQkL5ARN5v21Zi4+VkFPs4yU6WGmEFYNyjk6+RvFn0yp6CEynDcAe1X1rmZtuuMg+XiQ==" saltValue="oWQRzHv9sgvytn2Ahvb1nA==" spinCount="100000" sqref="I6 I17 I28 I39 I50 I61 I72 I83 I94" name="Marketing_1_3"/>
    <protectedRange algorithmName="SHA-512" hashValue="hUkirajtNVADTD+199uQkL5ARN5v21Zi4+VkFPs4yU6WGmEFYNyjk6+RvFn0yp6CEynDcAe1X1rmZtuuMg+XiQ==" saltValue="oWQRzHv9sgvytn2Ahvb1nA==" spinCount="100000" sqref="I12 I23 I34 I45 I56 I67 I78 I89 I100" name="Marketing_1_4"/>
    <protectedRange algorithmName="SHA-512" hashValue="ZguYlAdyb71IMfth0JhjlmtxX14hVx5omQi5ApBlH1eRzvDoMKrcH/U5ix8udScoKrPOyilweqooMB5Tej6y8g==" saltValue="7zSaR8crDg3BlTT9T4K2tg==" spinCount="100000" sqref="D14:N14 D25:N25 D36:N36 D47:N47 D102:N102 D58:N58 D80:N80 D69:N69 D91:N91" name="Interview_3_1_1"/>
    <protectedRange algorithmName="SHA-512" hashValue="wC8tzfOYZ3RTXjNh+/iZZBhdrSlfjL1XEdH17J/xxx99mzQLmsQjAx3SgBuaQGfEAWw+t/cO4YQl0yjNa5C4qw==" saltValue="CxyhgMMN5DNP3cWQB2vcAg==" spinCount="100000" sqref="E113:L113 H103:I103 M103:M112 I114:J114 D123:L123 D125:D129 F103:F112 C124:C132 I115:I122 F114:F122 F124:F132 D103:D122 I104:I112" name="Questions_1"/>
  </protectedRanges>
  <mergeCells count="15">
    <mergeCell ref="A47:O47"/>
    <mergeCell ref="A36:O36"/>
    <mergeCell ref="A14:O14"/>
    <mergeCell ref="A25:O25"/>
    <mergeCell ref="A1:F1"/>
    <mergeCell ref="G1:I1"/>
    <mergeCell ref="J1:L1"/>
    <mergeCell ref="M1:O1"/>
    <mergeCell ref="A102:O102"/>
    <mergeCell ref="A113:O113"/>
    <mergeCell ref="A123:O123"/>
    <mergeCell ref="A58:O58"/>
    <mergeCell ref="A80:O80"/>
    <mergeCell ref="A69:O69"/>
    <mergeCell ref="A91:O91"/>
  </mergeCells>
  <phoneticPr fontId="19" type="noConversion"/>
  <conditionalFormatting sqref="B3:B132">
    <cfRule type="cellIs" dxfId="49" priority="1" operator="equal">
      <formula>"NO"</formula>
    </cfRule>
    <cfRule type="cellIs" dxfId="48" priority="2" operator="equal">
      <formula>"YES"</formula>
    </cfRule>
  </conditionalFormatting>
  <conditionalFormatting sqref="F3:F132">
    <cfRule type="cellIs" dxfId="47" priority="9" operator="equal">
      <formula>-1</formula>
    </cfRule>
    <cfRule type="cellIs" dxfId="46" priority="10" operator="equal">
      <formula>0</formula>
    </cfRule>
    <cfRule type="cellIs" dxfId="45" priority="11" operator="equal">
      <formula>1</formula>
    </cfRule>
  </conditionalFormatting>
  <hyperlinks>
    <hyperlink ref="I125:I132" location="'I&amp;M Lists'!A408" display="Satisfaction Rating" xr:uid="{2E155CC3-F908-46EC-B5A5-937AD540A4A1}"/>
    <hyperlink ref="I115:I122" location="'I&amp;M Lists'!A400" display="Suppliers Sourcing" xr:uid="{A133779B-C58D-49C3-9DF9-3DCFDE04450D}"/>
    <hyperlink ref="I97" location="'I&amp;M Lists'!A308" display="Payment Condition" xr:uid="{0D9F0342-8163-4DCC-93B5-2F200CCD979E}"/>
    <hyperlink ref="I98" location="'I&amp;M Lists'!A278" display="Type of Credit" xr:uid="{B05A1C44-78C8-44A6-92FE-2A5269E7AB6E}"/>
    <hyperlink ref="I101" location="'I&amp;M Lists'!A313" display="Wholesalers/Distributors" xr:uid="{5C65A02D-3938-453E-918D-65A829B3B92C}"/>
    <hyperlink ref="I93" location="'I&amp;M Lists'!A283" display="Order Methods" xr:uid="{FA66AD20-09AE-4C62-97FF-D57EFB4EB6F9}"/>
    <hyperlink ref="I92" location="'I&amp;M Lists'!A297" display="Beer Sources" xr:uid="{FD88652D-A2A1-4299-A52F-C545D6E97A3F}"/>
    <hyperlink ref="I86" location="'I&amp;M Lists'!A308" display="Payment Condition" xr:uid="{EC2CE33D-2FC8-4743-977C-27C2E16BFDB7}"/>
    <hyperlink ref="I87" location="'I&amp;M Lists'!A278" display="Type of Credit" xr:uid="{3C10D7A4-5A0C-4CF7-A203-47C1D734D956}"/>
    <hyperlink ref="I90" location="'I&amp;M Lists'!A313" display="Wholesalers/Distributors" xr:uid="{1EEAB0F8-2720-48C5-8458-5C8BBC5D8521}"/>
    <hyperlink ref="I82" location="'I&amp;M Lists'!A283" display="Order Methods" xr:uid="{43ECDFF5-FE30-4DCD-8B32-C712AFF09DFB}"/>
    <hyperlink ref="I81" location="'I&amp;M Lists'!A297" display="Beer Sources" xr:uid="{01D147FB-6E9A-4648-866E-DD09F64C05A1}"/>
    <hyperlink ref="I75" location="'I&amp;M Lists'!A308" display="Payment Condition" xr:uid="{4B89248B-CF3A-42A0-802C-16AE3D97566C}"/>
    <hyperlink ref="I76" location="'I&amp;M Lists'!A278" display="Type of Credit" xr:uid="{3885B1AA-F971-4103-9D68-1BE60BB52FEF}"/>
    <hyperlink ref="I79" location="'I&amp;M Lists'!A313" display="Wholesalers/Distributors" xr:uid="{94AA7C01-80E3-4FE7-84CB-84B520080695}"/>
    <hyperlink ref="I71" location="'I&amp;M Lists'!A283" display="Order Methods" xr:uid="{7F178BEF-61FB-4B4F-95FF-104922ACE1F5}"/>
    <hyperlink ref="I70" location="'I&amp;M Lists'!A297" display="Beer Sources" xr:uid="{7B028A2A-77F9-47E4-9D0F-19FBE2A2207C}"/>
    <hyperlink ref="I64" location="'I&amp;M Lists'!A308" display="Payment Condition" xr:uid="{F6E51B6A-4944-49D4-A4CA-735100918ED0}"/>
    <hyperlink ref="I65" location="'I&amp;M Lists'!A278" display="Type of Credit" xr:uid="{FA4EB7D2-32A5-4801-A644-A5A83B85C151}"/>
    <hyperlink ref="I68" location="'I&amp;M Lists'!A313" display="Wholesalers/Distributors" xr:uid="{2ADC8CB3-5A46-43E1-958F-6658A67C1FDE}"/>
    <hyperlink ref="I60" location="'I&amp;M Lists'!A283" display="Order Methods" xr:uid="{FE95DAF7-C443-412E-BFCE-AC99FCD69C95}"/>
    <hyperlink ref="I59" location="'I&amp;M Lists'!A297" display="Beer Sources" xr:uid="{E91B1BB4-885B-4E9B-A095-94DBC3DC514C}"/>
    <hyperlink ref="I53" location="'I&amp;M Lists'!A308" display="Payment Condition" xr:uid="{199514B4-C22B-4E66-8778-53B77F80FA62}"/>
    <hyperlink ref="I54" location="'I&amp;M Lists'!A278" display="Type of Credit" xr:uid="{222012A2-4A66-4933-B976-8E20985BEEF7}"/>
    <hyperlink ref="I57" location="'I&amp;M Lists'!A70" display="Wholesalers/Distributors" xr:uid="{B6BEC410-B52D-4A97-ACED-135045BB2E4F}"/>
    <hyperlink ref="I49" location="'I&amp;M Lists'!A64" display="Orders Methods" xr:uid="{88F4C949-E01A-4F91-8E5A-2F474CA8BED1}"/>
    <hyperlink ref="I42" location="'I&amp;M Lists'!A308" display="Payment Condition" xr:uid="{D3B92868-208B-4D76-B311-DF5993E8FEEA}"/>
    <hyperlink ref="I43" location="'I&amp;M Lists'!A278" display="Type of Credit" xr:uid="{E8B8C27D-FFE4-4FB2-8FD7-59380FD6C243}"/>
    <hyperlink ref="I46" location="'I&amp;M Lists'!A70" display="Wholesalers/Distributors" xr:uid="{9B2C09D5-4352-46F0-A10C-FB33F2B1F12F}"/>
    <hyperlink ref="I38" location="'I&amp;M Lists'!A64" display="Orders Methods" xr:uid="{FCD5FE81-E5D5-435A-89DB-3726F309AA4C}"/>
    <hyperlink ref="I31" location="'I&amp;M Lists'!A308" display="Payment Condition" xr:uid="{09EFE6DF-6371-4690-942A-E2A9B40C0A9A}"/>
    <hyperlink ref="I32" location="'I&amp;M Lists'!A278" display="Type of Credit" xr:uid="{D8732482-3845-4704-BDFB-73E167B76E02}"/>
    <hyperlink ref="I35" location="'I&amp;M Lists'!A70" display="Wholesalers/Distributors" xr:uid="{1AEF4ACB-A68A-49A1-8044-B916784E5DE5}"/>
    <hyperlink ref="I27" location="'I&amp;M Lists'!A64" display="Orders Methods" xr:uid="{F159A0C2-4D1A-41CA-ACB9-B0CF40A3D3FF}"/>
    <hyperlink ref="I20" location="'I&amp;M Lists'!A308" display="Payment Condition" xr:uid="{76B7B1D5-9AB9-4DF8-BE5F-782FE66E4C09}"/>
    <hyperlink ref="I21" location="'I&amp;M Lists'!A278" display="Type of Credit" xr:uid="{E371445D-5436-4E28-98C8-BF21283DA48F}"/>
    <hyperlink ref="I24" location="'I&amp;M Lists'!A70" display="Wholesalers/Distributors" xr:uid="{00F51EE1-433F-4E68-AB76-AAEDF758349A}"/>
    <hyperlink ref="I16" location="'I&amp;M Lists'!A64" display="Orders Methods" xr:uid="{6A0E05D7-1EF8-4D7F-BBF4-A71C372FD7E5}"/>
    <hyperlink ref="I124" location="'I&amp;M Lists'!A408" display="Satisfaction Rating" xr:uid="{613369C5-7DA2-4F82-A03B-31FBBC98FEF7}"/>
    <hyperlink ref="I114" location="'I&amp;M Lists'!A400" display="Suppliers Sourcing" xr:uid="{D57F04CA-656E-4752-8B49-FA677B029DCA}"/>
    <hyperlink ref="I104" location="'I&amp;M Lists'!A95" display="Visit Frequency" xr:uid="{D7C60540-4284-46E6-95DD-CBE827FA7277}"/>
    <hyperlink ref="I103" location="'I&amp;M Lists'!A82" display="Chage by company" xr:uid="{5B6DB435-0967-45CB-8C8B-4368104F3784}"/>
    <hyperlink ref="I9" location="'I&amp;M Lists'!A308" display="Payment Condition" xr:uid="{548F1CE0-BC4B-44CA-B320-3DC693E42BA0}"/>
    <hyperlink ref="I10" location="'I&amp;M Lists'!A278" display="Type of Credit" xr:uid="{EEE6B829-5DD8-44FC-B0D4-B8A83A207159}"/>
    <hyperlink ref="I5" location="'I&amp;M Lists'!A70" display="Orders Methods" xr:uid="{4070E3B1-7555-4EFD-9A53-AA8D01A4102C}"/>
    <hyperlink ref="I4" location="'I&amp;M Lists'!A60" display="cigarettes Sources" xr:uid="{EAF55373-CF52-45CD-9137-C96C3184D241}"/>
    <hyperlink ref="I15" location="'I&amp;M Lists'!A54" display="cigarettes Sources" xr:uid="{59948534-9DE0-4B63-AC04-1D110A9317E0}"/>
    <hyperlink ref="I26" location="'I&amp;M Lists'!A54" display="cigarettes Sources" xr:uid="{544C32EE-72CF-4255-8232-BDB10C07547A}"/>
    <hyperlink ref="I37" location="'I&amp;M Lists'!A54" display="cigarettes Sources" xr:uid="{B8DAA2C9-CDC4-47AE-9E49-54D9578EA7C0}"/>
    <hyperlink ref="I48" location="'I&amp;M Lists'!A54" display="cigarettes Sources" xr:uid="{5FFD2F2E-5485-42CC-A840-1AF7A288501B}"/>
    <hyperlink ref="I105" location="'I&amp;M Lists'!A95" display="Visit Frequency" xr:uid="{97157C1A-64A6-4D57-B26E-82862448EA11}"/>
    <hyperlink ref="I106" location="'I&amp;M Lists'!A95" display="Visit Frequency" xr:uid="{F88D7955-BBC7-4907-A5E1-4B57BBB31C41}"/>
    <hyperlink ref="I107" location="'I&amp;M Lists'!A95" display="Visit Frequency" xr:uid="{1DCEF456-2BC0-433E-BF8F-D24F4233D4D2}"/>
    <hyperlink ref="I108" location="'I&amp;M Lists'!A95" display="Visit Frequency" xr:uid="{6DF7B7BF-51E2-4C75-A700-F3696A6C67DC}"/>
    <hyperlink ref="I109" location="'I&amp;M Lists'!A95" display="Visit Frequency" xr:uid="{4958482C-A894-4740-9986-13C700B0DF04}"/>
  </hyperlink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6CA7E0E3-BC9A-4034-99C3-8DFE8414FFE3}">
          <x14:formula1>
            <xm:f>Constants!$A$2:$A$7</xm:f>
          </x14:formula1>
          <xm:sqref>H3:H13 H26:H35 H15:H24 H37:H46</xm:sqref>
        </x14:dataValidation>
        <x14:dataValidation type="list" allowBlank="1" showInputMessage="1" showErrorMessage="1" xr:uid="{A7377BEC-DF4F-4E1F-9073-FC91220C9CEF}">
          <x14:formula1>
            <xm:f>Constants!$A$2:$A$15</xm:f>
          </x14:formula1>
          <xm:sqref>H48:H57 H59:H68 H70:H79 H81:H90 H92:H101 H103:H112 H114:H122 H124:H132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44CF2-F051-4972-B500-7E9B6A4AF5BE}">
  <sheetPr codeName="Sheet19">
    <tabColor rgb="FFFFFF00"/>
  </sheetPr>
  <dimension ref="A1:Q122"/>
  <sheetViews>
    <sheetView zoomScaleNormal="100" workbookViewId="0">
      <pane xSplit="3" ySplit="2" topLeftCell="D3" activePane="bottomRight" state="frozen"/>
      <selection pane="bottomRight" activeCell="C4" sqref="C4"/>
      <selection pane="bottomLeft" activeCell="A3" sqref="A3"/>
      <selection pane="topRight" activeCell="D1" sqref="D1"/>
    </sheetView>
  </sheetViews>
  <sheetFormatPr defaultColWidth="0" defaultRowHeight="14.45" zeroHeight="1"/>
  <cols>
    <col min="1" max="1" width="7.28515625" style="91" bestFit="1" customWidth="1"/>
    <col min="2" max="2" width="14.5703125" style="91" bestFit="1" customWidth="1"/>
    <col min="3" max="3" width="79.5703125" style="91" bestFit="1" customWidth="1"/>
    <col min="4" max="4" width="34.7109375" style="91" customWidth="1"/>
    <col min="5" max="5" width="17.7109375" style="91" bestFit="1" customWidth="1"/>
    <col min="6" max="6" width="19.7109375" style="91" customWidth="1"/>
    <col min="7" max="7" width="21.7109375" style="91" customWidth="1"/>
    <col min="8" max="8" width="16.42578125" style="91" bestFit="1" customWidth="1"/>
    <col min="9" max="9" width="22" style="91" bestFit="1" customWidth="1"/>
    <col min="10" max="10" width="8.7109375" style="91" bestFit="1" customWidth="1"/>
    <col min="11" max="11" width="8.28515625" style="91" bestFit="1" customWidth="1"/>
    <col min="12" max="12" width="12.7109375" style="91" customWidth="1"/>
    <col min="13" max="13" width="5" style="91" bestFit="1" customWidth="1"/>
    <col min="14" max="14" width="5.7109375" style="91" bestFit="1" customWidth="1"/>
    <col min="15" max="15" width="11" style="91" bestFit="1" customWidth="1"/>
    <col min="16" max="16" width="9.28515625" style="91" customWidth="1"/>
    <col min="17" max="17" width="7.28515625" style="91" hidden="1" customWidth="1"/>
    <col min="18" max="16384" width="9.28515625" style="91" hidden="1"/>
  </cols>
  <sheetData>
    <row r="1" spans="1:17">
      <c r="A1" s="396" t="s">
        <v>202</v>
      </c>
      <c r="B1" s="396"/>
      <c r="C1" s="396"/>
      <c r="D1" s="396"/>
      <c r="E1" s="396"/>
      <c r="F1" s="396"/>
      <c r="G1" s="396" t="s">
        <v>203</v>
      </c>
      <c r="H1" s="396"/>
      <c r="I1" s="396"/>
      <c r="J1" s="396" t="s">
        <v>204</v>
      </c>
      <c r="K1" s="396"/>
      <c r="L1" s="396"/>
      <c r="M1" s="396" t="s">
        <v>205</v>
      </c>
      <c r="N1" s="396"/>
      <c r="O1" s="396"/>
      <c r="Q1" s="84"/>
    </row>
    <row r="2" spans="1:17" ht="43.15">
      <c r="A2" s="86" t="s">
        <v>20</v>
      </c>
      <c r="B2" s="86" t="s">
        <v>21</v>
      </c>
      <c r="C2" s="86" t="s">
        <v>22</v>
      </c>
      <c r="D2" s="79" t="s">
        <v>349</v>
      </c>
      <c r="E2" s="86" t="s">
        <v>207</v>
      </c>
      <c r="F2" s="86" t="s">
        <v>208</v>
      </c>
      <c r="G2" s="86" t="s">
        <v>23</v>
      </c>
      <c r="H2" s="86" t="s">
        <v>24</v>
      </c>
      <c r="I2" s="86" t="s">
        <v>25</v>
      </c>
      <c r="J2" s="86" t="s">
        <v>209</v>
      </c>
      <c r="K2" s="86" t="s">
        <v>210</v>
      </c>
      <c r="L2" s="86" t="s">
        <v>211</v>
      </c>
      <c r="M2" s="86" t="s">
        <v>212</v>
      </c>
      <c r="N2" s="86" t="s">
        <v>28</v>
      </c>
      <c r="O2" s="86" t="s">
        <v>29</v>
      </c>
      <c r="Q2" s="84"/>
    </row>
    <row r="3" spans="1:17" ht="40.5" customHeight="1">
      <c r="A3" s="237" t="s">
        <v>30</v>
      </c>
      <c r="B3" s="237"/>
      <c r="C3" s="273"/>
      <c r="D3" s="273"/>
      <c r="E3" s="2"/>
      <c r="F3" s="238"/>
      <c r="G3" s="2"/>
      <c r="H3" s="108"/>
      <c r="I3" s="100"/>
      <c r="J3" s="2"/>
      <c r="K3" s="3"/>
      <c r="L3" s="3"/>
      <c r="M3" s="2"/>
      <c r="N3" s="2"/>
      <c r="O3" s="2"/>
      <c r="P3" s="84"/>
      <c r="Q3" s="84"/>
    </row>
    <row r="4" spans="1:17" s="84" customFormat="1" ht="74.25" customHeight="1">
      <c r="A4" s="237" t="s">
        <v>190</v>
      </c>
      <c r="B4" s="237" t="s">
        <v>788</v>
      </c>
      <c r="C4" s="273" t="s">
        <v>789</v>
      </c>
      <c r="D4" s="273" t="s">
        <v>790</v>
      </c>
      <c r="E4" s="2"/>
      <c r="F4" s="238">
        <v>1</v>
      </c>
      <c r="G4" s="2"/>
      <c r="H4" s="108" t="s">
        <v>277</v>
      </c>
      <c r="I4" s="100" t="s">
        <v>791</v>
      </c>
      <c r="J4" s="2"/>
      <c r="K4" s="3" t="s">
        <v>59</v>
      </c>
      <c r="L4" s="3" t="s">
        <v>218</v>
      </c>
      <c r="M4" s="2"/>
      <c r="N4" s="2"/>
      <c r="O4" s="2"/>
    </row>
    <row r="5" spans="1:17" s="84" customFormat="1" ht="43.15">
      <c r="A5" s="7" t="s">
        <v>191</v>
      </c>
      <c r="B5" s="237"/>
      <c r="C5" s="7" t="s">
        <v>792</v>
      </c>
      <c r="D5" s="7" t="s">
        <v>793</v>
      </c>
      <c r="E5" s="2"/>
      <c r="F5" s="238">
        <v>1</v>
      </c>
      <c r="G5" s="2"/>
      <c r="H5" s="7" t="s">
        <v>277</v>
      </c>
      <c r="I5" s="2"/>
      <c r="J5" s="2" t="s">
        <v>218</v>
      </c>
      <c r="K5" s="109" t="s">
        <v>278</v>
      </c>
      <c r="L5" s="109" t="s">
        <v>278</v>
      </c>
      <c r="M5" s="2"/>
      <c r="N5" s="2"/>
      <c r="O5" s="2"/>
    </row>
    <row r="6" spans="1:17" s="84" customFormat="1">
      <c r="A6" s="7" t="s">
        <v>192</v>
      </c>
      <c r="B6" s="237"/>
      <c r="C6" s="7" t="s">
        <v>794</v>
      </c>
      <c r="D6" s="278" t="s">
        <v>795</v>
      </c>
      <c r="E6" s="2"/>
      <c r="F6" s="238">
        <v>1</v>
      </c>
      <c r="G6" s="2"/>
      <c r="H6" s="7" t="s">
        <v>796</v>
      </c>
      <c r="I6" s="2"/>
      <c r="J6" s="2" t="s">
        <v>218</v>
      </c>
      <c r="K6" s="109" t="s">
        <v>278</v>
      </c>
      <c r="L6" s="109" t="s">
        <v>278</v>
      </c>
      <c r="M6" s="2"/>
      <c r="N6" s="2"/>
      <c r="O6" s="2"/>
    </row>
    <row r="7" spans="1:17" s="84" customFormat="1">
      <c r="A7" s="7" t="s">
        <v>193</v>
      </c>
      <c r="B7" s="237"/>
      <c r="C7" s="7" t="s">
        <v>797</v>
      </c>
      <c r="D7" s="276" t="s">
        <v>798</v>
      </c>
      <c r="E7" s="2"/>
      <c r="F7" s="238">
        <v>1</v>
      </c>
      <c r="G7" s="2"/>
      <c r="H7" s="7" t="s">
        <v>796</v>
      </c>
      <c r="I7" s="2"/>
      <c r="J7" s="2" t="s">
        <v>218</v>
      </c>
      <c r="K7" s="109" t="s">
        <v>278</v>
      </c>
      <c r="L7" s="109" t="s">
        <v>278</v>
      </c>
      <c r="M7" s="2"/>
      <c r="N7" s="2"/>
      <c r="O7" s="2"/>
    </row>
    <row r="8" spans="1:17" s="84" customFormat="1" hidden="1">
      <c r="A8" s="7" t="s">
        <v>799</v>
      </c>
      <c r="B8" s="237"/>
      <c r="C8" s="7" t="s">
        <v>800</v>
      </c>
      <c r="D8" s="2"/>
      <c r="E8" s="2"/>
      <c r="F8" s="238">
        <v>1</v>
      </c>
      <c r="G8" s="2"/>
      <c r="H8" s="7" t="s">
        <v>796</v>
      </c>
      <c r="I8" s="2"/>
      <c r="J8" s="2"/>
      <c r="K8" s="109" t="s">
        <v>278</v>
      </c>
      <c r="L8" s="109" t="s">
        <v>278</v>
      </c>
      <c r="M8" s="2"/>
      <c r="N8" s="2"/>
      <c r="O8" s="2"/>
    </row>
    <row r="9" spans="1:17" s="84" customFormat="1" hidden="1">
      <c r="A9" s="7" t="s">
        <v>801</v>
      </c>
      <c r="B9" s="237"/>
      <c r="C9" s="7" t="s">
        <v>802</v>
      </c>
      <c r="D9" s="2"/>
      <c r="E9" s="2"/>
      <c r="F9" s="238">
        <v>1</v>
      </c>
      <c r="G9" s="2"/>
      <c r="H9" s="7" t="s">
        <v>796</v>
      </c>
      <c r="I9" s="2"/>
      <c r="J9" s="2"/>
      <c r="K9" s="109" t="s">
        <v>278</v>
      </c>
      <c r="L9" s="109" t="s">
        <v>278</v>
      </c>
      <c r="M9" s="2"/>
      <c r="N9" s="2"/>
      <c r="O9" s="2"/>
    </row>
    <row r="10" spans="1:17" s="84" customFormat="1" hidden="1">
      <c r="A10" s="7" t="s">
        <v>803</v>
      </c>
      <c r="B10" s="237"/>
      <c r="C10" s="7" t="s">
        <v>804</v>
      </c>
      <c r="D10" s="2"/>
      <c r="E10" s="2"/>
      <c r="F10" s="238">
        <v>1</v>
      </c>
      <c r="G10" s="2"/>
      <c r="H10" s="7" t="s">
        <v>796</v>
      </c>
      <c r="I10" s="2"/>
      <c r="J10" s="2"/>
      <c r="K10" s="109" t="s">
        <v>278</v>
      </c>
      <c r="L10" s="109" t="s">
        <v>278</v>
      </c>
      <c r="M10" s="2"/>
      <c r="N10" s="2"/>
      <c r="O10" s="2"/>
    </row>
    <row r="11" spans="1:17" s="84" customFormat="1" hidden="1">
      <c r="A11" s="7" t="s">
        <v>805</v>
      </c>
      <c r="B11" s="237"/>
      <c r="C11" s="7" t="s">
        <v>806</v>
      </c>
      <c r="D11" s="2"/>
      <c r="E11" s="2"/>
      <c r="F11" s="238">
        <v>1</v>
      </c>
      <c r="G11" s="2"/>
      <c r="H11" s="7" t="s">
        <v>796</v>
      </c>
      <c r="I11" s="2"/>
      <c r="J11" s="2"/>
      <c r="K11" s="109" t="s">
        <v>278</v>
      </c>
      <c r="L11" s="109" t="s">
        <v>278</v>
      </c>
      <c r="M11" s="2"/>
      <c r="N11" s="2"/>
      <c r="O11" s="2"/>
    </row>
    <row r="12" spans="1:17" s="84" customFormat="1" hidden="1">
      <c r="A12" s="7" t="s">
        <v>807</v>
      </c>
      <c r="B12" s="2"/>
      <c r="C12" s="7" t="s">
        <v>808</v>
      </c>
      <c r="D12" s="2"/>
      <c r="E12" s="2"/>
      <c r="F12" s="238">
        <v>1</v>
      </c>
      <c r="G12" s="2"/>
      <c r="H12" s="7" t="s">
        <v>796</v>
      </c>
      <c r="I12" s="2"/>
      <c r="J12" s="2"/>
      <c r="K12" s="2"/>
      <c r="L12" s="2"/>
      <c r="M12" s="2"/>
      <c r="N12" s="2"/>
      <c r="O12" s="2"/>
    </row>
    <row r="13" spans="1:17" s="84" customFormat="1" hidden="1">
      <c r="A13" s="7" t="s">
        <v>809</v>
      </c>
      <c r="B13" s="2"/>
      <c r="C13" s="7" t="s">
        <v>810</v>
      </c>
      <c r="D13" s="2"/>
      <c r="E13" s="2"/>
      <c r="F13" s="238">
        <v>1</v>
      </c>
      <c r="G13" s="2"/>
      <c r="H13" s="7" t="s">
        <v>796</v>
      </c>
      <c r="I13" s="2"/>
      <c r="J13" s="2"/>
      <c r="K13" s="2"/>
      <c r="L13" s="2"/>
      <c r="M13" s="2"/>
      <c r="N13" s="2"/>
      <c r="O13" s="2"/>
    </row>
    <row r="14" spans="1:17" s="84" customFormat="1" hidden="1">
      <c r="A14" s="7" t="s">
        <v>811</v>
      </c>
      <c r="B14" s="2"/>
      <c r="C14" s="7" t="s">
        <v>812</v>
      </c>
      <c r="D14" s="2"/>
      <c r="E14" s="2"/>
      <c r="F14" s="238">
        <v>1</v>
      </c>
      <c r="G14" s="2"/>
      <c r="H14" s="7" t="s">
        <v>796</v>
      </c>
      <c r="I14" s="2"/>
      <c r="J14" s="2"/>
      <c r="K14" s="2"/>
      <c r="L14" s="2"/>
      <c r="M14" s="2"/>
      <c r="N14" s="2"/>
      <c r="O14" s="2"/>
    </row>
    <row r="15" spans="1:17" s="84" customFormat="1" ht="28.9" hidden="1">
      <c r="A15" s="7" t="s">
        <v>813</v>
      </c>
      <c r="B15" s="237"/>
      <c r="C15" s="7" t="s">
        <v>814</v>
      </c>
      <c r="D15" s="2"/>
      <c r="E15" s="2"/>
      <c r="F15" s="238">
        <v>0</v>
      </c>
      <c r="G15" s="110"/>
      <c r="H15" s="7" t="s">
        <v>215</v>
      </c>
      <c r="I15" s="3"/>
      <c r="J15" s="109"/>
      <c r="K15" s="109"/>
      <c r="L15" s="109"/>
      <c r="M15" s="110"/>
      <c r="N15" s="11"/>
      <c r="O15" s="11"/>
    </row>
    <row r="16" spans="1:17" s="84" customFormat="1">
      <c r="A16" s="401" t="s">
        <v>297</v>
      </c>
      <c r="B16" s="401"/>
      <c r="C16" s="401"/>
      <c r="D16" s="401"/>
      <c r="E16" s="401"/>
      <c r="F16" s="401"/>
      <c r="G16" s="401"/>
      <c r="H16" s="401"/>
      <c r="I16" s="401"/>
      <c r="J16" s="401"/>
      <c r="K16" s="401"/>
      <c r="L16" s="401"/>
      <c r="M16" s="401"/>
      <c r="N16" s="401"/>
      <c r="O16" s="401"/>
    </row>
    <row r="17" spans="1:15" s="84" customFormat="1" ht="57.6">
      <c r="A17" s="237" t="s">
        <v>194</v>
      </c>
      <c r="B17" s="237" t="s">
        <v>788</v>
      </c>
      <c r="C17" s="273" t="s">
        <v>815</v>
      </c>
      <c r="D17" s="273" t="s">
        <v>816</v>
      </c>
      <c r="E17" s="2"/>
      <c r="F17" s="238">
        <v>1</v>
      </c>
      <c r="G17" s="2"/>
      <c r="H17" s="108" t="s">
        <v>277</v>
      </c>
      <c r="I17" s="109"/>
      <c r="J17" s="2" t="s">
        <v>218</v>
      </c>
      <c r="K17" s="109" t="s">
        <v>278</v>
      </c>
      <c r="L17" s="109" t="s">
        <v>278</v>
      </c>
      <c r="M17" s="2"/>
      <c r="N17" s="2"/>
      <c r="O17" s="2"/>
    </row>
    <row r="18" spans="1:15" s="84" customFormat="1" ht="28.9">
      <c r="A18" s="237" t="s">
        <v>195</v>
      </c>
      <c r="B18" s="237" t="s">
        <v>817</v>
      </c>
      <c r="C18" s="7" t="s">
        <v>818</v>
      </c>
      <c r="D18" s="289" t="s">
        <v>244</v>
      </c>
      <c r="E18" s="2"/>
      <c r="F18" s="238">
        <v>1</v>
      </c>
      <c r="G18" s="2"/>
      <c r="H18" s="7" t="s">
        <v>246</v>
      </c>
      <c r="I18" s="7" t="s">
        <v>819</v>
      </c>
      <c r="J18" s="2" t="s">
        <v>218</v>
      </c>
      <c r="K18" s="109" t="s">
        <v>278</v>
      </c>
      <c r="L18" s="109" t="s">
        <v>278</v>
      </c>
      <c r="M18" s="2"/>
      <c r="N18" s="2"/>
      <c r="O18" s="2"/>
    </row>
    <row r="19" spans="1:15" s="84" customFormat="1" ht="72">
      <c r="A19" s="80" t="s">
        <v>201</v>
      </c>
      <c r="B19" s="237" t="s">
        <v>788</v>
      </c>
      <c r="C19" s="105" t="s">
        <v>820</v>
      </c>
      <c r="D19" s="105" t="s">
        <v>821</v>
      </c>
      <c r="E19" s="2"/>
      <c r="F19" s="238">
        <v>1</v>
      </c>
      <c r="G19" s="2"/>
      <c r="H19" s="7" t="s">
        <v>41</v>
      </c>
      <c r="I19" s="2" t="s">
        <v>544</v>
      </c>
      <c r="J19" s="2" t="s">
        <v>218</v>
      </c>
      <c r="K19" s="3" t="s">
        <v>218</v>
      </c>
      <c r="L19" s="3" t="s">
        <v>218</v>
      </c>
      <c r="M19" s="2"/>
      <c r="N19" s="2"/>
      <c r="O19" s="7"/>
    </row>
    <row r="20" spans="1:15" s="84" customFormat="1" ht="43.15">
      <c r="A20" s="80" t="s">
        <v>822</v>
      </c>
      <c r="B20" s="85"/>
      <c r="C20" s="105" t="s">
        <v>823</v>
      </c>
      <c r="D20" s="290" t="s">
        <v>824</v>
      </c>
      <c r="E20" s="2"/>
      <c r="F20" s="238">
        <v>1</v>
      </c>
      <c r="G20" s="2"/>
      <c r="H20" s="7" t="s">
        <v>41</v>
      </c>
      <c r="I20" s="2" t="s">
        <v>544</v>
      </c>
      <c r="J20" s="2" t="s">
        <v>218</v>
      </c>
      <c r="K20" s="3" t="s">
        <v>218</v>
      </c>
      <c r="L20" s="3" t="s">
        <v>218</v>
      </c>
      <c r="M20" s="2"/>
      <c r="N20" s="2"/>
      <c r="O20" s="2"/>
    </row>
    <row r="21" spans="1:15" s="211" customFormat="1">
      <c r="A21" s="215" t="s">
        <v>825</v>
      </c>
      <c r="B21" s="239"/>
      <c r="C21" s="286" t="s">
        <v>826</v>
      </c>
      <c r="D21" s="286" t="s">
        <v>827</v>
      </c>
      <c r="E21" s="239"/>
      <c r="F21" s="240">
        <v>1</v>
      </c>
      <c r="G21" s="241" t="s">
        <v>828</v>
      </c>
      <c r="H21" s="216" t="s">
        <v>33</v>
      </c>
      <c r="I21" s="217"/>
      <c r="J21" s="242" t="s">
        <v>218</v>
      </c>
      <c r="K21" s="218" t="s">
        <v>218</v>
      </c>
      <c r="L21" s="218" t="s">
        <v>218</v>
      </c>
      <c r="M21" s="2"/>
      <c r="N21" s="2"/>
      <c r="O21" s="2"/>
    </row>
    <row r="22" spans="1:15" s="219" customFormat="1">
      <c r="A22" s="215" t="s">
        <v>829</v>
      </c>
      <c r="B22" s="239"/>
      <c r="C22" s="283" t="s">
        <v>830</v>
      </c>
      <c r="D22" s="283" t="s">
        <v>831</v>
      </c>
      <c r="E22" s="239"/>
      <c r="F22" s="240">
        <v>1</v>
      </c>
      <c r="G22" s="241" t="s">
        <v>832</v>
      </c>
      <c r="H22" s="216" t="s">
        <v>33</v>
      </c>
      <c r="I22" s="217"/>
      <c r="J22" s="242"/>
      <c r="K22" s="218"/>
      <c r="L22" s="218"/>
      <c r="M22" s="2"/>
      <c r="N22" s="2"/>
      <c r="O22" s="2"/>
    </row>
    <row r="23" spans="1:15" s="84" customFormat="1">
      <c r="A23" s="237" t="s">
        <v>196</v>
      </c>
      <c r="B23" s="237"/>
      <c r="C23" s="7" t="s">
        <v>833</v>
      </c>
      <c r="D23" s="288" t="s">
        <v>834</v>
      </c>
      <c r="E23" s="2"/>
      <c r="F23" s="238">
        <v>1</v>
      </c>
      <c r="G23" s="2"/>
      <c r="H23" s="7" t="s">
        <v>33</v>
      </c>
      <c r="I23" s="85" t="s">
        <v>835</v>
      </c>
      <c r="J23" s="2" t="s">
        <v>218</v>
      </c>
      <c r="K23" s="3" t="s">
        <v>218</v>
      </c>
      <c r="L23" s="3" t="s">
        <v>218</v>
      </c>
      <c r="M23" s="2"/>
      <c r="N23" s="2"/>
      <c r="O23" s="2"/>
    </row>
    <row r="24" spans="1:15" s="84" customFormat="1" ht="28.9">
      <c r="A24" s="237" t="s">
        <v>197</v>
      </c>
      <c r="B24" s="237"/>
      <c r="C24" s="3" t="s">
        <v>836</v>
      </c>
      <c r="D24" s="291" t="s">
        <v>837</v>
      </c>
      <c r="E24" s="2"/>
      <c r="F24" s="238">
        <v>1</v>
      </c>
      <c r="G24" s="2"/>
      <c r="H24" s="2" t="s">
        <v>838</v>
      </c>
      <c r="I24" s="7" t="s">
        <v>819</v>
      </c>
      <c r="J24" s="2" t="s">
        <v>218</v>
      </c>
      <c r="K24" s="3" t="s">
        <v>218</v>
      </c>
      <c r="L24" s="109" t="s">
        <v>278</v>
      </c>
      <c r="M24" s="2"/>
      <c r="N24" s="2"/>
      <c r="O24" s="2"/>
    </row>
    <row r="25" spans="1:15" s="84" customFormat="1">
      <c r="A25" s="11"/>
      <c r="B25" s="11"/>
      <c r="C25" s="11"/>
      <c r="D25" s="11"/>
      <c r="E25" s="11"/>
      <c r="F25" s="11"/>
      <c r="G25" s="11"/>
      <c r="H25" s="11"/>
      <c r="I25" s="11"/>
      <c r="J25" s="11"/>
      <c r="K25" s="11"/>
      <c r="L25" s="11"/>
      <c r="M25" s="11"/>
      <c r="N25" s="11"/>
      <c r="O25" s="11"/>
    </row>
    <row r="26" spans="1:15" s="84" customFormat="1" hidden="1"/>
    <row r="27" spans="1:15" s="84" customFormat="1" hidden="1"/>
    <row r="28" spans="1:15" s="84" customFormat="1" hidden="1"/>
    <row r="29" spans="1:15" s="84" customFormat="1" hidden="1"/>
    <row r="30" spans="1:15" s="84" customFormat="1" hidden="1"/>
    <row r="31" spans="1:15" s="84" customFormat="1" hidden="1"/>
    <row r="32" spans="1:15" s="84" customFormat="1" hidden="1"/>
    <row r="33" s="84" customFormat="1" hidden="1"/>
    <row r="34" s="84" customFormat="1" hidden="1"/>
    <row r="35" s="84" customFormat="1" hidden="1"/>
    <row r="36" s="84" customFormat="1" hidden="1"/>
    <row r="37" s="84" customFormat="1" hidden="1"/>
    <row r="38" s="84" customFormat="1" hidden="1"/>
    <row r="39" s="84" customFormat="1" hidden="1"/>
    <row r="40" s="84" customFormat="1" hidden="1"/>
    <row r="41" s="84" customFormat="1" hidden="1"/>
    <row r="42" s="84" customFormat="1" hidden="1"/>
    <row r="43" s="84" customFormat="1" hidden="1"/>
    <row r="44" s="84" customFormat="1" hidden="1"/>
    <row r="45" s="84" customFormat="1" hidden="1"/>
    <row r="46" s="84" customFormat="1" hidden="1"/>
    <row r="47" s="84" customFormat="1" hidden="1"/>
    <row r="48" s="84" customFormat="1" hidden="1"/>
    <row r="49" s="84" customFormat="1" hidden="1"/>
    <row r="50" s="84" customFormat="1" hidden="1"/>
    <row r="51" s="84" customFormat="1" hidden="1"/>
    <row r="52" s="84" customFormat="1" hidden="1"/>
    <row r="53" s="84" customFormat="1" hidden="1"/>
    <row r="54" s="84" customFormat="1" hidden="1"/>
    <row r="55" s="84" customFormat="1" hidden="1"/>
    <row r="56" s="84" customFormat="1" hidden="1"/>
    <row r="57" s="84" customFormat="1" hidden="1"/>
    <row r="58" s="84" customFormat="1" hidden="1"/>
    <row r="59" s="84" customFormat="1" hidden="1"/>
    <row r="60" s="84" customFormat="1" hidden="1"/>
    <row r="61" s="84" customFormat="1" hidden="1"/>
    <row r="62" s="84" customFormat="1" hidden="1"/>
    <row r="63" s="84" customFormat="1" hidden="1"/>
    <row r="64" s="84" customFormat="1" hidden="1"/>
    <row r="65" spans="1:9" s="84" customFormat="1" hidden="1"/>
    <row r="66" spans="1:9" s="84" customFormat="1" hidden="1"/>
    <row r="67" spans="1:9" s="84" customFormat="1" hidden="1"/>
    <row r="68" spans="1:9" s="84" customFormat="1" hidden="1"/>
    <row r="69" spans="1:9" s="84" customFormat="1" hidden="1"/>
    <row r="70" spans="1:9" s="84" customFormat="1" hidden="1"/>
    <row r="71" spans="1:9" s="84" customFormat="1" hidden="1"/>
    <row r="72" spans="1:9" s="84" customFormat="1" hidden="1"/>
    <row r="73" spans="1:9" s="84" customFormat="1" hidden="1"/>
    <row r="74" spans="1:9" s="84" customFormat="1" hidden="1"/>
    <row r="75" spans="1:9" s="84" customFormat="1" hidden="1"/>
    <row r="76" spans="1:9" s="84" customFormat="1" hidden="1"/>
    <row r="77" spans="1:9" s="84" customFormat="1" hidden="1" collapsed="1"/>
    <row r="78" spans="1:9" s="84" customFormat="1" hidden="1">
      <c r="A78" s="91"/>
      <c r="B78" s="91"/>
      <c r="C78" s="91"/>
      <c r="D78" s="91"/>
      <c r="E78" s="91"/>
      <c r="F78" s="91"/>
      <c r="G78" s="91"/>
      <c r="H78" s="91"/>
    </row>
    <row r="79" spans="1:9" s="84" customFormat="1" hidden="1">
      <c r="A79" s="91"/>
      <c r="B79" s="91"/>
      <c r="C79" s="91"/>
      <c r="D79" s="91"/>
      <c r="E79" s="91"/>
      <c r="F79" s="91"/>
      <c r="G79" s="91"/>
      <c r="H79" s="91"/>
      <c r="I79" s="106"/>
    </row>
    <row r="80" spans="1:9" s="84" customFormat="1" hidden="1">
      <c r="A80" s="91"/>
      <c r="B80" s="91"/>
      <c r="C80" s="91"/>
      <c r="D80" s="91"/>
      <c r="E80" s="91"/>
      <c r="F80" s="91"/>
      <c r="G80" s="91"/>
      <c r="H80" s="91"/>
    </row>
    <row r="81" spans="1:9" s="84" customFormat="1" hidden="1">
      <c r="A81" s="91"/>
      <c r="B81" s="91"/>
      <c r="C81" s="91"/>
      <c r="D81" s="91"/>
      <c r="E81" s="91"/>
      <c r="F81" s="91"/>
      <c r="G81" s="91"/>
      <c r="H81" s="91"/>
    </row>
    <row r="82" spans="1:9" s="84" customFormat="1" hidden="1">
      <c r="A82" s="91"/>
      <c r="B82" s="91"/>
      <c r="C82" s="91"/>
      <c r="D82" s="91"/>
      <c r="E82" s="91"/>
      <c r="F82" s="91"/>
      <c r="G82" s="91"/>
      <c r="H82" s="91"/>
    </row>
    <row r="83" spans="1:9" s="84" customFormat="1" hidden="1">
      <c r="A83" s="91"/>
      <c r="B83" s="91"/>
      <c r="C83" s="91"/>
      <c r="D83" s="91"/>
      <c r="E83" s="91"/>
      <c r="F83" s="91"/>
      <c r="G83" s="91"/>
      <c r="H83" s="91"/>
    </row>
    <row r="84" spans="1:9" s="84" customFormat="1" hidden="1">
      <c r="A84" s="91"/>
      <c r="B84" s="91"/>
      <c r="C84" s="91"/>
      <c r="D84" s="91"/>
      <c r="E84" s="91"/>
      <c r="F84" s="91"/>
      <c r="G84" s="91"/>
      <c r="H84" s="91"/>
    </row>
    <row r="85" spans="1:9" s="84" customFormat="1" hidden="1">
      <c r="A85" s="91"/>
      <c r="B85" s="91"/>
      <c r="C85" s="91"/>
      <c r="D85" s="91"/>
      <c r="E85" s="91"/>
      <c r="F85" s="91"/>
      <c r="G85" s="91"/>
      <c r="H85" s="91"/>
    </row>
    <row r="86" spans="1:9" s="84" customFormat="1" hidden="1">
      <c r="A86" s="91"/>
      <c r="B86" s="91"/>
      <c r="C86" s="91"/>
      <c r="D86" s="91"/>
      <c r="E86" s="91"/>
      <c r="F86" s="91"/>
      <c r="G86" s="91"/>
      <c r="H86" s="91"/>
    </row>
    <row r="87" spans="1:9" s="84" customFormat="1" hidden="1">
      <c r="A87" s="91"/>
      <c r="B87" s="91"/>
      <c r="C87" s="91"/>
      <c r="D87" s="91"/>
      <c r="E87" s="91"/>
      <c r="F87" s="91"/>
      <c r="G87" s="91"/>
      <c r="H87" s="91"/>
    </row>
    <row r="88" spans="1:9" s="84" customFormat="1" hidden="1">
      <c r="A88" s="91"/>
      <c r="B88" s="91"/>
      <c r="C88" s="91"/>
      <c r="D88" s="91"/>
      <c r="E88" s="91"/>
      <c r="F88" s="91"/>
      <c r="G88" s="91"/>
      <c r="H88" s="91"/>
    </row>
    <row r="89" spans="1:9" s="84" customFormat="1" hidden="1">
      <c r="A89" s="91"/>
      <c r="B89" s="91"/>
      <c r="C89" s="91"/>
      <c r="D89" s="91"/>
      <c r="E89" s="91"/>
      <c r="F89" s="91"/>
      <c r="G89" s="91"/>
      <c r="H89" s="91"/>
      <c r="I89" s="91"/>
    </row>
    <row r="90" spans="1:9" s="84" customFormat="1" hidden="1">
      <c r="A90" s="91"/>
      <c r="B90" s="91"/>
      <c r="C90" s="91"/>
      <c r="D90" s="91"/>
      <c r="E90" s="91"/>
      <c r="F90" s="91"/>
      <c r="G90" s="91"/>
      <c r="H90" s="91"/>
      <c r="I90" s="91"/>
    </row>
    <row r="91" spans="1:9" s="84" customFormat="1" hidden="1">
      <c r="A91" s="91"/>
      <c r="B91" s="91"/>
      <c r="C91" s="91"/>
      <c r="D91" s="91"/>
      <c r="E91" s="91"/>
      <c r="F91" s="91"/>
      <c r="G91" s="91"/>
      <c r="H91" s="91"/>
      <c r="I91" s="91"/>
    </row>
    <row r="92" spans="1:9" s="84" customFormat="1" hidden="1">
      <c r="A92" s="91"/>
      <c r="B92" s="91"/>
      <c r="C92" s="91"/>
      <c r="D92" s="91"/>
      <c r="E92" s="91"/>
      <c r="F92" s="91"/>
      <c r="G92" s="91"/>
      <c r="H92" s="91"/>
      <c r="I92" s="91"/>
    </row>
    <row r="93" spans="1:9" s="84" customFormat="1" hidden="1">
      <c r="A93" s="91"/>
      <c r="B93" s="91"/>
      <c r="C93" s="91"/>
      <c r="D93" s="91"/>
      <c r="E93" s="91"/>
      <c r="F93" s="91"/>
      <c r="G93" s="91"/>
      <c r="H93" s="91"/>
      <c r="I93" s="91"/>
    </row>
    <row r="94" spans="1:9" s="84" customFormat="1" hidden="1">
      <c r="A94" s="91"/>
      <c r="B94" s="91"/>
      <c r="C94" s="91"/>
      <c r="D94" s="91"/>
      <c r="E94" s="91"/>
      <c r="F94" s="91"/>
      <c r="G94" s="91"/>
      <c r="H94" s="91"/>
      <c r="I94" s="91"/>
    </row>
    <row r="95" spans="1:9" s="84" customFormat="1" hidden="1">
      <c r="A95" s="91"/>
      <c r="B95" s="91"/>
      <c r="C95" s="91"/>
      <c r="D95" s="91"/>
      <c r="E95" s="91"/>
      <c r="F95" s="91"/>
      <c r="G95" s="91"/>
      <c r="H95" s="91"/>
      <c r="I95" s="91"/>
    </row>
    <row r="96" spans="1:9" s="84" customFormat="1" hidden="1">
      <c r="A96" s="91"/>
      <c r="B96" s="91"/>
      <c r="C96" s="91"/>
      <c r="D96" s="91"/>
      <c r="E96" s="91"/>
      <c r="F96" s="91"/>
      <c r="G96" s="91"/>
      <c r="H96" s="91"/>
      <c r="I96" s="91"/>
    </row>
    <row r="97" spans="1:17" s="84" customFormat="1" hidden="1">
      <c r="A97" s="91"/>
      <c r="B97" s="91"/>
      <c r="C97" s="91"/>
      <c r="D97" s="91"/>
      <c r="E97" s="91"/>
      <c r="F97" s="91"/>
      <c r="G97" s="91"/>
      <c r="H97" s="91"/>
      <c r="I97" s="91"/>
    </row>
    <row r="98" spans="1:17" s="84" customFormat="1" hidden="1">
      <c r="A98" s="91"/>
      <c r="B98" s="91"/>
      <c r="C98" s="91"/>
      <c r="D98" s="91"/>
      <c r="E98" s="91"/>
      <c r="F98" s="91"/>
      <c r="G98" s="91"/>
      <c r="H98" s="91"/>
      <c r="I98" s="91"/>
    </row>
    <row r="99" spans="1:17" s="84" customFormat="1" hidden="1">
      <c r="A99" s="91"/>
      <c r="B99" s="91"/>
      <c r="C99" s="91"/>
      <c r="D99" s="91"/>
      <c r="E99" s="91"/>
      <c r="F99" s="91"/>
      <c r="G99" s="91"/>
      <c r="H99" s="91"/>
      <c r="I99" s="91"/>
    </row>
    <row r="100" spans="1:17" s="84" customFormat="1" hidden="1">
      <c r="A100" s="91"/>
      <c r="B100" s="91"/>
      <c r="C100" s="91"/>
      <c r="D100" s="91"/>
      <c r="E100" s="91"/>
      <c r="F100" s="91"/>
      <c r="G100" s="91"/>
      <c r="H100" s="91"/>
      <c r="I100" s="91"/>
    </row>
    <row r="101" spans="1:17" s="84" customFormat="1" hidden="1">
      <c r="A101" s="91"/>
      <c r="B101" s="91"/>
      <c r="C101" s="91"/>
      <c r="D101" s="91"/>
      <c r="E101" s="91"/>
      <c r="F101" s="91"/>
      <c r="G101" s="91"/>
      <c r="H101" s="91"/>
      <c r="I101" s="91"/>
    </row>
    <row r="102" spans="1:17" s="84" customFormat="1" hidden="1">
      <c r="A102" s="91"/>
      <c r="B102" s="91"/>
      <c r="C102" s="91"/>
      <c r="D102" s="91"/>
      <c r="E102" s="91"/>
      <c r="F102" s="91"/>
      <c r="G102" s="91"/>
      <c r="H102" s="91"/>
      <c r="I102" s="91"/>
    </row>
    <row r="103" spans="1:17" s="84" customFormat="1" hidden="1">
      <c r="A103" s="91"/>
      <c r="B103" s="91"/>
      <c r="C103" s="91"/>
      <c r="D103" s="91"/>
      <c r="E103" s="91"/>
      <c r="F103" s="91"/>
      <c r="G103" s="91"/>
      <c r="H103" s="91"/>
      <c r="I103" s="91"/>
    </row>
    <row r="104" spans="1:17" s="84" customFormat="1" hidden="1">
      <c r="A104" s="91"/>
      <c r="B104" s="91"/>
      <c r="C104" s="91"/>
      <c r="D104" s="91"/>
      <c r="E104" s="91"/>
      <c r="F104" s="91"/>
      <c r="G104" s="91"/>
      <c r="H104" s="91"/>
      <c r="I104" s="91"/>
      <c r="Q104" s="106"/>
    </row>
    <row r="105" spans="1:17" s="84" customFormat="1" hidden="1">
      <c r="A105" s="91"/>
      <c r="B105" s="91"/>
      <c r="C105" s="91"/>
      <c r="D105" s="91"/>
      <c r="E105" s="91"/>
      <c r="F105" s="91"/>
      <c r="G105" s="91"/>
      <c r="H105" s="91"/>
      <c r="I105" s="91"/>
    </row>
    <row r="106" spans="1:17" s="84" customFormat="1" hidden="1">
      <c r="A106" s="91"/>
      <c r="B106" s="91"/>
      <c r="C106" s="91"/>
      <c r="D106" s="91"/>
      <c r="E106" s="91"/>
      <c r="F106" s="91"/>
      <c r="G106" s="91"/>
      <c r="H106" s="91"/>
      <c r="I106" s="91"/>
    </row>
    <row r="107" spans="1:17" s="84" customFormat="1" hidden="1">
      <c r="A107" s="91"/>
      <c r="B107" s="91"/>
      <c r="C107" s="91"/>
      <c r="D107" s="91"/>
      <c r="E107" s="91"/>
      <c r="F107" s="91"/>
      <c r="G107" s="91"/>
      <c r="H107" s="91"/>
      <c r="I107" s="91"/>
    </row>
    <row r="108" spans="1:17" s="84" customFormat="1" hidden="1">
      <c r="A108" s="91"/>
      <c r="B108" s="91"/>
      <c r="C108" s="91"/>
      <c r="D108" s="91"/>
      <c r="E108" s="91"/>
      <c r="F108" s="91"/>
      <c r="G108" s="91"/>
      <c r="H108" s="91"/>
      <c r="I108" s="91"/>
      <c r="J108" s="106"/>
      <c r="K108" s="106"/>
      <c r="L108" s="106"/>
      <c r="M108" s="106"/>
      <c r="N108" s="106"/>
      <c r="O108" s="106"/>
    </row>
    <row r="109" spans="1:17" s="106" customFormat="1" hidden="1">
      <c r="A109" s="91"/>
      <c r="B109" s="91"/>
      <c r="C109" s="91"/>
      <c r="D109" s="91"/>
      <c r="E109" s="91"/>
      <c r="F109" s="91"/>
      <c r="G109" s="91"/>
      <c r="H109" s="91"/>
      <c r="I109" s="91"/>
      <c r="J109" s="84"/>
      <c r="K109" s="84"/>
      <c r="L109" s="84"/>
      <c r="M109" s="84"/>
      <c r="N109" s="84"/>
      <c r="O109" s="84"/>
      <c r="Q109" s="84"/>
    </row>
    <row r="110" spans="1:17" s="84" customFormat="1" hidden="1">
      <c r="A110" s="91"/>
      <c r="B110" s="91"/>
      <c r="C110" s="91"/>
      <c r="D110" s="91"/>
      <c r="E110" s="91"/>
      <c r="F110" s="91"/>
      <c r="G110" s="91"/>
      <c r="H110" s="91"/>
      <c r="I110" s="91"/>
    </row>
    <row r="111" spans="1:17" s="84" customFormat="1" hidden="1">
      <c r="A111" s="91"/>
      <c r="B111" s="91"/>
      <c r="C111" s="91"/>
      <c r="D111" s="91"/>
      <c r="E111" s="91"/>
      <c r="F111" s="91"/>
      <c r="G111" s="91"/>
      <c r="H111" s="91"/>
      <c r="I111" s="91"/>
    </row>
    <row r="112" spans="1:17" s="84" customFormat="1" hidden="1">
      <c r="A112" s="91"/>
      <c r="B112" s="91"/>
      <c r="C112" s="91"/>
      <c r="D112" s="91"/>
      <c r="E112" s="91"/>
      <c r="F112" s="91"/>
      <c r="G112" s="91"/>
      <c r="H112" s="91"/>
      <c r="I112" s="91"/>
    </row>
    <row r="113" spans="1:17" s="84" customFormat="1" hidden="1">
      <c r="A113" s="91"/>
      <c r="B113" s="91"/>
      <c r="C113" s="91"/>
      <c r="D113" s="91"/>
      <c r="E113" s="91"/>
      <c r="F113" s="91"/>
      <c r="G113" s="91"/>
      <c r="H113" s="91"/>
      <c r="I113" s="91"/>
    </row>
    <row r="114" spans="1:17" s="84" customFormat="1" hidden="1">
      <c r="A114" s="91"/>
      <c r="B114" s="91"/>
      <c r="C114" s="91"/>
      <c r="D114" s="91"/>
      <c r="E114" s="91"/>
      <c r="F114" s="91"/>
      <c r="G114" s="91"/>
      <c r="H114" s="91"/>
      <c r="I114" s="91"/>
    </row>
    <row r="115" spans="1:17" s="84" customFormat="1" hidden="1">
      <c r="A115" s="91"/>
      <c r="B115" s="91"/>
      <c r="C115" s="91"/>
      <c r="D115" s="91"/>
      <c r="E115" s="91"/>
      <c r="F115" s="91"/>
      <c r="G115" s="91"/>
      <c r="H115" s="91"/>
      <c r="I115" s="91"/>
    </row>
    <row r="116" spans="1:17" s="84" customFormat="1" hidden="1">
      <c r="A116" s="91"/>
      <c r="B116" s="91"/>
      <c r="C116" s="91"/>
      <c r="D116" s="91"/>
      <c r="E116" s="91"/>
      <c r="F116" s="91"/>
      <c r="G116" s="91"/>
      <c r="H116" s="91"/>
      <c r="I116" s="91"/>
    </row>
    <row r="117" spans="1:17" s="84" customFormat="1" hidden="1">
      <c r="A117" s="91"/>
      <c r="B117" s="91"/>
      <c r="C117" s="91"/>
      <c r="D117" s="91"/>
      <c r="E117" s="91"/>
      <c r="F117" s="91"/>
      <c r="G117" s="91"/>
      <c r="H117" s="91"/>
      <c r="I117" s="91"/>
    </row>
    <row r="118" spans="1:17" s="84" customFormat="1" hidden="1">
      <c r="A118" s="91"/>
      <c r="B118" s="91"/>
      <c r="C118" s="91"/>
      <c r="D118" s="91"/>
      <c r="E118" s="91"/>
      <c r="F118" s="91"/>
      <c r="G118" s="91"/>
      <c r="H118" s="91"/>
      <c r="I118" s="91"/>
      <c r="J118" s="91"/>
      <c r="K118" s="91"/>
      <c r="L118" s="91"/>
      <c r="Q118" s="91"/>
    </row>
    <row r="119" spans="1:17" s="84" customFormat="1" hidden="1">
      <c r="A119" s="91"/>
      <c r="B119" s="91"/>
      <c r="C119" s="91"/>
      <c r="D119" s="91"/>
      <c r="E119" s="91"/>
      <c r="F119" s="91"/>
      <c r="G119" s="91"/>
      <c r="H119" s="91"/>
      <c r="I119" s="91"/>
      <c r="J119" s="91"/>
      <c r="K119" s="91"/>
      <c r="L119" s="91"/>
      <c r="Q119" s="91"/>
    </row>
    <row r="120" spans="1:17" s="84" customFormat="1" hidden="1" collapsed="1">
      <c r="A120" s="91"/>
      <c r="B120" s="91"/>
      <c r="C120" s="91"/>
      <c r="D120" s="91"/>
      <c r="E120" s="91"/>
      <c r="F120" s="91"/>
      <c r="G120" s="91"/>
      <c r="H120" s="91"/>
      <c r="I120" s="91"/>
      <c r="J120" s="91"/>
      <c r="K120" s="91"/>
      <c r="L120" s="91"/>
      <c r="Q120" s="91"/>
    </row>
    <row r="121" spans="1:17" s="84" customFormat="1" hidden="1">
      <c r="A121" s="91"/>
      <c r="B121" s="91"/>
      <c r="C121" s="91"/>
      <c r="D121" s="91"/>
      <c r="E121" s="91"/>
      <c r="F121" s="91"/>
      <c r="G121" s="91"/>
      <c r="H121" s="91"/>
      <c r="I121" s="91"/>
      <c r="J121" s="91"/>
      <c r="K121" s="91"/>
      <c r="L121" s="91"/>
      <c r="Q121" s="91"/>
    </row>
    <row r="122" spans="1:17" s="84" customFormat="1" hidden="1">
      <c r="A122" s="91"/>
      <c r="B122" s="91"/>
      <c r="C122" s="91"/>
      <c r="D122" s="91"/>
      <c r="E122" s="91"/>
      <c r="F122" s="91"/>
      <c r="G122" s="91"/>
      <c r="H122" s="91"/>
      <c r="I122" s="91"/>
      <c r="J122" s="91"/>
      <c r="K122" s="91"/>
      <c r="L122" s="91"/>
      <c r="M122" s="91"/>
      <c r="N122" s="91"/>
      <c r="O122" s="91"/>
      <c r="Q122" s="91"/>
    </row>
  </sheetData>
  <protectedRanges>
    <protectedRange algorithmName="SHA-512" hashValue="iHBnd05iYpG1+tnWmFRUb1VQfbe80GZa6LODTIcXJBT6t50yyUwGjmaoQtayVaOjabnOjEBtxJb57EHDRou0xA==" saltValue="/YIOpUEHl96pmnrCwbESWw==" spinCount="100000" sqref="O19:O20 I4 F17:F20 H4:H14 H17:H20 I17:I18 F23:F24 H23:I24 F3:F15 H3:I3" name="End"/>
    <protectedRange algorithmName="SHA-512" hashValue="ZguYlAdyb71IMfth0JhjlmtxX14hVx5omQi5ApBlH1eRzvDoMKrcH/U5ix8udScoKrPOyilweqooMB5Tej6y8g==" saltValue="7zSaR8crDg3BlTT9T4K2tg==" spinCount="100000" sqref="D16:N16" name="Interview_3_1_1_1"/>
    <protectedRange algorithmName="SHA-512" hashValue="iHBnd05iYpG1+tnWmFRUb1VQfbe80GZa6LODTIcXJBT6t50yyUwGjmaoQtayVaOjabnOjEBtxJb57EHDRou0xA==" saltValue="/YIOpUEHl96pmnrCwbESWw==" spinCount="100000" sqref="G15:M15 K17:L20 K23:L24 K3:L11" name="End_1"/>
    <protectedRange algorithmName="SHA-512" hashValue="wC8tzfOYZ3RTXjNh+/iZZBhdrSlfjL1XEdH17J/xxx99mzQLmsQjAx3SgBuaQGfEAWw+t/cO4YQl0yjNa5C4qw==" saltValue="CxyhgMMN5DNP3cWQB2vcAg==" spinCount="100000" sqref="I19" name="Questions_2"/>
    <protectedRange algorithmName="SHA-512" hashValue="wC8tzfOYZ3RTXjNh+/iZZBhdrSlfjL1XEdH17J/xxx99mzQLmsQjAx3SgBuaQGfEAWw+t/cO4YQl0yjNa5C4qw==" saltValue="CxyhgMMN5DNP3cWQB2vcAg==" spinCount="100000" sqref="I20" name="Questions_3"/>
    <protectedRange algorithmName="SHA-512" hashValue="iHBnd05iYpG1+tnWmFRUb1VQfbe80GZa6LODTIcXJBT6t50yyUwGjmaoQtayVaOjabnOjEBtxJb57EHDRou0xA==" saltValue="/YIOpUEHl96pmnrCwbESWw==" spinCount="100000" sqref="F21:F22 H21:I22" name="End_2"/>
    <protectedRange algorithmName="SHA-512" hashValue="hUkirajtNVADTD+199uQkL5ARN5v21Zi4+VkFPs4yU6WGmEFYNyjk6+RvFn0yp6CEynDcAe1X1rmZtuuMg+XiQ==" saltValue="oWQRzHv9sgvytn2Ahvb1nA==" spinCount="100000" sqref="J21:L22" name="Marketing_1_1_1_1"/>
  </protectedRanges>
  <mergeCells count="5">
    <mergeCell ref="A16:O16"/>
    <mergeCell ref="A1:F1"/>
    <mergeCell ref="G1:I1"/>
    <mergeCell ref="J1:L1"/>
    <mergeCell ref="M1:O1"/>
  </mergeCells>
  <phoneticPr fontId="19" type="noConversion"/>
  <conditionalFormatting sqref="B16">
    <cfRule type="cellIs" dxfId="44" priority="35" operator="equal">
      <formula>"NO"</formula>
    </cfRule>
    <cfRule type="cellIs" dxfId="43" priority="36" operator="equal">
      <formula>"YES"</formula>
    </cfRule>
  </conditionalFormatting>
  <conditionalFormatting sqref="F3:F24">
    <cfRule type="cellIs" dxfId="42" priority="1" operator="equal">
      <formula>-1</formula>
    </cfRule>
    <cfRule type="cellIs" dxfId="41" priority="2" operator="equal">
      <formula>0</formula>
    </cfRule>
    <cfRule type="cellIs" dxfId="40" priority="3" operator="equal">
      <formula>1</formula>
    </cfRule>
  </conditionalFormatting>
  <conditionalFormatting sqref="H21:H22">
    <cfRule type="cellIs" dxfId="39" priority="4" operator="equal">
      <formula>-1</formula>
    </cfRule>
    <cfRule type="cellIs" dxfId="38" priority="5" operator="equal">
      <formula>0</formula>
    </cfRule>
    <cfRule type="cellIs" dxfId="37" priority="6" operator="equal">
      <formula>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8B5EBF1-6B5B-4BDD-B44D-DB7BE1728BB0}">
          <x14:formula1>
            <xm:f>Constants!$A$2:$A$15</xm:f>
          </x14:formula1>
          <xm:sqref>H3:H15 H17:H20 H23:H24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FEB64-8AD2-438B-968C-23429F8682C0}">
  <sheetPr>
    <tabColor rgb="FFFF0000"/>
  </sheetPr>
  <dimension ref="A2:D12"/>
  <sheetViews>
    <sheetView workbookViewId="0">
      <selection activeCell="B7" sqref="B7:D7"/>
    </sheetView>
  </sheetViews>
  <sheetFormatPr defaultRowHeight="14.45"/>
  <cols>
    <col min="2" max="2" width="25.85546875" customWidth="1"/>
    <col min="3" max="3" width="27.28515625" customWidth="1"/>
    <col min="4" max="4" width="29.28515625" customWidth="1"/>
  </cols>
  <sheetData>
    <row r="2" spans="1:4">
      <c r="A2" s="353" t="s">
        <v>839</v>
      </c>
      <c r="B2" s="353" t="s">
        <v>20</v>
      </c>
      <c r="C2" s="353" t="s">
        <v>840</v>
      </c>
      <c r="D2" s="353" t="s">
        <v>841</v>
      </c>
    </row>
    <row r="3" spans="1:4">
      <c r="A3">
        <v>1</v>
      </c>
      <c r="B3" t="s">
        <v>842</v>
      </c>
      <c r="C3" s="356" t="s">
        <v>843</v>
      </c>
      <c r="D3" s="319" t="s">
        <v>843</v>
      </c>
    </row>
    <row r="4" spans="1:4">
      <c r="A4">
        <v>2</v>
      </c>
      <c r="B4" t="s">
        <v>844</v>
      </c>
      <c r="C4" s="356" t="s">
        <v>845</v>
      </c>
      <c r="D4" s="319" t="s">
        <v>845</v>
      </c>
    </row>
    <row r="5" spans="1:4">
      <c r="A5">
        <v>3</v>
      </c>
      <c r="B5" t="s">
        <v>846</v>
      </c>
      <c r="C5" s="356" t="s">
        <v>847</v>
      </c>
      <c r="D5" s="319" t="s">
        <v>847</v>
      </c>
    </row>
    <row r="6" spans="1:4">
      <c r="A6">
        <v>4</v>
      </c>
      <c r="B6" t="s">
        <v>848</v>
      </c>
      <c r="C6" s="356" t="s">
        <v>849</v>
      </c>
      <c r="D6" s="319" t="s">
        <v>849</v>
      </c>
    </row>
    <row r="7" spans="1:4">
      <c r="A7">
        <v>5</v>
      </c>
      <c r="B7" t="s">
        <v>850</v>
      </c>
      <c r="C7" s="356" t="s">
        <v>851</v>
      </c>
      <c r="D7" s="319" t="s">
        <v>851</v>
      </c>
    </row>
    <row r="8" spans="1:4">
      <c r="A8">
        <v>6</v>
      </c>
      <c r="B8" t="s">
        <v>852</v>
      </c>
      <c r="C8" s="356" t="s">
        <v>853</v>
      </c>
      <c r="D8" s="319" t="s">
        <v>853</v>
      </c>
    </row>
    <row r="9" spans="1:4">
      <c r="A9">
        <v>7</v>
      </c>
      <c r="B9" t="s">
        <v>854</v>
      </c>
      <c r="C9" s="356" t="s">
        <v>855</v>
      </c>
      <c r="D9" s="319" t="s">
        <v>855</v>
      </c>
    </row>
    <row r="10" spans="1:4">
      <c r="A10">
        <v>8</v>
      </c>
      <c r="B10" t="s">
        <v>856</v>
      </c>
      <c r="C10" s="356" t="s">
        <v>857</v>
      </c>
      <c r="D10" s="319" t="s">
        <v>857</v>
      </c>
    </row>
    <row r="11" spans="1:4">
      <c r="A11">
        <v>9</v>
      </c>
      <c r="B11" t="s">
        <v>858</v>
      </c>
      <c r="C11" s="356" t="s">
        <v>859</v>
      </c>
      <c r="D11" s="319" t="s">
        <v>859</v>
      </c>
    </row>
    <row r="12" spans="1:4">
      <c r="A12">
        <v>10</v>
      </c>
      <c r="B12" t="s">
        <v>860</v>
      </c>
      <c r="C12" s="356" t="s">
        <v>861</v>
      </c>
      <c r="D12" s="319" t="s">
        <v>861</v>
      </c>
    </row>
  </sheetData>
  <phoneticPr fontId="19" type="noConversion"/>
  <conditionalFormatting sqref="A2">
    <cfRule type="duplicateValues" dxfId="36" priority="1"/>
  </conditionalFormatting>
  <conditionalFormatting sqref="C3:C12">
    <cfRule type="duplicateValues" dxfId="35" priority="2"/>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D1A11-C1BC-4176-96D6-B5B50D281E95}">
  <sheetPr>
    <tabColor rgb="FFFF0000"/>
  </sheetPr>
  <dimension ref="A1:XEY367"/>
  <sheetViews>
    <sheetView zoomScale="80" zoomScaleNormal="80" workbookViewId="0">
      <selection activeCell="D5" sqref="D5"/>
    </sheetView>
  </sheetViews>
  <sheetFormatPr defaultColWidth="0" defaultRowHeight="14.45"/>
  <cols>
    <col min="1" max="1" width="23.5703125" customWidth="1"/>
    <col min="2" max="2" width="21.42578125" customWidth="1"/>
    <col min="3" max="3" width="24.42578125" bestFit="1" customWidth="1"/>
    <col min="4" max="4" width="27.7109375" customWidth="1"/>
    <col min="5" max="5" width="19.42578125" bestFit="1" customWidth="1"/>
    <col min="6" max="6" width="20" bestFit="1" customWidth="1"/>
    <col min="7" max="7" width="23.5703125" bestFit="1" customWidth="1"/>
    <col min="8" max="8" width="38.42578125" customWidth="1"/>
    <col min="9" max="16" width="9.28515625" hidden="1"/>
    <col min="17" max="16368" width="8.7109375" hidden="1"/>
    <col min="16369" max="16369" width="27.5703125" hidden="1"/>
    <col min="16370" max="16379" width="9.28515625" hidden="1"/>
    <col min="16380" max="16384" width="8.7109375" hidden="1"/>
  </cols>
  <sheetData>
    <row r="1" spans="1:8">
      <c r="A1" s="230"/>
      <c r="B1" s="402"/>
      <c r="C1" s="402"/>
      <c r="D1" s="402"/>
      <c r="E1" s="402"/>
      <c r="F1" s="402"/>
      <c r="G1" s="402"/>
      <c r="H1" s="402"/>
    </row>
    <row r="2" spans="1:8" ht="28.9">
      <c r="A2" s="113" t="s">
        <v>862</v>
      </c>
      <c r="B2" s="318" t="s">
        <v>863</v>
      </c>
      <c r="C2" s="318" t="s">
        <v>864</v>
      </c>
      <c r="D2" s="318" t="s">
        <v>865</v>
      </c>
      <c r="E2" s="318" t="s">
        <v>866</v>
      </c>
      <c r="F2" s="318" t="s">
        <v>867</v>
      </c>
      <c r="G2" s="114" t="s">
        <v>868</v>
      </c>
      <c r="H2" s="20"/>
    </row>
    <row r="3" spans="1:8">
      <c r="A3" t="str">
        <f>+_xlfn.XLOOKUP(B3,'AREA Level 1'!C:C,'AREA Level 1'!B:B)</f>
        <v>CAM1</v>
      </c>
      <c r="B3" s="319" t="s">
        <v>843</v>
      </c>
      <c r="D3" t="s">
        <v>869</v>
      </c>
      <c r="F3" t="s">
        <v>870</v>
      </c>
    </row>
    <row r="4" spans="1:8">
      <c r="A4" t="str">
        <f>+_xlfn.XLOOKUP(B4,'AREA Level 1'!C:C,'AREA Level 1'!B:B)</f>
        <v>CAM1</v>
      </c>
      <c r="B4" s="319" t="s">
        <v>843</v>
      </c>
      <c r="D4" t="s">
        <v>869</v>
      </c>
      <c r="F4" t="s">
        <v>871</v>
      </c>
    </row>
    <row r="5" spans="1:8">
      <c r="A5" t="str">
        <f>+_xlfn.XLOOKUP(B5,'AREA Level 1'!C:C,'AREA Level 1'!B:B)</f>
        <v>CAM1</v>
      </c>
      <c r="B5" s="319" t="s">
        <v>843</v>
      </c>
      <c r="D5" t="s">
        <v>872</v>
      </c>
      <c r="F5" t="s">
        <v>873</v>
      </c>
    </row>
    <row r="6" spans="1:8">
      <c r="A6" t="str">
        <f>+_xlfn.XLOOKUP(B6,'AREA Level 1'!C:C,'AREA Level 1'!B:B)</f>
        <v>CAM1</v>
      </c>
      <c r="B6" s="319" t="s">
        <v>843</v>
      </c>
      <c r="D6" t="s">
        <v>874</v>
      </c>
      <c r="F6" t="s">
        <v>875</v>
      </c>
    </row>
    <row r="7" spans="1:8">
      <c r="A7" t="str">
        <f>+_xlfn.XLOOKUP(B7,'AREA Level 1'!C:C,'AREA Level 1'!B:B)</f>
        <v>CAM1</v>
      </c>
      <c r="B7" s="319" t="s">
        <v>843</v>
      </c>
      <c r="D7" t="s">
        <v>874</v>
      </c>
      <c r="F7" t="s">
        <v>876</v>
      </c>
    </row>
    <row r="8" spans="1:8">
      <c r="A8" t="str">
        <f>+_xlfn.XLOOKUP(B8,'AREA Level 1'!C:C,'AREA Level 1'!B:B)</f>
        <v>CAM1</v>
      </c>
      <c r="B8" s="319" t="s">
        <v>843</v>
      </c>
      <c r="D8" t="s">
        <v>877</v>
      </c>
      <c r="F8" t="s">
        <v>878</v>
      </c>
    </row>
    <row r="9" spans="1:8">
      <c r="A9" t="str">
        <f>+_xlfn.XLOOKUP(B9,'AREA Level 1'!C:C,'AREA Level 1'!B:B)</f>
        <v>CAM1</v>
      </c>
      <c r="B9" s="319" t="s">
        <v>843</v>
      </c>
      <c r="D9" t="s">
        <v>877</v>
      </c>
      <c r="F9" t="s">
        <v>879</v>
      </c>
    </row>
    <row r="10" spans="1:8">
      <c r="A10" t="str">
        <f>+_xlfn.XLOOKUP(B10,'AREA Level 1'!C:C,'AREA Level 1'!B:B)</f>
        <v>CAM1</v>
      </c>
      <c r="B10" s="319" t="s">
        <v>843</v>
      </c>
      <c r="D10" t="s">
        <v>872</v>
      </c>
      <c r="F10" t="s">
        <v>880</v>
      </c>
    </row>
    <row r="11" spans="1:8">
      <c r="A11" t="str">
        <f>+_xlfn.XLOOKUP(B11,'AREA Level 1'!C:C,'AREA Level 1'!B:B)</f>
        <v>CAM1</v>
      </c>
      <c r="B11" s="319" t="s">
        <v>843</v>
      </c>
      <c r="D11" t="s">
        <v>877</v>
      </c>
      <c r="F11" t="s">
        <v>881</v>
      </c>
    </row>
    <row r="12" spans="1:8">
      <c r="A12" t="str">
        <f>+_xlfn.XLOOKUP(B12,'AREA Level 1'!C:C,'AREA Level 1'!B:B)</f>
        <v>CAM1</v>
      </c>
      <c r="B12" s="319" t="s">
        <v>843</v>
      </c>
      <c r="D12" t="s">
        <v>869</v>
      </c>
      <c r="F12" t="s">
        <v>882</v>
      </c>
    </row>
    <row r="13" spans="1:8">
      <c r="A13" t="str">
        <f>+_xlfn.XLOOKUP(B13,'AREA Level 1'!C:C,'AREA Level 1'!B:B)</f>
        <v>CAM1</v>
      </c>
      <c r="B13" s="319" t="s">
        <v>843</v>
      </c>
      <c r="D13" t="s">
        <v>872</v>
      </c>
      <c r="F13" t="s">
        <v>883</v>
      </c>
    </row>
    <row r="14" spans="1:8">
      <c r="A14" t="str">
        <f>+_xlfn.XLOOKUP(B14,'AREA Level 1'!C:C,'AREA Level 1'!B:B)</f>
        <v>CAM1</v>
      </c>
      <c r="B14" s="319" t="s">
        <v>843</v>
      </c>
      <c r="D14" t="s">
        <v>874</v>
      </c>
      <c r="F14" t="s">
        <v>884</v>
      </c>
    </row>
    <row r="15" spans="1:8">
      <c r="A15" t="str">
        <f>+_xlfn.XLOOKUP(B15,'AREA Level 1'!C:C,'AREA Level 1'!B:B)</f>
        <v>CAM1</v>
      </c>
      <c r="B15" s="319" t="s">
        <v>843</v>
      </c>
      <c r="D15" t="s">
        <v>872</v>
      </c>
      <c r="F15" t="s">
        <v>885</v>
      </c>
    </row>
    <row r="16" spans="1:8">
      <c r="A16" t="str">
        <f>+_xlfn.XLOOKUP(B16,'AREA Level 1'!C:C,'AREA Level 1'!B:B)</f>
        <v>CAM1</v>
      </c>
      <c r="B16" s="319" t="s">
        <v>843</v>
      </c>
      <c r="D16" t="s">
        <v>874</v>
      </c>
      <c r="F16" t="s">
        <v>886</v>
      </c>
    </row>
    <row r="17" spans="1:6">
      <c r="A17" t="str">
        <f>+_xlfn.XLOOKUP(B17,'AREA Level 1'!C:C,'AREA Level 1'!B:B)</f>
        <v>CAM1</v>
      </c>
      <c r="B17" s="319" t="s">
        <v>843</v>
      </c>
      <c r="D17" t="s">
        <v>887</v>
      </c>
      <c r="F17" t="s">
        <v>888</v>
      </c>
    </row>
    <row r="18" spans="1:6">
      <c r="A18" t="str">
        <f>+_xlfn.XLOOKUP(B18,'AREA Level 1'!C:C,'AREA Level 1'!B:B)</f>
        <v>CAM1</v>
      </c>
      <c r="B18" s="319" t="s">
        <v>843</v>
      </c>
      <c r="D18" t="s">
        <v>872</v>
      </c>
      <c r="F18" t="s">
        <v>889</v>
      </c>
    </row>
    <row r="19" spans="1:6">
      <c r="A19" t="str">
        <f>+_xlfn.XLOOKUP(B19,'AREA Level 1'!C:C,'AREA Level 1'!B:B)</f>
        <v>CAM1</v>
      </c>
      <c r="B19" s="319" t="s">
        <v>843</v>
      </c>
      <c r="D19" t="s">
        <v>872</v>
      </c>
      <c r="F19" t="s">
        <v>890</v>
      </c>
    </row>
    <row r="20" spans="1:6">
      <c r="A20" t="str">
        <f>+_xlfn.XLOOKUP(B20,'AREA Level 1'!C:C,'AREA Level 1'!B:B)</f>
        <v>CAM1</v>
      </c>
      <c r="B20" s="319" t="s">
        <v>843</v>
      </c>
      <c r="D20" t="s">
        <v>872</v>
      </c>
      <c r="F20" t="s">
        <v>891</v>
      </c>
    </row>
    <row r="21" spans="1:6">
      <c r="A21" t="str">
        <f>+_xlfn.XLOOKUP(B21,'AREA Level 1'!C:C,'AREA Level 1'!B:B)</f>
        <v>CAM1</v>
      </c>
      <c r="B21" s="319" t="s">
        <v>843</v>
      </c>
      <c r="D21" t="s">
        <v>872</v>
      </c>
      <c r="F21" t="s">
        <v>892</v>
      </c>
    </row>
    <row r="22" spans="1:6">
      <c r="A22" t="str">
        <f>+_xlfn.XLOOKUP(B22,'AREA Level 1'!C:C,'AREA Level 1'!B:B)</f>
        <v>CAM1</v>
      </c>
      <c r="B22" s="319" t="s">
        <v>843</v>
      </c>
      <c r="D22" t="s">
        <v>887</v>
      </c>
      <c r="F22" t="s">
        <v>893</v>
      </c>
    </row>
    <row r="23" spans="1:6">
      <c r="A23" t="str">
        <f>+_xlfn.XLOOKUP(B23,'AREA Level 1'!C:C,'AREA Level 1'!B:B)</f>
        <v>CAM1</v>
      </c>
      <c r="B23" s="319" t="s">
        <v>843</v>
      </c>
      <c r="D23" t="s">
        <v>877</v>
      </c>
      <c r="F23" t="s">
        <v>894</v>
      </c>
    </row>
    <row r="24" spans="1:6">
      <c r="A24" t="str">
        <f>+_xlfn.XLOOKUP(B24,'AREA Level 1'!C:C,'AREA Level 1'!B:B)</f>
        <v>CAM2</v>
      </c>
      <c r="B24" s="319" t="s">
        <v>845</v>
      </c>
      <c r="D24" t="s">
        <v>895</v>
      </c>
      <c r="F24" t="s">
        <v>896</v>
      </c>
    </row>
    <row r="25" spans="1:6">
      <c r="A25" t="str">
        <f>+_xlfn.XLOOKUP(B25,'AREA Level 1'!C:C,'AREA Level 1'!B:B)</f>
        <v>CAM2</v>
      </c>
      <c r="B25" s="319" t="s">
        <v>845</v>
      </c>
      <c r="D25" t="s">
        <v>897</v>
      </c>
      <c r="F25" t="s">
        <v>898</v>
      </c>
    </row>
    <row r="26" spans="1:6">
      <c r="A26" t="str">
        <f>+_xlfn.XLOOKUP(B26,'AREA Level 1'!C:C,'AREA Level 1'!B:B)</f>
        <v>CAM2</v>
      </c>
      <c r="B26" s="319" t="s">
        <v>845</v>
      </c>
      <c r="D26" t="s">
        <v>899</v>
      </c>
      <c r="F26" t="s">
        <v>900</v>
      </c>
    </row>
    <row r="27" spans="1:6">
      <c r="A27" t="str">
        <f>+_xlfn.XLOOKUP(B27,'AREA Level 1'!C:C,'AREA Level 1'!B:B)</f>
        <v>CAM2</v>
      </c>
      <c r="B27" s="319" t="s">
        <v>845</v>
      </c>
      <c r="D27" t="s">
        <v>901</v>
      </c>
      <c r="F27" t="s">
        <v>902</v>
      </c>
    </row>
    <row r="28" spans="1:6">
      <c r="A28" t="str">
        <f>+_xlfn.XLOOKUP(B28,'AREA Level 1'!C:C,'AREA Level 1'!B:B)</f>
        <v>CAM2</v>
      </c>
      <c r="B28" s="319" t="s">
        <v>845</v>
      </c>
      <c r="D28" t="s">
        <v>895</v>
      </c>
      <c r="F28" t="s">
        <v>903</v>
      </c>
    </row>
    <row r="29" spans="1:6">
      <c r="A29" t="str">
        <f>+_xlfn.XLOOKUP(B29,'AREA Level 1'!C:C,'AREA Level 1'!B:B)</f>
        <v>CAM2</v>
      </c>
      <c r="B29" s="319" t="s">
        <v>845</v>
      </c>
      <c r="D29" t="s">
        <v>895</v>
      </c>
      <c r="F29" t="s">
        <v>904</v>
      </c>
    </row>
    <row r="30" spans="1:6">
      <c r="A30" t="str">
        <f>+_xlfn.XLOOKUP(B30,'AREA Level 1'!C:C,'AREA Level 1'!B:B)</f>
        <v>CAM2</v>
      </c>
      <c r="B30" s="319" t="s">
        <v>845</v>
      </c>
      <c r="D30" t="s">
        <v>901</v>
      </c>
      <c r="F30" t="s">
        <v>905</v>
      </c>
    </row>
    <row r="31" spans="1:6">
      <c r="A31" t="str">
        <f>+_xlfn.XLOOKUP(B31,'AREA Level 1'!C:C,'AREA Level 1'!B:B)</f>
        <v>CAM2</v>
      </c>
      <c r="B31" s="319" t="s">
        <v>845</v>
      </c>
      <c r="D31" t="s">
        <v>906</v>
      </c>
      <c r="F31" t="s">
        <v>907</v>
      </c>
    </row>
    <row r="32" spans="1:6">
      <c r="A32" t="str">
        <f>+_xlfn.XLOOKUP(B32,'AREA Level 1'!C:C,'AREA Level 1'!B:B)</f>
        <v>CAM2</v>
      </c>
      <c r="B32" s="319" t="s">
        <v>845</v>
      </c>
      <c r="D32" t="s">
        <v>908</v>
      </c>
      <c r="F32" t="s">
        <v>909</v>
      </c>
    </row>
    <row r="33" spans="1:6">
      <c r="A33" t="str">
        <f>+_xlfn.XLOOKUP(B33,'AREA Level 1'!C:C,'AREA Level 1'!B:B)</f>
        <v>CAM2</v>
      </c>
      <c r="B33" s="319" t="s">
        <v>845</v>
      </c>
      <c r="D33" t="s">
        <v>910</v>
      </c>
      <c r="F33" t="s">
        <v>911</v>
      </c>
    </row>
    <row r="34" spans="1:6">
      <c r="A34" t="str">
        <f>+_xlfn.XLOOKUP(B34,'AREA Level 1'!C:C,'AREA Level 1'!B:B)</f>
        <v>CAM2</v>
      </c>
      <c r="B34" s="319" t="s">
        <v>845</v>
      </c>
      <c r="D34" t="s">
        <v>899</v>
      </c>
      <c r="F34" t="s">
        <v>912</v>
      </c>
    </row>
    <row r="35" spans="1:6">
      <c r="A35" t="str">
        <f>+_xlfn.XLOOKUP(B35,'AREA Level 1'!C:C,'AREA Level 1'!B:B)</f>
        <v>CAM2</v>
      </c>
      <c r="B35" s="319" t="s">
        <v>845</v>
      </c>
      <c r="D35" t="s">
        <v>913</v>
      </c>
      <c r="F35" t="s">
        <v>914</v>
      </c>
    </row>
    <row r="36" spans="1:6">
      <c r="A36" t="str">
        <f>+_xlfn.XLOOKUP(B36,'AREA Level 1'!C:C,'AREA Level 1'!B:B)</f>
        <v>CAM2</v>
      </c>
      <c r="B36" s="319" t="s">
        <v>845</v>
      </c>
      <c r="D36" t="s">
        <v>906</v>
      </c>
      <c r="F36" t="s">
        <v>915</v>
      </c>
    </row>
    <row r="37" spans="1:6">
      <c r="A37" t="str">
        <f>+_xlfn.XLOOKUP(B37,'AREA Level 1'!C:C,'AREA Level 1'!B:B)</f>
        <v>CAM2</v>
      </c>
      <c r="B37" s="319" t="s">
        <v>845</v>
      </c>
      <c r="D37" t="s">
        <v>913</v>
      </c>
      <c r="F37" t="s">
        <v>916</v>
      </c>
    </row>
    <row r="38" spans="1:6">
      <c r="A38" t="str">
        <f>+_xlfn.XLOOKUP(B38,'AREA Level 1'!C:C,'AREA Level 1'!B:B)</f>
        <v>CAM2</v>
      </c>
      <c r="B38" s="319" t="s">
        <v>845</v>
      </c>
      <c r="D38" t="s">
        <v>913</v>
      </c>
      <c r="F38" t="s">
        <v>917</v>
      </c>
    </row>
    <row r="39" spans="1:6">
      <c r="A39" t="str">
        <f>+_xlfn.XLOOKUP(B39,'AREA Level 1'!C:C,'AREA Level 1'!B:B)</f>
        <v>CAM2</v>
      </c>
      <c r="B39" s="319" t="s">
        <v>845</v>
      </c>
      <c r="D39" t="s">
        <v>906</v>
      </c>
      <c r="F39" t="s">
        <v>918</v>
      </c>
    </row>
    <row r="40" spans="1:6">
      <c r="A40" t="str">
        <f>+_xlfn.XLOOKUP(B40,'AREA Level 1'!C:C,'AREA Level 1'!B:B)</f>
        <v>CAM2</v>
      </c>
      <c r="B40" s="319" t="s">
        <v>845</v>
      </c>
      <c r="D40" t="s">
        <v>913</v>
      </c>
      <c r="F40" t="s">
        <v>919</v>
      </c>
    </row>
    <row r="41" spans="1:6">
      <c r="A41" t="str">
        <f>+_xlfn.XLOOKUP(B41,'AREA Level 1'!C:C,'AREA Level 1'!B:B)</f>
        <v>CAM2</v>
      </c>
      <c r="B41" s="319" t="s">
        <v>845</v>
      </c>
      <c r="D41" t="s">
        <v>897</v>
      </c>
      <c r="F41" t="s">
        <v>920</v>
      </c>
    </row>
    <row r="42" spans="1:6">
      <c r="A42" t="str">
        <f>+_xlfn.XLOOKUP(B42,'AREA Level 1'!C:C,'AREA Level 1'!B:B)</f>
        <v>CAM2</v>
      </c>
      <c r="B42" s="319" t="s">
        <v>845</v>
      </c>
      <c r="D42" t="s">
        <v>908</v>
      </c>
      <c r="F42" t="s">
        <v>921</v>
      </c>
    </row>
    <row r="43" spans="1:6">
      <c r="A43" t="str">
        <f>+_xlfn.XLOOKUP(B43,'AREA Level 1'!C:C,'AREA Level 1'!B:B)</f>
        <v>CAM2</v>
      </c>
      <c r="B43" s="319" t="s">
        <v>845</v>
      </c>
      <c r="D43" t="s">
        <v>895</v>
      </c>
      <c r="F43" t="s">
        <v>922</v>
      </c>
    </row>
    <row r="44" spans="1:6">
      <c r="A44" t="str">
        <f>+_xlfn.XLOOKUP(B44,'AREA Level 1'!C:C,'AREA Level 1'!B:B)</f>
        <v>CAM2</v>
      </c>
      <c r="B44" s="319" t="s">
        <v>845</v>
      </c>
      <c r="D44" t="s">
        <v>908</v>
      </c>
      <c r="F44" t="s">
        <v>923</v>
      </c>
    </row>
    <row r="45" spans="1:6">
      <c r="A45" t="str">
        <f>+_xlfn.XLOOKUP(B45,'AREA Level 1'!C:C,'AREA Level 1'!B:B)</f>
        <v>CAM2</v>
      </c>
      <c r="B45" s="319" t="s">
        <v>845</v>
      </c>
      <c r="D45" t="s">
        <v>901</v>
      </c>
      <c r="F45" t="s">
        <v>924</v>
      </c>
    </row>
    <row r="46" spans="1:6">
      <c r="A46" t="str">
        <f>+_xlfn.XLOOKUP(B46,'AREA Level 1'!C:C,'AREA Level 1'!B:B)</f>
        <v>CAM2</v>
      </c>
      <c r="B46" s="319" t="s">
        <v>845</v>
      </c>
      <c r="D46" t="s">
        <v>913</v>
      </c>
      <c r="F46" t="s">
        <v>925</v>
      </c>
    </row>
    <row r="47" spans="1:6">
      <c r="A47" t="str">
        <f>+_xlfn.XLOOKUP(B47,'AREA Level 1'!C:C,'AREA Level 1'!B:B)</f>
        <v>CAM2</v>
      </c>
      <c r="B47" s="319" t="s">
        <v>845</v>
      </c>
      <c r="D47" t="s">
        <v>895</v>
      </c>
      <c r="F47" t="s">
        <v>926</v>
      </c>
    </row>
    <row r="48" spans="1:6">
      <c r="A48" t="str">
        <f>+_xlfn.XLOOKUP(B48,'AREA Level 1'!C:C,'AREA Level 1'!B:B)</f>
        <v>CAM2</v>
      </c>
      <c r="B48" s="319" t="s">
        <v>845</v>
      </c>
      <c r="D48" t="s">
        <v>908</v>
      </c>
      <c r="F48" t="s">
        <v>927</v>
      </c>
    </row>
    <row r="49" spans="1:6">
      <c r="A49" t="str">
        <f>+_xlfn.XLOOKUP(B49,'AREA Level 1'!C:C,'AREA Level 1'!B:B)</f>
        <v>CAM2</v>
      </c>
      <c r="B49" s="319" t="s">
        <v>845</v>
      </c>
      <c r="D49" t="s">
        <v>906</v>
      </c>
      <c r="F49" t="s">
        <v>928</v>
      </c>
    </row>
    <row r="50" spans="1:6">
      <c r="A50" t="str">
        <f>+_xlfn.XLOOKUP(B50,'AREA Level 1'!C:C,'AREA Level 1'!B:B)</f>
        <v>CAM2</v>
      </c>
      <c r="B50" s="319" t="s">
        <v>845</v>
      </c>
      <c r="D50" t="s">
        <v>906</v>
      </c>
      <c r="F50" t="s">
        <v>929</v>
      </c>
    </row>
    <row r="51" spans="1:6">
      <c r="A51" t="str">
        <f>+_xlfn.XLOOKUP(B51,'AREA Level 1'!C:C,'AREA Level 1'!B:B)</f>
        <v>CAM2</v>
      </c>
      <c r="B51" s="319" t="s">
        <v>845</v>
      </c>
      <c r="D51" t="s">
        <v>910</v>
      </c>
      <c r="F51" t="s">
        <v>930</v>
      </c>
    </row>
    <row r="52" spans="1:6">
      <c r="A52" t="str">
        <f>+_xlfn.XLOOKUP(B52,'AREA Level 1'!C:C,'AREA Level 1'!B:B)</f>
        <v>CAM2</v>
      </c>
      <c r="B52" s="319" t="s">
        <v>845</v>
      </c>
      <c r="D52" t="s">
        <v>908</v>
      </c>
      <c r="F52" t="s">
        <v>931</v>
      </c>
    </row>
    <row r="53" spans="1:6">
      <c r="A53" t="str">
        <f>+_xlfn.XLOOKUP(B53,'AREA Level 1'!C:C,'AREA Level 1'!B:B)</f>
        <v>CAM2</v>
      </c>
      <c r="B53" s="319" t="s">
        <v>845</v>
      </c>
      <c r="D53" t="s">
        <v>913</v>
      </c>
      <c r="F53" t="s">
        <v>932</v>
      </c>
    </row>
    <row r="54" spans="1:6">
      <c r="A54" t="str">
        <f>+_xlfn.XLOOKUP(B54,'AREA Level 1'!C:C,'AREA Level 1'!B:B)</f>
        <v>CAM2</v>
      </c>
      <c r="B54" s="319" t="s">
        <v>845</v>
      </c>
      <c r="D54" t="s">
        <v>906</v>
      </c>
      <c r="F54" t="s">
        <v>933</v>
      </c>
    </row>
    <row r="55" spans="1:6">
      <c r="A55" t="str">
        <f>+_xlfn.XLOOKUP(B55,'AREA Level 1'!C:C,'AREA Level 1'!B:B)</f>
        <v>CAM2</v>
      </c>
      <c r="B55" s="319" t="s">
        <v>845</v>
      </c>
      <c r="D55" t="s">
        <v>913</v>
      </c>
      <c r="F55" t="s">
        <v>934</v>
      </c>
    </row>
    <row r="56" spans="1:6">
      <c r="A56" t="str">
        <f>+_xlfn.XLOOKUP(B56,'AREA Level 1'!C:C,'AREA Level 1'!B:B)</f>
        <v>CAM2</v>
      </c>
      <c r="B56" s="319" t="s">
        <v>845</v>
      </c>
      <c r="D56" t="s">
        <v>897</v>
      </c>
      <c r="F56" t="s">
        <v>935</v>
      </c>
    </row>
    <row r="57" spans="1:6">
      <c r="A57" t="str">
        <f>+_xlfn.XLOOKUP(B57,'AREA Level 1'!C:C,'AREA Level 1'!B:B)</f>
        <v>CAM2</v>
      </c>
      <c r="B57" s="319" t="s">
        <v>845</v>
      </c>
      <c r="D57" t="s">
        <v>910</v>
      </c>
      <c r="F57" t="s">
        <v>936</v>
      </c>
    </row>
    <row r="58" spans="1:6">
      <c r="A58" t="str">
        <f>+_xlfn.XLOOKUP(B58,'AREA Level 1'!C:C,'AREA Level 1'!B:B)</f>
        <v>CAM2</v>
      </c>
      <c r="B58" s="319" t="s">
        <v>845</v>
      </c>
      <c r="D58" t="s">
        <v>937</v>
      </c>
      <c r="F58" t="s">
        <v>938</v>
      </c>
    </row>
    <row r="59" spans="1:6">
      <c r="A59" t="str">
        <f>+_xlfn.XLOOKUP(B59,'AREA Level 1'!C:C,'AREA Level 1'!B:B)</f>
        <v>CAM2</v>
      </c>
      <c r="B59" s="319" t="s">
        <v>845</v>
      </c>
      <c r="D59" t="s">
        <v>899</v>
      </c>
      <c r="F59" t="s">
        <v>939</v>
      </c>
    </row>
    <row r="60" spans="1:6">
      <c r="A60" t="str">
        <f>+_xlfn.XLOOKUP(B60,'AREA Level 1'!C:C,'AREA Level 1'!B:B)</f>
        <v>CAM2</v>
      </c>
      <c r="B60" s="319" t="s">
        <v>845</v>
      </c>
      <c r="D60" t="s">
        <v>901</v>
      </c>
      <c r="F60" t="s">
        <v>940</v>
      </c>
    </row>
    <row r="61" spans="1:6">
      <c r="A61" t="str">
        <f>+_xlfn.XLOOKUP(B61,'AREA Level 1'!C:C,'AREA Level 1'!B:B)</f>
        <v>CAM2</v>
      </c>
      <c r="B61" s="319" t="s">
        <v>845</v>
      </c>
      <c r="D61" t="s">
        <v>897</v>
      </c>
      <c r="F61" t="s">
        <v>941</v>
      </c>
    </row>
    <row r="62" spans="1:6">
      <c r="A62" t="str">
        <f>+_xlfn.XLOOKUP(B62,'AREA Level 1'!C:C,'AREA Level 1'!B:B)</f>
        <v>CAM2</v>
      </c>
      <c r="B62" s="319" t="s">
        <v>845</v>
      </c>
      <c r="D62" t="s">
        <v>913</v>
      </c>
      <c r="F62" t="s">
        <v>942</v>
      </c>
    </row>
    <row r="63" spans="1:6">
      <c r="A63" t="str">
        <f>+_xlfn.XLOOKUP(B63,'AREA Level 1'!C:C,'AREA Level 1'!B:B)</f>
        <v>CAM2</v>
      </c>
      <c r="B63" s="319" t="s">
        <v>845</v>
      </c>
      <c r="D63" t="s">
        <v>895</v>
      </c>
      <c r="F63" t="s">
        <v>943</v>
      </c>
    </row>
    <row r="64" spans="1:6">
      <c r="A64" t="str">
        <f>+_xlfn.XLOOKUP(B64,'AREA Level 1'!C:C,'AREA Level 1'!B:B)</f>
        <v>CAM2</v>
      </c>
      <c r="B64" s="319" t="s">
        <v>845</v>
      </c>
      <c r="D64" t="s">
        <v>910</v>
      </c>
      <c r="F64" t="s">
        <v>944</v>
      </c>
    </row>
    <row r="65" spans="1:6">
      <c r="A65" t="str">
        <f>+_xlfn.XLOOKUP(B65,'AREA Level 1'!C:C,'AREA Level 1'!B:B)</f>
        <v>CAM2</v>
      </c>
      <c r="B65" s="319" t="s">
        <v>845</v>
      </c>
      <c r="D65" t="s">
        <v>908</v>
      </c>
      <c r="F65" t="s">
        <v>945</v>
      </c>
    </row>
    <row r="66" spans="1:6">
      <c r="A66" t="str">
        <f>+_xlfn.XLOOKUP(B66,'AREA Level 1'!C:C,'AREA Level 1'!B:B)</f>
        <v>CAM2</v>
      </c>
      <c r="B66" s="319" t="s">
        <v>845</v>
      </c>
      <c r="D66" t="s">
        <v>910</v>
      </c>
      <c r="F66" t="s">
        <v>946</v>
      </c>
    </row>
    <row r="67" spans="1:6">
      <c r="A67" t="str">
        <f>+_xlfn.XLOOKUP(B67,'AREA Level 1'!C:C,'AREA Level 1'!B:B)</f>
        <v>CAM2</v>
      </c>
      <c r="B67" s="319" t="s">
        <v>845</v>
      </c>
      <c r="D67" t="s">
        <v>906</v>
      </c>
      <c r="F67" t="s">
        <v>947</v>
      </c>
    </row>
    <row r="68" spans="1:6">
      <c r="A68" t="str">
        <f>+_xlfn.XLOOKUP(B68,'AREA Level 1'!C:C,'AREA Level 1'!B:B)</f>
        <v>CAM2</v>
      </c>
      <c r="B68" s="319" t="s">
        <v>845</v>
      </c>
      <c r="D68" t="s">
        <v>937</v>
      </c>
      <c r="F68" t="s">
        <v>948</v>
      </c>
    </row>
    <row r="69" spans="1:6">
      <c r="A69" t="str">
        <f>+_xlfn.XLOOKUP(B69,'AREA Level 1'!C:C,'AREA Level 1'!B:B)</f>
        <v>CAM2</v>
      </c>
      <c r="B69" s="319" t="s">
        <v>845</v>
      </c>
      <c r="D69" t="s">
        <v>913</v>
      </c>
      <c r="F69" t="s">
        <v>949</v>
      </c>
    </row>
    <row r="70" spans="1:6">
      <c r="A70" t="str">
        <f>+_xlfn.XLOOKUP(B70,'AREA Level 1'!C:C,'AREA Level 1'!B:B)</f>
        <v>CAM2</v>
      </c>
      <c r="B70" s="319" t="s">
        <v>845</v>
      </c>
      <c r="D70" t="s">
        <v>897</v>
      </c>
      <c r="F70" t="s">
        <v>950</v>
      </c>
    </row>
    <row r="71" spans="1:6">
      <c r="A71" t="str">
        <f>+_xlfn.XLOOKUP(B71,'AREA Level 1'!C:C,'AREA Level 1'!B:B)</f>
        <v>CAM2</v>
      </c>
      <c r="B71" s="319" t="s">
        <v>845</v>
      </c>
      <c r="D71" t="s">
        <v>937</v>
      </c>
      <c r="F71" t="s">
        <v>951</v>
      </c>
    </row>
    <row r="72" spans="1:6">
      <c r="A72" t="str">
        <f>+_xlfn.XLOOKUP(B72,'AREA Level 1'!C:C,'AREA Level 1'!B:B)</f>
        <v>CAM2</v>
      </c>
      <c r="B72" s="319" t="s">
        <v>845</v>
      </c>
      <c r="D72" t="s">
        <v>899</v>
      </c>
      <c r="F72" t="s">
        <v>952</v>
      </c>
    </row>
    <row r="73" spans="1:6">
      <c r="A73" t="str">
        <f>+_xlfn.XLOOKUP(B73,'AREA Level 1'!C:C,'AREA Level 1'!B:B)</f>
        <v>CAM2</v>
      </c>
      <c r="B73" s="319" t="s">
        <v>845</v>
      </c>
      <c r="D73" t="s">
        <v>913</v>
      </c>
      <c r="F73" t="s">
        <v>953</v>
      </c>
    </row>
    <row r="74" spans="1:6">
      <c r="A74" t="str">
        <f>+_xlfn.XLOOKUP(B74,'AREA Level 1'!C:C,'AREA Level 1'!B:B)</f>
        <v>CAM2</v>
      </c>
      <c r="B74" s="319" t="s">
        <v>845</v>
      </c>
      <c r="D74" t="s">
        <v>906</v>
      </c>
      <c r="F74" t="s">
        <v>954</v>
      </c>
    </row>
    <row r="75" spans="1:6">
      <c r="A75" t="str">
        <f>+_xlfn.XLOOKUP(B75,'AREA Level 1'!C:C,'AREA Level 1'!B:B)</f>
        <v>CAM2</v>
      </c>
      <c r="B75" s="319" t="s">
        <v>845</v>
      </c>
      <c r="D75" t="s">
        <v>895</v>
      </c>
      <c r="F75" t="s">
        <v>955</v>
      </c>
    </row>
    <row r="76" spans="1:6">
      <c r="A76" t="str">
        <f>+_xlfn.XLOOKUP(B76,'AREA Level 1'!C:C,'AREA Level 1'!B:B)</f>
        <v>CAM2</v>
      </c>
      <c r="B76" s="319" t="s">
        <v>845</v>
      </c>
      <c r="D76" t="s">
        <v>897</v>
      </c>
      <c r="F76" t="s">
        <v>956</v>
      </c>
    </row>
    <row r="77" spans="1:6">
      <c r="A77" t="str">
        <f>+_xlfn.XLOOKUP(B77,'AREA Level 1'!C:C,'AREA Level 1'!B:B)</f>
        <v>CAM2</v>
      </c>
      <c r="B77" s="319" t="s">
        <v>845</v>
      </c>
      <c r="D77" t="s">
        <v>910</v>
      </c>
      <c r="F77" t="s">
        <v>957</v>
      </c>
    </row>
    <row r="78" spans="1:6">
      <c r="A78" t="str">
        <f>+_xlfn.XLOOKUP(B78,'AREA Level 1'!C:C,'AREA Level 1'!B:B)</f>
        <v>CAM2</v>
      </c>
      <c r="B78" s="319" t="s">
        <v>845</v>
      </c>
      <c r="D78" t="s">
        <v>910</v>
      </c>
      <c r="F78" t="s">
        <v>958</v>
      </c>
    </row>
    <row r="79" spans="1:6">
      <c r="A79" t="str">
        <f>+_xlfn.XLOOKUP(B79,'AREA Level 1'!C:C,'AREA Level 1'!B:B)</f>
        <v>CAM2</v>
      </c>
      <c r="B79" s="319" t="s">
        <v>845</v>
      </c>
      <c r="D79" t="s">
        <v>937</v>
      </c>
      <c r="F79" t="s">
        <v>959</v>
      </c>
    </row>
    <row r="80" spans="1:6">
      <c r="A80" t="str">
        <f>+_xlfn.XLOOKUP(B80,'AREA Level 1'!C:C,'AREA Level 1'!B:B)</f>
        <v>CAM2</v>
      </c>
      <c r="B80" s="319" t="s">
        <v>845</v>
      </c>
      <c r="D80" t="s">
        <v>901</v>
      </c>
      <c r="F80" t="s">
        <v>960</v>
      </c>
    </row>
    <row r="81" spans="1:6">
      <c r="A81" t="str">
        <f>+_xlfn.XLOOKUP(B81,'AREA Level 1'!C:C,'AREA Level 1'!B:B)</f>
        <v>CAM2</v>
      </c>
      <c r="B81" s="319" t="s">
        <v>845</v>
      </c>
      <c r="D81" t="s">
        <v>908</v>
      </c>
      <c r="F81" t="s">
        <v>961</v>
      </c>
    </row>
    <row r="82" spans="1:6">
      <c r="A82" t="str">
        <f>+_xlfn.XLOOKUP(B82,'AREA Level 1'!C:C,'AREA Level 1'!B:B)</f>
        <v>CAM2</v>
      </c>
      <c r="B82" s="319" t="s">
        <v>845</v>
      </c>
      <c r="D82" t="s">
        <v>908</v>
      </c>
      <c r="F82" t="s">
        <v>962</v>
      </c>
    </row>
    <row r="83" spans="1:6">
      <c r="A83" t="str">
        <f>+_xlfn.XLOOKUP(B83,'AREA Level 1'!C:C,'AREA Level 1'!B:B)</f>
        <v>CAM2</v>
      </c>
      <c r="B83" s="319" t="s">
        <v>845</v>
      </c>
      <c r="D83" t="s">
        <v>906</v>
      </c>
      <c r="F83" t="s">
        <v>963</v>
      </c>
    </row>
    <row r="84" spans="1:6">
      <c r="A84" t="str">
        <f>+_xlfn.XLOOKUP(B84,'AREA Level 1'!C:C,'AREA Level 1'!B:B)</f>
        <v>CAM2</v>
      </c>
      <c r="B84" s="319" t="s">
        <v>845</v>
      </c>
      <c r="D84" t="s">
        <v>908</v>
      </c>
      <c r="F84" t="s">
        <v>964</v>
      </c>
    </row>
    <row r="85" spans="1:6">
      <c r="A85" t="str">
        <f>+_xlfn.XLOOKUP(B85,'AREA Level 1'!C:C,'AREA Level 1'!B:B)</f>
        <v>CAM2</v>
      </c>
      <c r="B85" s="319" t="s">
        <v>845</v>
      </c>
      <c r="D85" t="s">
        <v>895</v>
      </c>
      <c r="F85" t="s">
        <v>965</v>
      </c>
    </row>
    <row r="86" spans="1:6">
      <c r="A86" t="str">
        <f>+_xlfn.XLOOKUP(B86,'AREA Level 1'!C:C,'AREA Level 1'!B:B)</f>
        <v>CAM2</v>
      </c>
      <c r="B86" s="319" t="s">
        <v>845</v>
      </c>
      <c r="D86" t="s">
        <v>966</v>
      </c>
      <c r="F86" t="s">
        <v>967</v>
      </c>
    </row>
    <row r="87" spans="1:6">
      <c r="A87" t="str">
        <f>+_xlfn.XLOOKUP(B87,'AREA Level 1'!C:C,'AREA Level 1'!B:B)</f>
        <v>CAM2</v>
      </c>
      <c r="B87" s="319" t="s">
        <v>845</v>
      </c>
      <c r="D87" t="s">
        <v>966</v>
      </c>
      <c r="F87" t="s">
        <v>968</v>
      </c>
    </row>
    <row r="88" spans="1:6">
      <c r="A88" t="str">
        <f>+_xlfn.XLOOKUP(B88,'AREA Level 1'!C:C,'AREA Level 1'!B:B)</f>
        <v>CAM2</v>
      </c>
      <c r="B88" s="319" t="s">
        <v>845</v>
      </c>
      <c r="D88" t="s">
        <v>966</v>
      </c>
      <c r="F88" t="s">
        <v>969</v>
      </c>
    </row>
    <row r="89" spans="1:6">
      <c r="A89" t="str">
        <f>+_xlfn.XLOOKUP(B89,'AREA Level 1'!C:C,'AREA Level 1'!B:B)</f>
        <v>CAM2</v>
      </c>
      <c r="B89" s="319" t="s">
        <v>845</v>
      </c>
      <c r="D89" t="s">
        <v>966</v>
      </c>
      <c r="F89" t="s">
        <v>970</v>
      </c>
    </row>
    <row r="90" spans="1:6">
      <c r="A90" t="str">
        <f>+_xlfn.XLOOKUP(B90,'AREA Level 1'!C:C,'AREA Level 1'!B:B)</f>
        <v>CAM2</v>
      </c>
      <c r="B90" s="319" t="s">
        <v>845</v>
      </c>
      <c r="D90" t="s">
        <v>966</v>
      </c>
      <c r="F90" t="s">
        <v>971</v>
      </c>
    </row>
    <row r="91" spans="1:6">
      <c r="A91" t="str">
        <f>+_xlfn.XLOOKUP(B91,'AREA Level 1'!C:C,'AREA Level 1'!B:B)</f>
        <v>CAM2</v>
      </c>
      <c r="B91" s="319" t="s">
        <v>845</v>
      </c>
      <c r="D91" t="s">
        <v>966</v>
      </c>
      <c r="F91" t="s">
        <v>972</v>
      </c>
    </row>
    <row r="92" spans="1:6">
      <c r="A92" t="str">
        <f>+_xlfn.XLOOKUP(B92,'AREA Level 1'!C:C,'AREA Level 1'!B:B)</f>
        <v>CAM2</v>
      </c>
      <c r="B92" s="319" t="s">
        <v>845</v>
      </c>
      <c r="D92" t="s">
        <v>966</v>
      </c>
      <c r="F92" t="s">
        <v>973</v>
      </c>
    </row>
    <row r="93" spans="1:6">
      <c r="A93" t="str">
        <f>+_xlfn.XLOOKUP(B93,'AREA Level 1'!C:C,'AREA Level 1'!B:B)</f>
        <v>CAM2</v>
      </c>
      <c r="B93" s="319" t="s">
        <v>845</v>
      </c>
      <c r="D93" t="s">
        <v>937</v>
      </c>
      <c r="F93" t="s">
        <v>974</v>
      </c>
    </row>
    <row r="94" spans="1:6">
      <c r="A94" t="str">
        <f>+_xlfn.XLOOKUP(B94,'AREA Level 1'!C:C,'AREA Level 1'!B:B)</f>
        <v>CAM3</v>
      </c>
      <c r="B94" s="319" t="s">
        <v>847</v>
      </c>
      <c r="D94" t="s">
        <v>975</v>
      </c>
      <c r="F94" t="s">
        <v>976</v>
      </c>
    </row>
    <row r="95" spans="1:6">
      <c r="A95" t="str">
        <f>+_xlfn.XLOOKUP(B95,'AREA Level 1'!C:C,'AREA Level 1'!B:B)</f>
        <v>CAM3</v>
      </c>
      <c r="B95" s="319" t="s">
        <v>847</v>
      </c>
      <c r="D95" t="s">
        <v>977</v>
      </c>
      <c r="F95" t="s">
        <v>978</v>
      </c>
    </row>
    <row r="96" spans="1:6">
      <c r="A96" t="str">
        <f>+_xlfn.XLOOKUP(B96,'AREA Level 1'!C:C,'AREA Level 1'!B:B)</f>
        <v>CAM3</v>
      </c>
      <c r="B96" s="319" t="s">
        <v>847</v>
      </c>
      <c r="D96" t="s">
        <v>975</v>
      </c>
      <c r="F96" t="s">
        <v>979</v>
      </c>
    </row>
    <row r="97" spans="1:6">
      <c r="A97" t="str">
        <f>+_xlfn.XLOOKUP(B97,'AREA Level 1'!C:C,'AREA Level 1'!B:B)</f>
        <v>CAM3</v>
      </c>
      <c r="B97" s="319" t="s">
        <v>847</v>
      </c>
      <c r="D97" t="s">
        <v>977</v>
      </c>
      <c r="F97" t="s">
        <v>980</v>
      </c>
    </row>
    <row r="98" spans="1:6">
      <c r="A98" t="str">
        <f>+_xlfn.XLOOKUP(B98,'AREA Level 1'!C:C,'AREA Level 1'!B:B)</f>
        <v>CAM3</v>
      </c>
      <c r="B98" s="319" t="s">
        <v>847</v>
      </c>
      <c r="D98" t="s">
        <v>975</v>
      </c>
      <c r="F98" t="s">
        <v>981</v>
      </c>
    </row>
    <row r="99" spans="1:6">
      <c r="A99" t="str">
        <f>+_xlfn.XLOOKUP(B99,'AREA Level 1'!C:C,'AREA Level 1'!B:B)</f>
        <v>CAM3</v>
      </c>
      <c r="B99" s="319" t="s">
        <v>847</v>
      </c>
      <c r="D99" t="s">
        <v>982</v>
      </c>
      <c r="F99" t="s">
        <v>983</v>
      </c>
    </row>
    <row r="100" spans="1:6">
      <c r="A100" t="str">
        <f>+_xlfn.XLOOKUP(B100,'AREA Level 1'!C:C,'AREA Level 1'!B:B)</f>
        <v>CAM3</v>
      </c>
      <c r="B100" s="319" t="s">
        <v>847</v>
      </c>
      <c r="D100" t="s">
        <v>982</v>
      </c>
      <c r="F100" t="s">
        <v>984</v>
      </c>
    </row>
    <row r="101" spans="1:6">
      <c r="A101" t="str">
        <f>+_xlfn.XLOOKUP(B101,'AREA Level 1'!C:C,'AREA Level 1'!B:B)</f>
        <v>CAM3</v>
      </c>
      <c r="B101" s="319" t="s">
        <v>847</v>
      </c>
      <c r="D101" t="s">
        <v>982</v>
      </c>
      <c r="F101" t="s">
        <v>985</v>
      </c>
    </row>
    <row r="102" spans="1:6">
      <c r="A102" t="str">
        <f>+_xlfn.XLOOKUP(B102,'AREA Level 1'!C:C,'AREA Level 1'!B:B)</f>
        <v>CAM3</v>
      </c>
      <c r="B102" s="319" t="s">
        <v>847</v>
      </c>
      <c r="D102" t="s">
        <v>982</v>
      </c>
      <c r="F102" t="s">
        <v>986</v>
      </c>
    </row>
    <row r="103" spans="1:6">
      <c r="A103" t="str">
        <f>+_xlfn.XLOOKUP(B103,'AREA Level 1'!C:C,'AREA Level 1'!B:B)</f>
        <v>CAM3</v>
      </c>
      <c r="B103" s="319" t="s">
        <v>847</v>
      </c>
      <c r="D103" t="s">
        <v>977</v>
      </c>
      <c r="F103" t="s">
        <v>987</v>
      </c>
    </row>
    <row r="104" spans="1:6">
      <c r="A104" t="str">
        <f>+_xlfn.XLOOKUP(B104,'AREA Level 1'!C:C,'AREA Level 1'!B:B)</f>
        <v>CAM3</v>
      </c>
      <c r="B104" s="319" t="s">
        <v>847</v>
      </c>
      <c r="D104" t="s">
        <v>982</v>
      </c>
      <c r="F104" t="s">
        <v>988</v>
      </c>
    </row>
    <row r="105" spans="1:6">
      <c r="A105" t="str">
        <f>+_xlfn.XLOOKUP(B105,'AREA Level 1'!C:C,'AREA Level 1'!B:B)</f>
        <v>CAM3</v>
      </c>
      <c r="B105" s="319" t="s">
        <v>847</v>
      </c>
      <c r="D105" t="s">
        <v>975</v>
      </c>
      <c r="F105" t="s">
        <v>989</v>
      </c>
    </row>
    <row r="106" spans="1:6">
      <c r="A106" t="str">
        <f>+_xlfn.XLOOKUP(B106,'AREA Level 1'!C:C,'AREA Level 1'!B:B)</f>
        <v>CAM3</v>
      </c>
      <c r="B106" s="319" t="s">
        <v>847</v>
      </c>
      <c r="D106" t="s">
        <v>975</v>
      </c>
      <c r="F106" t="s">
        <v>990</v>
      </c>
    </row>
    <row r="107" spans="1:6">
      <c r="A107" t="str">
        <f>+_xlfn.XLOOKUP(B107,'AREA Level 1'!C:C,'AREA Level 1'!B:B)</f>
        <v>CAM3</v>
      </c>
      <c r="B107" s="319" t="s">
        <v>847</v>
      </c>
      <c r="D107" t="s">
        <v>975</v>
      </c>
      <c r="F107" t="s">
        <v>991</v>
      </c>
    </row>
    <row r="108" spans="1:6">
      <c r="A108" t="str">
        <f>+_xlfn.XLOOKUP(B108,'AREA Level 1'!C:C,'AREA Level 1'!B:B)</f>
        <v>CAM3</v>
      </c>
      <c r="B108" s="319" t="s">
        <v>847</v>
      </c>
      <c r="D108" t="s">
        <v>992</v>
      </c>
      <c r="F108" t="s">
        <v>993</v>
      </c>
    </row>
    <row r="109" spans="1:6">
      <c r="A109" t="str">
        <f>+_xlfn.XLOOKUP(B109,'AREA Level 1'!C:C,'AREA Level 1'!B:B)</f>
        <v>CAM3</v>
      </c>
      <c r="B109" s="319" t="s">
        <v>847</v>
      </c>
      <c r="D109" t="s">
        <v>982</v>
      </c>
      <c r="F109" t="s">
        <v>994</v>
      </c>
    </row>
    <row r="110" spans="1:6">
      <c r="A110" t="str">
        <f>+_xlfn.XLOOKUP(B110,'AREA Level 1'!C:C,'AREA Level 1'!B:B)</f>
        <v>CAM3</v>
      </c>
      <c r="B110" s="319" t="s">
        <v>847</v>
      </c>
      <c r="D110" t="s">
        <v>977</v>
      </c>
      <c r="F110" t="s">
        <v>995</v>
      </c>
    </row>
    <row r="111" spans="1:6">
      <c r="A111" t="str">
        <f>+_xlfn.XLOOKUP(B111,'AREA Level 1'!C:C,'AREA Level 1'!B:B)</f>
        <v>CAM3</v>
      </c>
      <c r="B111" s="319" t="s">
        <v>847</v>
      </c>
      <c r="D111" t="s">
        <v>975</v>
      </c>
      <c r="F111" t="s">
        <v>996</v>
      </c>
    </row>
    <row r="112" spans="1:6">
      <c r="A112" t="str">
        <f>+_xlfn.XLOOKUP(B112,'AREA Level 1'!C:C,'AREA Level 1'!B:B)</f>
        <v>CAM3</v>
      </c>
      <c r="B112" s="319" t="s">
        <v>847</v>
      </c>
      <c r="D112" t="s">
        <v>982</v>
      </c>
      <c r="F112" t="s">
        <v>997</v>
      </c>
    </row>
    <row r="113" spans="1:6">
      <c r="A113" t="str">
        <f>+_xlfn.XLOOKUP(B113,'AREA Level 1'!C:C,'AREA Level 1'!B:B)</f>
        <v>CAM3</v>
      </c>
      <c r="B113" s="319" t="s">
        <v>847</v>
      </c>
      <c r="D113" t="s">
        <v>977</v>
      </c>
      <c r="F113" t="s">
        <v>998</v>
      </c>
    </row>
    <row r="114" spans="1:6">
      <c r="A114" t="str">
        <f>+_xlfn.XLOOKUP(B114,'AREA Level 1'!C:C,'AREA Level 1'!B:B)</f>
        <v>CAM3</v>
      </c>
      <c r="B114" s="319" t="s">
        <v>847</v>
      </c>
      <c r="D114" t="s">
        <v>975</v>
      </c>
      <c r="F114" t="s">
        <v>999</v>
      </c>
    </row>
    <row r="115" spans="1:6">
      <c r="A115" t="str">
        <f>+_xlfn.XLOOKUP(B115,'AREA Level 1'!C:C,'AREA Level 1'!B:B)</f>
        <v>CAM3</v>
      </c>
      <c r="B115" s="319" t="s">
        <v>847</v>
      </c>
      <c r="D115" t="s">
        <v>975</v>
      </c>
      <c r="F115" t="s">
        <v>1000</v>
      </c>
    </row>
    <row r="116" spans="1:6">
      <c r="A116" t="str">
        <f>+_xlfn.XLOOKUP(B116,'AREA Level 1'!C:C,'AREA Level 1'!B:B)</f>
        <v>CAM3</v>
      </c>
      <c r="B116" s="319" t="s">
        <v>847</v>
      </c>
      <c r="D116" t="s">
        <v>977</v>
      </c>
      <c r="F116" t="s">
        <v>1001</v>
      </c>
    </row>
    <row r="117" spans="1:6">
      <c r="A117" t="str">
        <f>+_xlfn.XLOOKUP(B117,'AREA Level 1'!C:C,'AREA Level 1'!B:B)</f>
        <v>CAM3</v>
      </c>
      <c r="B117" s="319" t="s">
        <v>847</v>
      </c>
      <c r="D117" t="s">
        <v>975</v>
      </c>
      <c r="F117" t="s">
        <v>1002</v>
      </c>
    </row>
    <row r="118" spans="1:6">
      <c r="A118" t="str">
        <f>+_xlfn.XLOOKUP(B118,'AREA Level 1'!C:C,'AREA Level 1'!B:B)</f>
        <v>CAM3</v>
      </c>
      <c r="B118" s="319" t="s">
        <v>847</v>
      </c>
      <c r="D118" t="s">
        <v>975</v>
      </c>
      <c r="F118" t="s">
        <v>1003</v>
      </c>
    </row>
    <row r="119" spans="1:6">
      <c r="A119" t="str">
        <f>+_xlfn.XLOOKUP(B119,'AREA Level 1'!C:C,'AREA Level 1'!B:B)</f>
        <v>CAM3</v>
      </c>
      <c r="B119" s="319" t="s">
        <v>847</v>
      </c>
      <c r="D119" t="s">
        <v>992</v>
      </c>
      <c r="F119" t="s">
        <v>1004</v>
      </c>
    </row>
    <row r="120" spans="1:6">
      <c r="A120" t="str">
        <f>+_xlfn.XLOOKUP(B120,'AREA Level 1'!C:C,'AREA Level 1'!B:B)</f>
        <v>CAM3</v>
      </c>
      <c r="B120" s="319" t="s">
        <v>847</v>
      </c>
      <c r="D120" t="s">
        <v>977</v>
      </c>
      <c r="F120" t="s">
        <v>1005</v>
      </c>
    </row>
    <row r="121" spans="1:6">
      <c r="A121" t="str">
        <f>+_xlfn.XLOOKUP(B121,'AREA Level 1'!C:C,'AREA Level 1'!B:B)</f>
        <v>CAM3</v>
      </c>
      <c r="B121" s="319" t="s">
        <v>847</v>
      </c>
      <c r="D121" t="s">
        <v>982</v>
      </c>
      <c r="F121" t="s">
        <v>1006</v>
      </c>
    </row>
    <row r="122" spans="1:6">
      <c r="A122" t="str">
        <f>+_xlfn.XLOOKUP(B122,'AREA Level 1'!C:C,'AREA Level 1'!B:B)</f>
        <v>CAM3</v>
      </c>
      <c r="B122" s="319" t="s">
        <v>847</v>
      </c>
      <c r="D122" t="s">
        <v>975</v>
      </c>
      <c r="F122" t="s">
        <v>1007</v>
      </c>
    </row>
    <row r="123" spans="1:6">
      <c r="A123" t="str">
        <f>+_xlfn.XLOOKUP(B123,'AREA Level 1'!C:C,'AREA Level 1'!B:B)</f>
        <v>CAM3</v>
      </c>
      <c r="B123" s="319" t="s">
        <v>847</v>
      </c>
      <c r="D123" t="s">
        <v>975</v>
      </c>
      <c r="F123" t="s">
        <v>1008</v>
      </c>
    </row>
    <row r="124" spans="1:6">
      <c r="A124" t="str">
        <f>+_xlfn.XLOOKUP(B124,'AREA Level 1'!C:C,'AREA Level 1'!B:B)</f>
        <v>CAM3</v>
      </c>
      <c r="B124" s="319" t="s">
        <v>847</v>
      </c>
      <c r="D124" t="s">
        <v>975</v>
      </c>
      <c r="F124" t="s">
        <v>1009</v>
      </c>
    </row>
    <row r="125" spans="1:6">
      <c r="A125" t="str">
        <f>+_xlfn.XLOOKUP(B125,'AREA Level 1'!C:C,'AREA Level 1'!B:B)</f>
        <v>CAM3</v>
      </c>
      <c r="B125" s="319" t="s">
        <v>847</v>
      </c>
      <c r="D125" t="s">
        <v>992</v>
      </c>
      <c r="F125" t="s">
        <v>1010</v>
      </c>
    </row>
    <row r="126" spans="1:6">
      <c r="A126" t="str">
        <f>+_xlfn.XLOOKUP(B126,'AREA Level 1'!C:C,'AREA Level 1'!B:B)</f>
        <v>CAM3</v>
      </c>
      <c r="B126" s="319" t="s">
        <v>847</v>
      </c>
      <c r="D126" t="s">
        <v>975</v>
      </c>
      <c r="F126" t="s">
        <v>1011</v>
      </c>
    </row>
    <row r="127" spans="1:6">
      <c r="A127" t="str">
        <f>+_xlfn.XLOOKUP(B127,'AREA Level 1'!C:C,'AREA Level 1'!B:B)</f>
        <v>CAM3</v>
      </c>
      <c r="B127" s="319" t="s">
        <v>847</v>
      </c>
      <c r="D127" t="s">
        <v>992</v>
      </c>
      <c r="F127" t="s">
        <v>1012</v>
      </c>
    </row>
    <row r="128" spans="1:6">
      <c r="A128" t="str">
        <f>+_xlfn.XLOOKUP(B128,'AREA Level 1'!C:C,'AREA Level 1'!B:B)</f>
        <v>CAM4</v>
      </c>
      <c r="B128" s="319" t="s">
        <v>849</v>
      </c>
      <c r="D128" t="s">
        <v>1013</v>
      </c>
      <c r="F128" t="s">
        <v>1014</v>
      </c>
    </row>
    <row r="129" spans="1:6">
      <c r="A129" t="str">
        <f>+_xlfn.XLOOKUP(B129,'AREA Level 1'!C:C,'AREA Level 1'!B:B)</f>
        <v>CAM4</v>
      </c>
      <c r="B129" s="319" t="s">
        <v>849</v>
      </c>
      <c r="D129" t="s">
        <v>1013</v>
      </c>
      <c r="F129" t="s">
        <v>1015</v>
      </c>
    </row>
    <row r="130" spans="1:6">
      <c r="A130" t="str">
        <f>+_xlfn.XLOOKUP(B130,'AREA Level 1'!C:C,'AREA Level 1'!B:B)</f>
        <v>CAM4</v>
      </c>
      <c r="B130" s="319" t="s">
        <v>849</v>
      </c>
      <c r="D130" t="s">
        <v>1013</v>
      </c>
      <c r="F130" t="s">
        <v>1016</v>
      </c>
    </row>
    <row r="131" spans="1:6">
      <c r="A131" t="str">
        <f>+_xlfn.XLOOKUP(B131,'AREA Level 1'!C:C,'AREA Level 1'!B:B)</f>
        <v>CAM4</v>
      </c>
      <c r="B131" s="319" t="s">
        <v>849</v>
      </c>
      <c r="D131" t="s">
        <v>1013</v>
      </c>
      <c r="F131" t="s">
        <v>1017</v>
      </c>
    </row>
    <row r="132" spans="1:6">
      <c r="A132" t="str">
        <f>+_xlfn.XLOOKUP(B132,'AREA Level 1'!C:C,'AREA Level 1'!B:B)</f>
        <v>CAM4</v>
      </c>
      <c r="B132" s="319" t="s">
        <v>849</v>
      </c>
      <c r="D132" t="s">
        <v>1018</v>
      </c>
      <c r="F132" t="s">
        <v>1019</v>
      </c>
    </row>
    <row r="133" spans="1:6">
      <c r="A133" t="str">
        <f>+_xlfn.XLOOKUP(B133,'AREA Level 1'!C:C,'AREA Level 1'!B:B)</f>
        <v>CAM4</v>
      </c>
      <c r="B133" s="319" t="s">
        <v>849</v>
      </c>
      <c r="D133" t="s">
        <v>1020</v>
      </c>
      <c r="F133" t="s">
        <v>1021</v>
      </c>
    </row>
    <row r="134" spans="1:6">
      <c r="A134" t="str">
        <f>+_xlfn.XLOOKUP(B134,'AREA Level 1'!C:C,'AREA Level 1'!B:B)</f>
        <v>CAM4</v>
      </c>
      <c r="B134" s="319" t="s">
        <v>849</v>
      </c>
      <c r="D134" t="s">
        <v>1022</v>
      </c>
      <c r="F134" t="s">
        <v>1023</v>
      </c>
    </row>
    <row r="135" spans="1:6">
      <c r="A135" t="str">
        <f>+_xlfn.XLOOKUP(B135,'AREA Level 1'!C:C,'AREA Level 1'!B:B)</f>
        <v>CAM4</v>
      </c>
      <c r="B135" s="319" t="s">
        <v>849</v>
      </c>
      <c r="D135" t="s">
        <v>1018</v>
      </c>
      <c r="F135" t="s">
        <v>1024</v>
      </c>
    </row>
    <row r="136" spans="1:6">
      <c r="A136" t="str">
        <f>+_xlfn.XLOOKUP(B136,'AREA Level 1'!C:C,'AREA Level 1'!B:B)</f>
        <v>CAM4</v>
      </c>
      <c r="B136" s="319" t="s">
        <v>849</v>
      </c>
      <c r="D136" t="s">
        <v>1020</v>
      </c>
      <c r="F136" t="s">
        <v>1025</v>
      </c>
    </row>
    <row r="137" spans="1:6">
      <c r="A137" t="str">
        <f>+_xlfn.XLOOKUP(B137,'AREA Level 1'!C:C,'AREA Level 1'!B:B)</f>
        <v>CAM4</v>
      </c>
      <c r="B137" s="319" t="s">
        <v>849</v>
      </c>
      <c r="D137" t="s">
        <v>1026</v>
      </c>
      <c r="F137" t="s">
        <v>1027</v>
      </c>
    </row>
    <row r="138" spans="1:6">
      <c r="A138" t="str">
        <f>+_xlfn.XLOOKUP(B138,'AREA Level 1'!C:C,'AREA Level 1'!B:B)</f>
        <v>CAM4</v>
      </c>
      <c r="B138" s="319" t="s">
        <v>849</v>
      </c>
      <c r="D138" t="s">
        <v>1018</v>
      </c>
      <c r="F138" t="s">
        <v>1028</v>
      </c>
    </row>
    <row r="139" spans="1:6">
      <c r="A139" t="str">
        <f>+_xlfn.XLOOKUP(B139,'AREA Level 1'!C:C,'AREA Level 1'!B:B)</f>
        <v>CAM4</v>
      </c>
      <c r="B139" s="319" t="s">
        <v>849</v>
      </c>
      <c r="D139" t="s">
        <v>1020</v>
      </c>
      <c r="F139" t="s">
        <v>1029</v>
      </c>
    </row>
    <row r="140" spans="1:6">
      <c r="A140" t="str">
        <f>+_xlfn.XLOOKUP(B140,'AREA Level 1'!C:C,'AREA Level 1'!B:B)</f>
        <v>CAM4</v>
      </c>
      <c r="B140" s="319" t="s">
        <v>849</v>
      </c>
      <c r="D140" t="s">
        <v>1026</v>
      </c>
      <c r="F140" t="s">
        <v>1030</v>
      </c>
    </row>
    <row r="141" spans="1:6">
      <c r="A141" t="str">
        <f>+_xlfn.XLOOKUP(B141,'AREA Level 1'!C:C,'AREA Level 1'!B:B)</f>
        <v>CAM4</v>
      </c>
      <c r="B141" s="319" t="s">
        <v>849</v>
      </c>
      <c r="D141" t="s">
        <v>1018</v>
      </c>
      <c r="F141" t="s">
        <v>1031</v>
      </c>
    </row>
    <row r="142" spans="1:6">
      <c r="A142" t="str">
        <f>+_xlfn.XLOOKUP(B142,'AREA Level 1'!C:C,'AREA Level 1'!B:B)</f>
        <v>CAM4</v>
      </c>
      <c r="B142" s="319" t="s">
        <v>849</v>
      </c>
      <c r="D142" t="s">
        <v>1026</v>
      </c>
      <c r="F142" t="s">
        <v>1032</v>
      </c>
    </row>
    <row r="143" spans="1:6">
      <c r="A143" t="str">
        <f>+_xlfn.XLOOKUP(B143,'AREA Level 1'!C:C,'AREA Level 1'!B:B)</f>
        <v>CAM4</v>
      </c>
      <c r="B143" s="319" t="s">
        <v>849</v>
      </c>
      <c r="D143" t="s">
        <v>1026</v>
      </c>
      <c r="F143" t="s">
        <v>1033</v>
      </c>
    </row>
    <row r="144" spans="1:6">
      <c r="A144" t="str">
        <f>+_xlfn.XLOOKUP(B144,'AREA Level 1'!C:C,'AREA Level 1'!B:B)</f>
        <v>CAM4</v>
      </c>
      <c r="B144" s="319" t="s">
        <v>849</v>
      </c>
      <c r="D144" t="s">
        <v>1013</v>
      </c>
      <c r="F144" t="s">
        <v>1034</v>
      </c>
    </row>
    <row r="145" spans="1:6">
      <c r="A145" t="str">
        <f>+_xlfn.XLOOKUP(B145,'AREA Level 1'!C:C,'AREA Level 1'!B:B)</f>
        <v>CAM4</v>
      </c>
      <c r="B145" s="319" t="s">
        <v>849</v>
      </c>
      <c r="D145" t="s">
        <v>1018</v>
      </c>
      <c r="F145" t="s">
        <v>1035</v>
      </c>
    </row>
    <row r="146" spans="1:6">
      <c r="A146" t="str">
        <f>+_xlfn.XLOOKUP(B146,'AREA Level 1'!C:C,'AREA Level 1'!B:B)</f>
        <v>CAM4</v>
      </c>
      <c r="B146" s="319" t="s">
        <v>849</v>
      </c>
      <c r="D146" t="s">
        <v>1018</v>
      </c>
      <c r="F146" t="s">
        <v>1036</v>
      </c>
    </row>
    <row r="147" spans="1:6">
      <c r="A147" t="str">
        <f>+_xlfn.XLOOKUP(B147,'AREA Level 1'!C:C,'AREA Level 1'!B:B)</f>
        <v>CAM4</v>
      </c>
      <c r="B147" s="319" t="s">
        <v>849</v>
      </c>
      <c r="D147" t="s">
        <v>1022</v>
      </c>
      <c r="F147" t="s">
        <v>1037</v>
      </c>
    </row>
    <row r="148" spans="1:6">
      <c r="A148" t="str">
        <f>+_xlfn.XLOOKUP(B148,'AREA Level 1'!C:C,'AREA Level 1'!B:B)</f>
        <v>CAM4</v>
      </c>
      <c r="B148" s="319" t="s">
        <v>849</v>
      </c>
      <c r="D148" t="s">
        <v>1013</v>
      </c>
      <c r="F148" t="s">
        <v>1038</v>
      </c>
    </row>
    <row r="149" spans="1:6">
      <c r="A149" t="str">
        <f>+_xlfn.XLOOKUP(B149,'AREA Level 1'!C:C,'AREA Level 1'!B:B)</f>
        <v>CAM4</v>
      </c>
      <c r="B149" s="319" t="s">
        <v>849</v>
      </c>
      <c r="D149" t="s">
        <v>1026</v>
      </c>
      <c r="F149" t="s">
        <v>1039</v>
      </c>
    </row>
    <row r="150" spans="1:6">
      <c r="A150" t="str">
        <f>+_xlfn.XLOOKUP(B150,'AREA Level 1'!C:C,'AREA Level 1'!B:B)</f>
        <v>CAM4</v>
      </c>
      <c r="B150" s="319" t="s">
        <v>849</v>
      </c>
      <c r="D150" t="s">
        <v>1026</v>
      </c>
      <c r="F150" t="s">
        <v>1040</v>
      </c>
    </row>
    <row r="151" spans="1:6">
      <c r="A151" t="str">
        <f>+_xlfn.XLOOKUP(B151,'AREA Level 1'!C:C,'AREA Level 1'!B:B)</f>
        <v>CAM4</v>
      </c>
      <c r="B151" s="319" t="s">
        <v>849</v>
      </c>
      <c r="D151" t="s">
        <v>1026</v>
      </c>
      <c r="F151" t="s">
        <v>1041</v>
      </c>
    </row>
    <row r="152" spans="1:6">
      <c r="A152" t="str">
        <f>+_xlfn.XLOOKUP(B152,'AREA Level 1'!C:C,'AREA Level 1'!B:B)</f>
        <v>CAM4</v>
      </c>
      <c r="B152" s="319" t="s">
        <v>849</v>
      </c>
      <c r="D152" t="s">
        <v>1042</v>
      </c>
      <c r="F152" t="s">
        <v>1043</v>
      </c>
    </row>
    <row r="153" spans="1:6">
      <c r="A153" t="str">
        <f>+_xlfn.XLOOKUP(B153,'AREA Level 1'!C:C,'AREA Level 1'!B:B)</f>
        <v>CAM4</v>
      </c>
      <c r="B153" s="319" t="s">
        <v>849</v>
      </c>
      <c r="D153" t="s">
        <v>1018</v>
      </c>
      <c r="F153" t="s">
        <v>1044</v>
      </c>
    </row>
    <row r="154" spans="1:6">
      <c r="A154" t="str">
        <f>+_xlfn.XLOOKUP(B154,'AREA Level 1'!C:C,'AREA Level 1'!B:B)</f>
        <v>CAM4</v>
      </c>
      <c r="B154" s="319" t="s">
        <v>849</v>
      </c>
      <c r="D154" t="s">
        <v>1022</v>
      </c>
      <c r="F154" t="s">
        <v>1045</v>
      </c>
    </row>
    <row r="155" spans="1:6">
      <c r="A155" t="str">
        <f>+_xlfn.XLOOKUP(B155,'AREA Level 1'!C:C,'AREA Level 1'!B:B)</f>
        <v>CAM4</v>
      </c>
      <c r="B155" s="319" t="s">
        <v>849</v>
      </c>
      <c r="D155" t="s">
        <v>1018</v>
      </c>
      <c r="F155" t="s">
        <v>1046</v>
      </c>
    </row>
    <row r="156" spans="1:6">
      <c r="A156" t="str">
        <f>+_xlfn.XLOOKUP(B156,'AREA Level 1'!C:C,'AREA Level 1'!B:B)</f>
        <v>CAM4</v>
      </c>
      <c r="B156" s="319" t="s">
        <v>849</v>
      </c>
      <c r="D156" t="s">
        <v>1026</v>
      </c>
      <c r="F156" t="s">
        <v>1047</v>
      </c>
    </row>
    <row r="157" spans="1:6">
      <c r="A157" t="str">
        <f>+_xlfn.XLOOKUP(B157,'AREA Level 1'!C:C,'AREA Level 1'!B:B)</f>
        <v>CAM4</v>
      </c>
      <c r="B157" s="319" t="s">
        <v>849</v>
      </c>
      <c r="D157" t="s">
        <v>1018</v>
      </c>
      <c r="F157" t="s">
        <v>1048</v>
      </c>
    </row>
    <row r="158" spans="1:6">
      <c r="A158" t="str">
        <f>+_xlfn.XLOOKUP(B158,'AREA Level 1'!C:C,'AREA Level 1'!B:B)</f>
        <v>CAM4</v>
      </c>
      <c r="B158" s="319" t="s">
        <v>849</v>
      </c>
      <c r="D158" t="s">
        <v>1020</v>
      </c>
      <c r="F158" t="s">
        <v>1049</v>
      </c>
    </row>
    <row r="159" spans="1:6">
      <c r="A159" t="str">
        <f>+_xlfn.XLOOKUP(B159,'AREA Level 1'!C:C,'AREA Level 1'!B:B)</f>
        <v>CAM4</v>
      </c>
      <c r="B159" s="319" t="s">
        <v>849</v>
      </c>
      <c r="D159" t="s">
        <v>1020</v>
      </c>
      <c r="F159" t="s">
        <v>1050</v>
      </c>
    </row>
    <row r="160" spans="1:6">
      <c r="A160" t="str">
        <f>+_xlfn.XLOOKUP(B160,'AREA Level 1'!C:C,'AREA Level 1'!B:B)</f>
        <v>CAM4</v>
      </c>
      <c r="B160" s="319" t="s">
        <v>849</v>
      </c>
      <c r="D160" t="s">
        <v>1020</v>
      </c>
      <c r="F160" t="s">
        <v>1051</v>
      </c>
    </row>
    <row r="161" spans="1:6">
      <c r="A161" t="str">
        <f>+_xlfn.XLOOKUP(B161,'AREA Level 1'!C:C,'AREA Level 1'!B:B)</f>
        <v>CAM4</v>
      </c>
      <c r="B161" s="319" t="s">
        <v>849</v>
      </c>
      <c r="D161" t="s">
        <v>1022</v>
      </c>
      <c r="F161" t="s">
        <v>1052</v>
      </c>
    </row>
    <row r="162" spans="1:6">
      <c r="A162" t="str">
        <f>+_xlfn.XLOOKUP(B162,'AREA Level 1'!C:C,'AREA Level 1'!B:B)</f>
        <v>CAM4</v>
      </c>
      <c r="B162" s="319" t="s">
        <v>849</v>
      </c>
      <c r="D162" t="s">
        <v>1020</v>
      </c>
      <c r="F162" t="s">
        <v>1053</v>
      </c>
    </row>
    <row r="163" spans="1:6">
      <c r="A163" t="str">
        <f>+_xlfn.XLOOKUP(B163,'AREA Level 1'!C:C,'AREA Level 1'!B:B)</f>
        <v>CAM4</v>
      </c>
      <c r="B163" s="319" t="s">
        <v>849</v>
      </c>
      <c r="D163" t="s">
        <v>1022</v>
      </c>
      <c r="F163" t="s">
        <v>1054</v>
      </c>
    </row>
    <row r="164" spans="1:6">
      <c r="A164" t="str">
        <f>+_xlfn.XLOOKUP(B164,'AREA Level 1'!C:C,'AREA Level 1'!B:B)</f>
        <v>CAM4</v>
      </c>
      <c r="B164" s="319" t="s">
        <v>849</v>
      </c>
      <c r="D164" t="s">
        <v>1022</v>
      </c>
      <c r="F164" t="s">
        <v>1055</v>
      </c>
    </row>
    <row r="165" spans="1:6">
      <c r="A165" t="str">
        <f>+_xlfn.XLOOKUP(B165,'AREA Level 1'!C:C,'AREA Level 1'!B:B)</f>
        <v>CAM4</v>
      </c>
      <c r="B165" s="319" t="s">
        <v>849</v>
      </c>
      <c r="D165" t="s">
        <v>1042</v>
      </c>
      <c r="F165" t="s">
        <v>1056</v>
      </c>
    </row>
    <row r="166" spans="1:6">
      <c r="A166" t="str">
        <f>+_xlfn.XLOOKUP(B166,'AREA Level 1'!C:C,'AREA Level 1'!B:B)</f>
        <v>CAM4</v>
      </c>
      <c r="B166" s="319" t="s">
        <v>849</v>
      </c>
      <c r="D166" t="s">
        <v>1013</v>
      </c>
      <c r="F166" t="s">
        <v>1057</v>
      </c>
    </row>
    <row r="167" spans="1:6">
      <c r="A167" t="str">
        <f>+_xlfn.XLOOKUP(B167,'AREA Level 1'!C:C,'AREA Level 1'!B:B)</f>
        <v>CAM4</v>
      </c>
      <c r="B167" s="319" t="s">
        <v>849</v>
      </c>
      <c r="D167" t="s">
        <v>1020</v>
      </c>
      <c r="F167" t="s">
        <v>1058</v>
      </c>
    </row>
    <row r="168" spans="1:6">
      <c r="A168" t="str">
        <f>+_xlfn.XLOOKUP(B168,'AREA Level 1'!C:C,'AREA Level 1'!B:B)</f>
        <v>CAM4</v>
      </c>
      <c r="B168" s="319" t="s">
        <v>849</v>
      </c>
      <c r="D168" t="s">
        <v>1020</v>
      </c>
      <c r="F168" t="s">
        <v>1059</v>
      </c>
    </row>
    <row r="169" spans="1:6">
      <c r="A169" t="str">
        <f>+_xlfn.XLOOKUP(B169,'AREA Level 1'!C:C,'AREA Level 1'!B:B)</f>
        <v>CAM4</v>
      </c>
      <c r="B169" s="319" t="s">
        <v>849</v>
      </c>
      <c r="D169" t="s">
        <v>1022</v>
      </c>
      <c r="F169" t="s">
        <v>1060</v>
      </c>
    </row>
    <row r="170" spans="1:6">
      <c r="A170" t="str">
        <f>+_xlfn.XLOOKUP(B170,'AREA Level 1'!C:C,'AREA Level 1'!B:B)</f>
        <v>CAM4</v>
      </c>
      <c r="B170" s="319" t="s">
        <v>849</v>
      </c>
      <c r="D170" t="s">
        <v>1026</v>
      </c>
      <c r="F170" t="s">
        <v>1061</v>
      </c>
    </row>
    <row r="171" spans="1:6">
      <c r="A171" t="str">
        <f>+_xlfn.XLOOKUP(B171,'AREA Level 1'!C:C,'AREA Level 1'!B:B)</f>
        <v>CAM4</v>
      </c>
      <c r="B171" s="319" t="s">
        <v>849</v>
      </c>
      <c r="D171" t="s">
        <v>1042</v>
      </c>
      <c r="F171" t="s">
        <v>1062</v>
      </c>
    </row>
    <row r="172" spans="1:6">
      <c r="A172" t="str">
        <f>+_xlfn.XLOOKUP(B172,'AREA Level 1'!C:C,'AREA Level 1'!B:B)</f>
        <v>CAM4</v>
      </c>
      <c r="B172" s="319" t="s">
        <v>849</v>
      </c>
      <c r="D172" t="s">
        <v>1018</v>
      </c>
      <c r="F172" t="s">
        <v>1063</v>
      </c>
    </row>
    <row r="173" spans="1:6">
      <c r="A173" t="str">
        <f>+_xlfn.XLOOKUP(B173,'AREA Level 1'!C:C,'AREA Level 1'!B:B)</f>
        <v>CAM4</v>
      </c>
      <c r="B173" s="319" t="s">
        <v>849</v>
      </c>
      <c r="D173" t="s">
        <v>1026</v>
      </c>
      <c r="F173" t="s">
        <v>1064</v>
      </c>
    </row>
    <row r="174" spans="1:6">
      <c r="A174" t="str">
        <f>+_xlfn.XLOOKUP(B174,'AREA Level 1'!C:C,'AREA Level 1'!B:B)</f>
        <v>CAM4</v>
      </c>
      <c r="B174" s="319" t="s">
        <v>849</v>
      </c>
      <c r="D174" t="s">
        <v>1026</v>
      </c>
      <c r="F174" t="s">
        <v>1065</v>
      </c>
    </row>
    <row r="175" spans="1:6">
      <c r="A175" t="str">
        <f>+_xlfn.XLOOKUP(B175,'AREA Level 1'!C:C,'AREA Level 1'!B:B)</f>
        <v>CAM4</v>
      </c>
      <c r="B175" s="319" t="s">
        <v>849</v>
      </c>
      <c r="D175" t="s">
        <v>1018</v>
      </c>
      <c r="F175" t="s">
        <v>1066</v>
      </c>
    </row>
    <row r="176" spans="1:6">
      <c r="A176" t="str">
        <f>+_xlfn.XLOOKUP(B176,'AREA Level 1'!C:C,'AREA Level 1'!B:B)</f>
        <v>CAM5</v>
      </c>
      <c r="B176" s="319" t="s">
        <v>851</v>
      </c>
      <c r="D176" t="s">
        <v>1067</v>
      </c>
      <c r="F176" t="s">
        <v>1068</v>
      </c>
    </row>
    <row r="177" spans="1:6">
      <c r="A177" t="str">
        <f>+_xlfn.XLOOKUP(B177,'AREA Level 1'!C:C,'AREA Level 1'!B:B)</f>
        <v>CAM5</v>
      </c>
      <c r="B177" s="319" t="s">
        <v>851</v>
      </c>
      <c r="D177" t="s">
        <v>1067</v>
      </c>
      <c r="F177" t="s">
        <v>1069</v>
      </c>
    </row>
    <row r="178" spans="1:6">
      <c r="A178" t="str">
        <f>+_xlfn.XLOOKUP(B178,'AREA Level 1'!C:C,'AREA Level 1'!B:B)</f>
        <v>CAM5</v>
      </c>
      <c r="B178" s="319" t="s">
        <v>851</v>
      </c>
      <c r="D178" t="s">
        <v>1070</v>
      </c>
      <c r="F178" t="s">
        <v>1071</v>
      </c>
    </row>
    <row r="179" spans="1:6">
      <c r="A179" t="str">
        <f>+_xlfn.XLOOKUP(B179,'AREA Level 1'!C:C,'AREA Level 1'!B:B)</f>
        <v>CAM5</v>
      </c>
      <c r="B179" s="319" t="s">
        <v>851</v>
      </c>
      <c r="D179" t="s">
        <v>1067</v>
      </c>
      <c r="F179" t="s">
        <v>1072</v>
      </c>
    </row>
    <row r="180" spans="1:6">
      <c r="A180" t="str">
        <f>+_xlfn.XLOOKUP(B180,'AREA Level 1'!C:C,'AREA Level 1'!B:B)</f>
        <v>CAM5</v>
      </c>
      <c r="B180" s="319" t="s">
        <v>851</v>
      </c>
      <c r="D180" t="s">
        <v>1070</v>
      </c>
      <c r="F180" t="s">
        <v>1073</v>
      </c>
    </row>
    <row r="181" spans="1:6">
      <c r="A181" t="str">
        <f>+_xlfn.XLOOKUP(B181,'AREA Level 1'!C:C,'AREA Level 1'!B:B)</f>
        <v>CAM5</v>
      </c>
      <c r="B181" s="319" t="s">
        <v>851</v>
      </c>
      <c r="D181" t="s">
        <v>1074</v>
      </c>
      <c r="F181" t="s">
        <v>1075</v>
      </c>
    </row>
    <row r="182" spans="1:6">
      <c r="A182" t="str">
        <f>+_xlfn.XLOOKUP(B182,'AREA Level 1'!C:C,'AREA Level 1'!B:B)</f>
        <v>CAM5</v>
      </c>
      <c r="B182" s="319" t="s">
        <v>851</v>
      </c>
      <c r="D182" t="s">
        <v>1074</v>
      </c>
      <c r="F182" t="s">
        <v>1076</v>
      </c>
    </row>
    <row r="183" spans="1:6">
      <c r="A183" t="str">
        <f>+_xlfn.XLOOKUP(B183,'AREA Level 1'!C:C,'AREA Level 1'!B:B)</f>
        <v>CAM5</v>
      </c>
      <c r="B183" s="319" t="s">
        <v>851</v>
      </c>
      <c r="D183" t="s">
        <v>1074</v>
      </c>
      <c r="F183" t="s">
        <v>1077</v>
      </c>
    </row>
    <row r="184" spans="1:6">
      <c r="A184" t="str">
        <f>+_xlfn.XLOOKUP(B184,'AREA Level 1'!C:C,'AREA Level 1'!B:B)</f>
        <v>CAM5</v>
      </c>
      <c r="B184" s="319" t="s">
        <v>851</v>
      </c>
      <c r="D184" t="s">
        <v>1074</v>
      </c>
      <c r="F184" t="s">
        <v>1078</v>
      </c>
    </row>
    <row r="185" spans="1:6">
      <c r="A185" t="str">
        <f>+_xlfn.XLOOKUP(B185,'AREA Level 1'!C:C,'AREA Level 1'!B:B)</f>
        <v>CAM5</v>
      </c>
      <c r="B185" s="319" t="s">
        <v>851</v>
      </c>
      <c r="D185" t="s">
        <v>1074</v>
      </c>
      <c r="F185" t="s">
        <v>1079</v>
      </c>
    </row>
    <row r="186" spans="1:6">
      <c r="A186" t="str">
        <f>+_xlfn.XLOOKUP(B186,'AREA Level 1'!C:C,'AREA Level 1'!B:B)</f>
        <v>CAM5</v>
      </c>
      <c r="B186" s="319" t="s">
        <v>851</v>
      </c>
      <c r="D186" t="s">
        <v>1074</v>
      </c>
      <c r="F186" t="s">
        <v>1080</v>
      </c>
    </row>
    <row r="187" spans="1:6">
      <c r="A187" t="str">
        <f>+_xlfn.XLOOKUP(B187,'AREA Level 1'!C:C,'AREA Level 1'!B:B)</f>
        <v>CAM5</v>
      </c>
      <c r="B187" s="319" t="s">
        <v>851</v>
      </c>
      <c r="D187" t="s">
        <v>1070</v>
      </c>
      <c r="F187" t="s">
        <v>1081</v>
      </c>
    </row>
    <row r="188" spans="1:6">
      <c r="A188" t="str">
        <f>+_xlfn.XLOOKUP(B188,'AREA Level 1'!C:C,'AREA Level 1'!B:B)</f>
        <v>CAM5</v>
      </c>
      <c r="B188" s="319" t="s">
        <v>851</v>
      </c>
      <c r="D188" t="s">
        <v>1070</v>
      </c>
      <c r="F188" t="s">
        <v>1082</v>
      </c>
    </row>
    <row r="189" spans="1:6">
      <c r="A189" t="str">
        <f>+_xlfn.XLOOKUP(B189,'AREA Level 1'!C:C,'AREA Level 1'!B:B)</f>
        <v>CAM5</v>
      </c>
      <c r="B189" s="319" t="s">
        <v>851</v>
      </c>
      <c r="D189" t="s">
        <v>1067</v>
      </c>
      <c r="F189" t="s">
        <v>1083</v>
      </c>
    </row>
    <row r="190" spans="1:6">
      <c r="A190" t="str">
        <f>+_xlfn.XLOOKUP(B190,'AREA Level 1'!C:C,'AREA Level 1'!B:B)</f>
        <v>CAM5</v>
      </c>
      <c r="B190" s="319" t="s">
        <v>851</v>
      </c>
      <c r="D190" t="s">
        <v>1067</v>
      </c>
      <c r="F190" t="s">
        <v>1084</v>
      </c>
    </row>
    <row r="191" spans="1:6">
      <c r="A191" t="str">
        <f>+_xlfn.XLOOKUP(B191,'AREA Level 1'!C:C,'AREA Level 1'!B:B)</f>
        <v>CAM5</v>
      </c>
      <c r="B191" s="319" t="s">
        <v>851</v>
      </c>
      <c r="D191" t="s">
        <v>1067</v>
      </c>
      <c r="F191" t="s">
        <v>1085</v>
      </c>
    </row>
    <row r="192" spans="1:6">
      <c r="A192" t="str">
        <f>+_xlfn.XLOOKUP(B192,'AREA Level 1'!C:C,'AREA Level 1'!B:B)</f>
        <v>CAM5</v>
      </c>
      <c r="B192" s="319" t="s">
        <v>851</v>
      </c>
      <c r="D192" t="s">
        <v>1070</v>
      </c>
      <c r="F192" t="s">
        <v>1086</v>
      </c>
    </row>
    <row r="193" spans="1:6">
      <c r="A193" t="str">
        <f>+_xlfn.XLOOKUP(B193,'AREA Level 1'!C:C,'AREA Level 1'!B:B)</f>
        <v>CAM5</v>
      </c>
      <c r="B193" s="319" t="s">
        <v>851</v>
      </c>
      <c r="D193" t="s">
        <v>1067</v>
      </c>
      <c r="F193" t="s">
        <v>1087</v>
      </c>
    </row>
    <row r="194" spans="1:6">
      <c r="A194" t="str">
        <f>+_xlfn.XLOOKUP(B194,'AREA Level 1'!C:C,'AREA Level 1'!B:B)</f>
        <v>CAM5</v>
      </c>
      <c r="B194" s="319" t="s">
        <v>851</v>
      </c>
      <c r="D194" t="s">
        <v>1067</v>
      </c>
      <c r="F194" t="s">
        <v>1088</v>
      </c>
    </row>
    <row r="195" spans="1:6">
      <c r="A195" t="str">
        <f>+_xlfn.XLOOKUP(B195,'AREA Level 1'!C:C,'AREA Level 1'!B:B)</f>
        <v>CAM5</v>
      </c>
      <c r="B195" s="319" t="s">
        <v>851</v>
      </c>
      <c r="D195" t="s">
        <v>1067</v>
      </c>
      <c r="F195" t="s">
        <v>1089</v>
      </c>
    </row>
    <row r="196" spans="1:6">
      <c r="A196" t="str">
        <f>+_xlfn.XLOOKUP(B196,'AREA Level 1'!C:C,'AREA Level 1'!B:B)</f>
        <v>CAM5</v>
      </c>
      <c r="B196" s="319" t="s">
        <v>851</v>
      </c>
      <c r="D196" t="s">
        <v>1070</v>
      </c>
      <c r="F196" t="s">
        <v>1090</v>
      </c>
    </row>
    <row r="197" spans="1:6">
      <c r="A197" t="str">
        <f>+_xlfn.XLOOKUP(B197,'AREA Level 1'!C:C,'AREA Level 1'!B:B)</f>
        <v>CAM5</v>
      </c>
      <c r="B197" s="319" t="s">
        <v>851</v>
      </c>
      <c r="D197" t="s">
        <v>1070</v>
      </c>
      <c r="F197" t="s">
        <v>1091</v>
      </c>
    </row>
    <row r="198" spans="1:6">
      <c r="A198" t="str">
        <f>+_xlfn.XLOOKUP(B198,'AREA Level 1'!C:C,'AREA Level 1'!B:B)</f>
        <v>CAM5</v>
      </c>
      <c r="B198" s="319" t="s">
        <v>851</v>
      </c>
      <c r="D198" t="s">
        <v>1070</v>
      </c>
      <c r="F198" t="s">
        <v>1092</v>
      </c>
    </row>
    <row r="199" spans="1:6">
      <c r="A199" t="str">
        <f>+_xlfn.XLOOKUP(B199,'AREA Level 1'!C:C,'AREA Level 1'!B:B)</f>
        <v>CAM5</v>
      </c>
      <c r="B199" s="319" t="s">
        <v>851</v>
      </c>
      <c r="D199" t="s">
        <v>1070</v>
      </c>
      <c r="F199" t="s">
        <v>1093</v>
      </c>
    </row>
    <row r="200" spans="1:6">
      <c r="A200" t="str">
        <f>+_xlfn.XLOOKUP(B200,'AREA Level 1'!C:C,'AREA Level 1'!B:B)</f>
        <v>CAM5</v>
      </c>
      <c r="B200" s="319" t="s">
        <v>851</v>
      </c>
      <c r="D200" t="s">
        <v>1067</v>
      </c>
      <c r="F200" t="s">
        <v>1094</v>
      </c>
    </row>
    <row r="201" spans="1:6">
      <c r="A201" t="str">
        <f>+_xlfn.XLOOKUP(B201,'AREA Level 1'!C:C,'AREA Level 1'!B:B)</f>
        <v>CAM5</v>
      </c>
      <c r="B201" s="319" t="s">
        <v>851</v>
      </c>
      <c r="D201" t="s">
        <v>1095</v>
      </c>
      <c r="F201" t="s">
        <v>1096</v>
      </c>
    </row>
    <row r="202" spans="1:6">
      <c r="A202" t="str">
        <f>+_xlfn.XLOOKUP(B202,'AREA Level 1'!C:C,'AREA Level 1'!B:B)</f>
        <v>CAM5</v>
      </c>
      <c r="B202" s="319" t="s">
        <v>851</v>
      </c>
      <c r="D202" t="s">
        <v>1067</v>
      </c>
      <c r="F202" t="s">
        <v>1097</v>
      </c>
    </row>
    <row r="203" spans="1:6">
      <c r="A203" t="str">
        <f>+_xlfn.XLOOKUP(B203,'AREA Level 1'!C:C,'AREA Level 1'!B:B)</f>
        <v>CAM5</v>
      </c>
      <c r="B203" s="319" t="s">
        <v>851</v>
      </c>
      <c r="D203" t="s">
        <v>1067</v>
      </c>
      <c r="F203" t="s">
        <v>1098</v>
      </c>
    </row>
    <row r="204" spans="1:6">
      <c r="A204" t="str">
        <f>+_xlfn.XLOOKUP(B204,'AREA Level 1'!C:C,'AREA Level 1'!B:B)</f>
        <v>CAM5</v>
      </c>
      <c r="B204" s="319" t="s">
        <v>851</v>
      </c>
      <c r="D204" t="s">
        <v>1067</v>
      </c>
      <c r="F204" t="s">
        <v>1099</v>
      </c>
    </row>
    <row r="205" spans="1:6">
      <c r="A205" t="str">
        <f>+_xlfn.XLOOKUP(B205,'AREA Level 1'!C:C,'AREA Level 1'!B:B)</f>
        <v>CAM5</v>
      </c>
      <c r="B205" s="319" t="s">
        <v>851</v>
      </c>
      <c r="D205" t="s">
        <v>1095</v>
      </c>
      <c r="F205" t="s">
        <v>1100</v>
      </c>
    </row>
    <row r="206" spans="1:6">
      <c r="A206" t="str">
        <f>+_xlfn.XLOOKUP(B206,'AREA Level 1'!C:C,'AREA Level 1'!B:B)</f>
        <v>CAM5</v>
      </c>
      <c r="B206" s="319" t="s">
        <v>851</v>
      </c>
      <c r="D206" t="s">
        <v>1070</v>
      </c>
      <c r="F206" t="s">
        <v>1101</v>
      </c>
    </row>
    <row r="207" spans="1:6">
      <c r="A207" t="str">
        <f>+_xlfn.XLOOKUP(B207,'AREA Level 1'!C:C,'AREA Level 1'!B:B)</f>
        <v>CAM5</v>
      </c>
      <c r="B207" s="319" t="s">
        <v>851</v>
      </c>
      <c r="D207" t="s">
        <v>1070</v>
      </c>
      <c r="F207" t="s">
        <v>1102</v>
      </c>
    </row>
    <row r="208" spans="1:6">
      <c r="A208" t="str">
        <f>+_xlfn.XLOOKUP(B208,'AREA Level 1'!C:C,'AREA Level 1'!B:B)</f>
        <v>CAM5</v>
      </c>
      <c r="B208" s="319" t="s">
        <v>851</v>
      </c>
      <c r="D208" t="s">
        <v>1095</v>
      </c>
      <c r="F208" t="s">
        <v>1103</v>
      </c>
    </row>
    <row r="209" spans="1:6">
      <c r="A209" t="str">
        <f>+_xlfn.XLOOKUP(B209,'AREA Level 1'!C:C,'AREA Level 1'!B:B)</f>
        <v>CAM5</v>
      </c>
      <c r="B209" s="319" t="s">
        <v>851</v>
      </c>
      <c r="D209" t="s">
        <v>1095</v>
      </c>
      <c r="F209" t="s">
        <v>1104</v>
      </c>
    </row>
    <row r="210" spans="1:6">
      <c r="A210" t="str">
        <f>+_xlfn.XLOOKUP(B210,'AREA Level 1'!C:C,'AREA Level 1'!B:B)</f>
        <v>CAM6</v>
      </c>
      <c r="B210" s="319" t="s">
        <v>853</v>
      </c>
      <c r="D210" t="s">
        <v>1105</v>
      </c>
      <c r="F210" t="s">
        <v>1106</v>
      </c>
    </row>
    <row r="211" spans="1:6">
      <c r="A211" t="str">
        <f>+_xlfn.XLOOKUP(B211,'AREA Level 1'!C:C,'AREA Level 1'!B:B)</f>
        <v>CAM6</v>
      </c>
      <c r="B211" s="319" t="s">
        <v>853</v>
      </c>
      <c r="D211" t="s">
        <v>1107</v>
      </c>
      <c r="F211" t="s">
        <v>1108</v>
      </c>
    </row>
    <row r="212" spans="1:6">
      <c r="A212" t="str">
        <f>+_xlfn.XLOOKUP(B212,'AREA Level 1'!C:C,'AREA Level 1'!B:B)</f>
        <v>CAM6</v>
      </c>
      <c r="B212" s="319" t="s">
        <v>853</v>
      </c>
      <c r="D212" t="s">
        <v>1105</v>
      </c>
      <c r="F212" t="s">
        <v>1109</v>
      </c>
    </row>
    <row r="213" spans="1:6">
      <c r="A213" t="str">
        <f>+_xlfn.XLOOKUP(B213,'AREA Level 1'!C:C,'AREA Level 1'!B:B)</f>
        <v>CAM6</v>
      </c>
      <c r="B213" s="319" t="s">
        <v>853</v>
      </c>
      <c r="D213" t="s">
        <v>1105</v>
      </c>
      <c r="F213" t="s">
        <v>1110</v>
      </c>
    </row>
    <row r="214" spans="1:6">
      <c r="A214" t="str">
        <f>+_xlfn.XLOOKUP(B214,'AREA Level 1'!C:C,'AREA Level 1'!B:B)</f>
        <v>CAM6</v>
      </c>
      <c r="B214" s="319" t="s">
        <v>853</v>
      </c>
      <c r="D214" t="s">
        <v>1105</v>
      </c>
      <c r="F214" t="s">
        <v>1111</v>
      </c>
    </row>
    <row r="215" spans="1:6">
      <c r="A215" t="str">
        <f>+_xlfn.XLOOKUP(B215,'AREA Level 1'!C:C,'AREA Level 1'!B:B)</f>
        <v>CAM6</v>
      </c>
      <c r="B215" s="319" t="s">
        <v>853</v>
      </c>
      <c r="D215" t="s">
        <v>1112</v>
      </c>
      <c r="F215" t="s">
        <v>1113</v>
      </c>
    </row>
    <row r="216" spans="1:6">
      <c r="A216" t="str">
        <f>+_xlfn.XLOOKUP(B216,'AREA Level 1'!C:C,'AREA Level 1'!B:B)</f>
        <v>CAM6</v>
      </c>
      <c r="B216" s="319" t="s">
        <v>853</v>
      </c>
      <c r="D216" t="s">
        <v>1105</v>
      </c>
      <c r="F216" t="s">
        <v>1114</v>
      </c>
    </row>
    <row r="217" spans="1:6">
      <c r="A217" t="str">
        <f>+_xlfn.XLOOKUP(B217,'AREA Level 1'!C:C,'AREA Level 1'!B:B)</f>
        <v>CAM6</v>
      </c>
      <c r="B217" s="319" t="s">
        <v>853</v>
      </c>
      <c r="D217" t="s">
        <v>1105</v>
      </c>
      <c r="F217" t="s">
        <v>1115</v>
      </c>
    </row>
    <row r="218" spans="1:6">
      <c r="A218" t="str">
        <f>+_xlfn.XLOOKUP(B218,'AREA Level 1'!C:C,'AREA Level 1'!B:B)</f>
        <v>CAM6</v>
      </c>
      <c r="B218" s="319" t="s">
        <v>853</v>
      </c>
      <c r="D218" t="s">
        <v>1105</v>
      </c>
      <c r="F218" t="s">
        <v>1116</v>
      </c>
    </row>
    <row r="219" spans="1:6">
      <c r="A219" t="str">
        <f>+_xlfn.XLOOKUP(B219,'AREA Level 1'!C:C,'AREA Level 1'!B:B)</f>
        <v>CAM6</v>
      </c>
      <c r="B219" s="319" t="s">
        <v>853</v>
      </c>
      <c r="D219" t="s">
        <v>1112</v>
      </c>
      <c r="F219" t="s">
        <v>1117</v>
      </c>
    </row>
    <row r="220" spans="1:6">
      <c r="A220" t="str">
        <f>+_xlfn.XLOOKUP(B220,'AREA Level 1'!C:C,'AREA Level 1'!B:B)</f>
        <v>CAM6</v>
      </c>
      <c r="B220" s="319" t="s">
        <v>853</v>
      </c>
      <c r="D220" t="s">
        <v>1105</v>
      </c>
      <c r="F220" t="s">
        <v>1118</v>
      </c>
    </row>
    <row r="221" spans="1:6">
      <c r="A221" t="str">
        <f>+_xlfn.XLOOKUP(B221,'AREA Level 1'!C:C,'AREA Level 1'!B:B)</f>
        <v>CAM6</v>
      </c>
      <c r="B221" s="319" t="s">
        <v>853</v>
      </c>
      <c r="D221" t="s">
        <v>1119</v>
      </c>
      <c r="F221" t="s">
        <v>1120</v>
      </c>
    </row>
    <row r="222" spans="1:6">
      <c r="A222" t="str">
        <f>+_xlfn.XLOOKUP(B222,'AREA Level 1'!C:C,'AREA Level 1'!B:B)</f>
        <v>CAM6</v>
      </c>
      <c r="B222" s="319" t="s">
        <v>853</v>
      </c>
      <c r="D222" t="s">
        <v>1105</v>
      </c>
      <c r="F222" t="s">
        <v>1121</v>
      </c>
    </row>
    <row r="223" spans="1:6">
      <c r="A223" t="str">
        <f>+_xlfn.XLOOKUP(B223,'AREA Level 1'!C:C,'AREA Level 1'!B:B)</f>
        <v>CAM6</v>
      </c>
      <c r="B223" s="319" t="s">
        <v>853</v>
      </c>
      <c r="D223" t="s">
        <v>1112</v>
      </c>
      <c r="F223" t="s">
        <v>1122</v>
      </c>
    </row>
    <row r="224" spans="1:6">
      <c r="A224" t="str">
        <f>+_xlfn.XLOOKUP(B224,'AREA Level 1'!C:C,'AREA Level 1'!B:B)</f>
        <v>CAM6</v>
      </c>
      <c r="B224" s="319" t="s">
        <v>853</v>
      </c>
      <c r="D224" t="s">
        <v>1105</v>
      </c>
      <c r="F224" t="s">
        <v>1123</v>
      </c>
    </row>
    <row r="225" spans="1:6">
      <c r="A225" t="str">
        <f>+_xlfn.XLOOKUP(B225,'AREA Level 1'!C:C,'AREA Level 1'!B:B)</f>
        <v>CAM6</v>
      </c>
      <c r="B225" s="319" t="s">
        <v>853</v>
      </c>
      <c r="D225" t="s">
        <v>1107</v>
      </c>
      <c r="F225" t="s">
        <v>1124</v>
      </c>
    </row>
    <row r="226" spans="1:6">
      <c r="A226" t="str">
        <f>+_xlfn.XLOOKUP(B226,'AREA Level 1'!C:C,'AREA Level 1'!B:B)</f>
        <v>CAM6</v>
      </c>
      <c r="B226" s="319" t="s">
        <v>853</v>
      </c>
      <c r="D226" t="s">
        <v>1119</v>
      </c>
      <c r="F226" t="s">
        <v>1125</v>
      </c>
    </row>
    <row r="227" spans="1:6">
      <c r="A227" t="str">
        <f>+_xlfn.XLOOKUP(B227,'AREA Level 1'!C:C,'AREA Level 1'!B:B)</f>
        <v>CAM6</v>
      </c>
      <c r="B227" s="319" t="s">
        <v>853</v>
      </c>
      <c r="D227" t="s">
        <v>1105</v>
      </c>
      <c r="F227" t="s">
        <v>1126</v>
      </c>
    </row>
    <row r="228" spans="1:6">
      <c r="A228" t="str">
        <f>+_xlfn.XLOOKUP(B228,'AREA Level 1'!C:C,'AREA Level 1'!B:B)</f>
        <v>CAM6</v>
      </c>
      <c r="B228" s="319" t="s">
        <v>853</v>
      </c>
      <c r="D228" t="s">
        <v>1119</v>
      </c>
      <c r="F228" t="s">
        <v>1127</v>
      </c>
    </row>
    <row r="229" spans="1:6">
      <c r="A229" t="str">
        <f>+_xlfn.XLOOKUP(B229,'AREA Level 1'!C:C,'AREA Level 1'!B:B)</f>
        <v>CAM6</v>
      </c>
      <c r="B229" s="319" t="s">
        <v>853</v>
      </c>
      <c r="D229" t="s">
        <v>1119</v>
      </c>
      <c r="F229" t="s">
        <v>1128</v>
      </c>
    </row>
    <row r="230" spans="1:6">
      <c r="A230" t="str">
        <f>+_xlfn.XLOOKUP(B230,'AREA Level 1'!C:C,'AREA Level 1'!B:B)</f>
        <v>CAM6</v>
      </c>
      <c r="B230" s="319" t="s">
        <v>853</v>
      </c>
      <c r="D230" t="s">
        <v>1105</v>
      </c>
      <c r="F230" t="s">
        <v>1129</v>
      </c>
    </row>
    <row r="231" spans="1:6">
      <c r="A231" t="str">
        <f>+_xlfn.XLOOKUP(B231,'AREA Level 1'!C:C,'AREA Level 1'!B:B)</f>
        <v>CAM7</v>
      </c>
      <c r="B231" s="319" t="s">
        <v>855</v>
      </c>
      <c r="D231" t="s">
        <v>1130</v>
      </c>
      <c r="F231" t="s">
        <v>1131</v>
      </c>
    </row>
    <row r="232" spans="1:6">
      <c r="A232" t="str">
        <f>+_xlfn.XLOOKUP(B232,'AREA Level 1'!C:C,'AREA Level 1'!B:B)</f>
        <v>CAM7</v>
      </c>
      <c r="B232" s="319" t="s">
        <v>855</v>
      </c>
      <c r="D232" t="s">
        <v>1132</v>
      </c>
      <c r="F232" t="s">
        <v>1133</v>
      </c>
    </row>
    <row r="233" spans="1:6">
      <c r="A233" t="str">
        <f>+_xlfn.XLOOKUP(B233,'AREA Level 1'!C:C,'AREA Level 1'!B:B)</f>
        <v>CAM7</v>
      </c>
      <c r="B233" s="319" t="s">
        <v>855</v>
      </c>
      <c r="D233" t="s">
        <v>1134</v>
      </c>
      <c r="F233" t="s">
        <v>1135</v>
      </c>
    </row>
    <row r="234" spans="1:6">
      <c r="A234" t="str">
        <f>+_xlfn.XLOOKUP(B234,'AREA Level 1'!C:C,'AREA Level 1'!B:B)</f>
        <v>CAM7</v>
      </c>
      <c r="B234" s="319" t="s">
        <v>855</v>
      </c>
      <c r="D234" t="s">
        <v>1136</v>
      </c>
      <c r="F234" t="s">
        <v>1137</v>
      </c>
    </row>
    <row r="235" spans="1:6">
      <c r="A235" t="str">
        <f>+_xlfn.XLOOKUP(B235,'AREA Level 1'!C:C,'AREA Level 1'!B:B)</f>
        <v>CAM7</v>
      </c>
      <c r="B235" s="319" t="s">
        <v>855</v>
      </c>
      <c r="D235" t="s">
        <v>1136</v>
      </c>
      <c r="F235" t="s">
        <v>1138</v>
      </c>
    </row>
    <row r="236" spans="1:6">
      <c r="A236" t="str">
        <f>+_xlfn.XLOOKUP(B236,'AREA Level 1'!C:C,'AREA Level 1'!B:B)</f>
        <v>CAM7</v>
      </c>
      <c r="B236" s="319" t="s">
        <v>855</v>
      </c>
      <c r="D236" t="s">
        <v>1134</v>
      </c>
      <c r="F236" t="s">
        <v>1139</v>
      </c>
    </row>
    <row r="237" spans="1:6">
      <c r="A237" t="str">
        <f>+_xlfn.XLOOKUP(B237,'AREA Level 1'!C:C,'AREA Level 1'!B:B)</f>
        <v>CAM7</v>
      </c>
      <c r="B237" s="319" t="s">
        <v>855</v>
      </c>
      <c r="D237" t="s">
        <v>1136</v>
      </c>
      <c r="F237" t="s">
        <v>1140</v>
      </c>
    </row>
    <row r="238" spans="1:6">
      <c r="A238" t="str">
        <f>+_xlfn.XLOOKUP(B238,'AREA Level 1'!C:C,'AREA Level 1'!B:B)</f>
        <v>CAM7</v>
      </c>
      <c r="B238" s="319" t="s">
        <v>855</v>
      </c>
      <c r="D238" t="s">
        <v>1136</v>
      </c>
      <c r="F238" t="s">
        <v>1141</v>
      </c>
    </row>
    <row r="239" spans="1:6">
      <c r="A239" t="str">
        <f>+_xlfn.XLOOKUP(B239,'AREA Level 1'!C:C,'AREA Level 1'!B:B)</f>
        <v>CAM7</v>
      </c>
      <c r="B239" s="319" t="s">
        <v>855</v>
      </c>
      <c r="D239" t="s">
        <v>1136</v>
      </c>
      <c r="F239" t="s">
        <v>1142</v>
      </c>
    </row>
    <row r="240" spans="1:6">
      <c r="A240" t="str">
        <f>+_xlfn.XLOOKUP(B240,'AREA Level 1'!C:C,'AREA Level 1'!B:B)</f>
        <v>CAM7</v>
      </c>
      <c r="B240" s="319" t="s">
        <v>855</v>
      </c>
      <c r="D240" t="s">
        <v>1130</v>
      </c>
      <c r="F240" t="s">
        <v>1143</v>
      </c>
    </row>
    <row r="241" spans="1:6">
      <c r="A241" t="str">
        <f>+_xlfn.XLOOKUP(B241,'AREA Level 1'!C:C,'AREA Level 1'!B:B)</f>
        <v>CAM7</v>
      </c>
      <c r="B241" s="319" t="s">
        <v>855</v>
      </c>
      <c r="D241" t="s">
        <v>1130</v>
      </c>
      <c r="F241" t="s">
        <v>1144</v>
      </c>
    </row>
    <row r="242" spans="1:6">
      <c r="A242" t="str">
        <f>+_xlfn.XLOOKUP(B242,'AREA Level 1'!C:C,'AREA Level 1'!B:B)</f>
        <v>CAM7</v>
      </c>
      <c r="B242" s="319" t="s">
        <v>855</v>
      </c>
      <c r="D242" t="s">
        <v>1145</v>
      </c>
      <c r="F242" t="s">
        <v>1146</v>
      </c>
    </row>
    <row r="243" spans="1:6">
      <c r="A243" t="str">
        <f>+_xlfn.XLOOKUP(B243,'AREA Level 1'!C:C,'AREA Level 1'!B:B)</f>
        <v>CAM7</v>
      </c>
      <c r="B243" s="319" t="s">
        <v>855</v>
      </c>
      <c r="D243" t="s">
        <v>1145</v>
      </c>
      <c r="F243" t="s">
        <v>1147</v>
      </c>
    </row>
    <row r="244" spans="1:6">
      <c r="A244" t="str">
        <f>+_xlfn.XLOOKUP(B244,'AREA Level 1'!C:C,'AREA Level 1'!B:B)</f>
        <v>CAM7</v>
      </c>
      <c r="B244" s="319" t="s">
        <v>855</v>
      </c>
      <c r="D244" t="s">
        <v>1145</v>
      </c>
      <c r="F244" t="s">
        <v>1148</v>
      </c>
    </row>
    <row r="245" spans="1:6">
      <c r="A245" t="str">
        <f>+_xlfn.XLOOKUP(B245,'AREA Level 1'!C:C,'AREA Level 1'!B:B)</f>
        <v>CAM7</v>
      </c>
      <c r="B245" s="319" t="s">
        <v>855</v>
      </c>
      <c r="D245" t="s">
        <v>1149</v>
      </c>
      <c r="F245" t="s">
        <v>1150</v>
      </c>
    </row>
    <row r="246" spans="1:6">
      <c r="A246" t="str">
        <f>+_xlfn.XLOOKUP(B246,'AREA Level 1'!C:C,'AREA Level 1'!B:B)</f>
        <v>CAM7</v>
      </c>
      <c r="B246" s="319" t="s">
        <v>855</v>
      </c>
      <c r="D246" t="s">
        <v>1149</v>
      </c>
      <c r="F246" t="s">
        <v>1151</v>
      </c>
    </row>
    <row r="247" spans="1:6">
      <c r="A247" t="str">
        <f>+_xlfn.XLOOKUP(B247,'AREA Level 1'!C:C,'AREA Level 1'!B:B)</f>
        <v>CAM7</v>
      </c>
      <c r="B247" s="319" t="s">
        <v>855</v>
      </c>
      <c r="D247" t="s">
        <v>1152</v>
      </c>
      <c r="F247" t="s">
        <v>1153</v>
      </c>
    </row>
    <row r="248" spans="1:6">
      <c r="A248" t="str">
        <f>+_xlfn.XLOOKUP(B248,'AREA Level 1'!C:C,'AREA Level 1'!B:B)</f>
        <v>CAM7</v>
      </c>
      <c r="B248" s="319" t="s">
        <v>855</v>
      </c>
      <c r="D248" t="s">
        <v>1152</v>
      </c>
      <c r="F248" t="s">
        <v>1154</v>
      </c>
    </row>
    <row r="249" spans="1:6">
      <c r="A249" t="str">
        <f>+_xlfn.XLOOKUP(B249,'AREA Level 1'!C:C,'AREA Level 1'!B:B)</f>
        <v>CAM7</v>
      </c>
      <c r="B249" s="319" t="s">
        <v>855</v>
      </c>
      <c r="D249" t="s">
        <v>1130</v>
      </c>
      <c r="F249" t="s">
        <v>1155</v>
      </c>
    </row>
    <row r="250" spans="1:6">
      <c r="A250" t="str">
        <f>+_xlfn.XLOOKUP(B250,'AREA Level 1'!C:C,'AREA Level 1'!B:B)</f>
        <v>CAM7</v>
      </c>
      <c r="B250" s="319" t="s">
        <v>855</v>
      </c>
      <c r="D250" t="s">
        <v>1152</v>
      </c>
      <c r="F250" t="s">
        <v>1156</v>
      </c>
    </row>
    <row r="251" spans="1:6">
      <c r="A251" t="str">
        <f>+_xlfn.XLOOKUP(B251,'AREA Level 1'!C:C,'AREA Level 1'!B:B)</f>
        <v>CAM7</v>
      </c>
      <c r="B251" s="319" t="s">
        <v>855</v>
      </c>
      <c r="D251" t="s">
        <v>1149</v>
      </c>
      <c r="F251" t="s">
        <v>1157</v>
      </c>
    </row>
    <row r="252" spans="1:6">
      <c r="A252" t="str">
        <f>+_xlfn.XLOOKUP(B252,'AREA Level 1'!C:C,'AREA Level 1'!B:B)</f>
        <v>CAM7</v>
      </c>
      <c r="B252" s="319" t="s">
        <v>855</v>
      </c>
      <c r="D252" t="s">
        <v>1132</v>
      </c>
      <c r="F252" t="s">
        <v>1158</v>
      </c>
    </row>
    <row r="253" spans="1:6">
      <c r="A253" t="str">
        <f>+_xlfn.XLOOKUP(B253,'AREA Level 1'!C:C,'AREA Level 1'!B:B)</f>
        <v>CAM7</v>
      </c>
      <c r="B253" s="319" t="s">
        <v>855</v>
      </c>
      <c r="D253" t="s">
        <v>1134</v>
      </c>
      <c r="F253" t="s">
        <v>1159</v>
      </c>
    </row>
    <row r="254" spans="1:6">
      <c r="A254" t="str">
        <f>+_xlfn.XLOOKUP(B254,'AREA Level 1'!C:C,'AREA Level 1'!B:B)</f>
        <v>CAM7</v>
      </c>
      <c r="B254" s="319" t="s">
        <v>855</v>
      </c>
      <c r="D254" t="s">
        <v>1132</v>
      </c>
      <c r="F254" t="s">
        <v>1160</v>
      </c>
    </row>
    <row r="255" spans="1:6">
      <c r="A255" t="str">
        <f>+_xlfn.XLOOKUP(B255,'AREA Level 1'!C:C,'AREA Level 1'!B:B)</f>
        <v>CAM7</v>
      </c>
      <c r="B255" s="319" t="s">
        <v>855</v>
      </c>
      <c r="D255" t="s">
        <v>1130</v>
      </c>
      <c r="F255" t="s">
        <v>1161</v>
      </c>
    </row>
    <row r="256" spans="1:6">
      <c r="A256" t="str">
        <f>+_xlfn.XLOOKUP(B256,'AREA Level 1'!C:C,'AREA Level 1'!B:B)</f>
        <v>CAM7</v>
      </c>
      <c r="B256" s="319" t="s">
        <v>855</v>
      </c>
      <c r="D256" t="s">
        <v>1145</v>
      </c>
      <c r="F256" t="s">
        <v>1162</v>
      </c>
    </row>
    <row r="257" spans="1:6">
      <c r="A257" t="str">
        <f>+_xlfn.XLOOKUP(B257,'AREA Level 1'!C:C,'AREA Level 1'!B:B)</f>
        <v>CAM7</v>
      </c>
      <c r="B257" s="319" t="s">
        <v>855</v>
      </c>
      <c r="D257" t="s">
        <v>1132</v>
      </c>
      <c r="F257" t="s">
        <v>1163</v>
      </c>
    </row>
    <row r="258" spans="1:6">
      <c r="A258" t="str">
        <f>+_xlfn.XLOOKUP(B258,'AREA Level 1'!C:C,'AREA Level 1'!B:B)</f>
        <v>CAM7</v>
      </c>
      <c r="B258" s="319" t="s">
        <v>855</v>
      </c>
      <c r="D258" t="s">
        <v>1152</v>
      </c>
      <c r="F258" t="s">
        <v>1164</v>
      </c>
    </row>
    <row r="259" spans="1:6">
      <c r="A259" t="str">
        <f>+_xlfn.XLOOKUP(B259,'AREA Level 1'!C:C,'AREA Level 1'!B:B)</f>
        <v>CAM7</v>
      </c>
      <c r="B259" s="319" t="s">
        <v>855</v>
      </c>
      <c r="D259" t="s">
        <v>1152</v>
      </c>
      <c r="F259" t="s">
        <v>1165</v>
      </c>
    </row>
    <row r="260" spans="1:6">
      <c r="A260" t="str">
        <f>+_xlfn.XLOOKUP(B260,'AREA Level 1'!C:C,'AREA Level 1'!B:B)</f>
        <v>CAM7</v>
      </c>
      <c r="B260" s="319" t="s">
        <v>855</v>
      </c>
      <c r="D260" t="s">
        <v>1132</v>
      </c>
      <c r="F260" t="s">
        <v>1166</v>
      </c>
    </row>
    <row r="261" spans="1:6">
      <c r="A261" t="str">
        <f>+_xlfn.XLOOKUP(B261,'AREA Level 1'!C:C,'AREA Level 1'!B:B)</f>
        <v>CAM7</v>
      </c>
      <c r="B261" s="319" t="s">
        <v>855</v>
      </c>
      <c r="D261" t="s">
        <v>1152</v>
      </c>
      <c r="F261" t="s">
        <v>1167</v>
      </c>
    </row>
    <row r="262" spans="1:6">
      <c r="A262" t="str">
        <f>+_xlfn.XLOOKUP(B262,'AREA Level 1'!C:C,'AREA Level 1'!B:B)</f>
        <v>CAM7</v>
      </c>
      <c r="B262" s="319" t="s">
        <v>855</v>
      </c>
      <c r="D262" t="s">
        <v>1136</v>
      </c>
      <c r="F262" t="s">
        <v>1168</v>
      </c>
    </row>
    <row r="263" spans="1:6">
      <c r="A263" t="str">
        <f>+_xlfn.XLOOKUP(B263,'AREA Level 1'!C:C,'AREA Level 1'!B:B)</f>
        <v>CAM7</v>
      </c>
      <c r="B263" s="319" t="s">
        <v>855</v>
      </c>
      <c r="D263" t="s">
        <v>1136</v>
      </c>
      <c r="F263" t="s">
        <v>1169</v>
      </c>
    </row>
    <row r="264" spans="1:6">
      <c r="A264" t="str">
        <f>+_xlfn.XLOOKUP(B264,'AREA Level 1'!C:C,'AREA Level 1'!B:B)</f>
        <v>CAM7</v>
      </c>
      <c r="B264" s="319" t="s">
        <v>855</v>
      </c>
      <c r="D264" t="s">
        <v>1130</v>
      </c>
      <c r="F264" t="s">
        <v>1170</v>
      </c>
    </row>
    <row r="265" spans="1:6">
      <c r="A265" t="str">
        <f>+_xlfn.XLOOKUP(B265,'AREA Level 1'!C:C,'AREA Level 1'!B:B)</f>
        <v>CAM7</v>
      </c>
      <c r="B265" s="319" t="s">
        <v>855</v>
      </c>
      <c r="D265" t="s">
        <v>1149</v>
      </c>
      <c r="F265" t="s">
        <v>1171</v>
      </c>
    </row>
    <row r="266" spans="1:6">
      <c r="A266" t="str">
        <f>+_xlfn.XLOOKUP(B266,'AREA Level 1'!C:C,'AREA Level 1'!B:B)</f>
        <v>CAM8</v>
      </c>
      <c r="B266" s="319" t="s">
        <v>857</v>
      </c>
      <c r="D266" t="s">
        <v>1172</v>
      </c>
      <c r="F266" t="s">
        <v>1173</v>
      </c>
    </row>
    <row r="267" spans="1:6">
      <c r="A267" t="str">
        <f>+_xlfn.XLOOKUP(B267,'AREA Level 1'!C:C,'AREA Level 1'!B:B)</f>
        <v>CAM8</v>
      </c>
      <c r="B267" s="319" t="s">
        <v>857</v>
      </c>
      <c r="D267" t="s">
        <v>1174</v>
      </c>
      <c r="F267" t="s">
        <v>1175</v>
      </c>
    </row>
    <row r="268" spans="1:6">
      <c r="A268" t="str">
        <f>+_xlfn.XLOOKUP(B268,'AREA Level 1'!C:C,'AREA Level 1'!B:B)</f>
        <v>CAM8</v>
      </c>
      <c r="B268" s="319" t="s">
        <v>857</v>
      </c>
      <c r="D268" t="s">
        <v>1176</v>
      </c>
      <c r="F268" t="s">
        <v>1177</v>
      </c>
    </row>
    <row r="269" spans="1:6">
      <c r="A269" t="str">
        <f>+_xlfn.XLOOKUP(B269,'AREA Level 1'!C:C,'AREA Level 1'!B:B)</f>
        <v>CAM8</v>
      </c>
      <c r="B269" s="319" t="s">
        <v>857</v>
      </c>
      <c r="D269" t="s">
        <v>1176</v>
      </c>
      <c r="F269" t="s">
        <v>1178</v>
      </c>
    </row>
    <row r="270" spans="1:6">
      <c r="A270" t="str">
        <f>+_xlfn.XLOOKUP(B270,'AREA Level 1'!C:C,'AREA Level 1'!B:B)</f>
        <v>CAM8</v>
      </c>
      <c r="B270" s="319" t="s">
        <v>857</v>
      </c>
      <c r="D270" t="s">
        <v>1176</v>
      </c>
      <c r="F270" t="s">
        <v>1179</v>
      </c>
    </row>
    <row r="271" spans="1:6">
      <c r="A271" t="str">
        <f>+_xlfn.XLOOKUP(B271,'AREA Level 1'!C:C,'AREA Level 1'!B:B)</f>
        <v>CAM8</v>
      </c>
      <c r="B271" s="319" t="s">
        <v>857</v>
      </c>
      <c r="D271" t="s">
        <v>1180</v>
      </c>
      <c r="F271" t="s">
        <v>1181</v>
      </c>
    </row>
    <row r="272" spans="1:6">
      <c r="A272" t="str">
        <f>+_xlfn.XLOOKUP(B272,'AREA Level 1'!C:C,'AREA Level 1'!B:B)</f>
        <v>CAM8</v>
      </c>
      <c r="B272" s="319" t="s">
        <v>857</v>
      </c>
      <c r="D272" t="s">
        <v>1174</v>
      </c>
      <c r="F272" t="s">
        <v>1182</v>
      </c>
    </row>
    <row r="273" spans="1:6">
      <c r="A273" t="str">
        <f>+_xlfn.XLOOKUP(B273,'AREA Level 1'!C:C,'AREA Level 1'!B:B)</f>
        <v>CAM8</v>
      </c>
      <c r="B273" s="319" t="s">
        <v>857</v>
      </c>
      <c r="D273" t="s">
        <v>1180</v>
      </c>
      <c r="F273" t="s">
        <v>1183</v>
      </c>
    </row>
    <row r="274" spans="1:6">
      <c r="A274" t="str">
        <f>+_xlfn.XLOOKUP(B274,'AREA Level 1'!C:C,'AREA Level 1'!B:B)</f>
        <v>CAM8</v>
      </c>
      <c r="B274" s="319" t="s">
        <v>857</v>
      </c>
      <c r="D274" t="s">
        <v>1174</v>
      </c>
      <c r="F274" t="s">
        <v>1184</v>
      </c>
    </row>
    <row r="275" spans="1:6">
      <c r="A275" t="str">
        <f>+_xlfn.XLOOKUP(B275,'AREA Level 1'!C:C,'AREA Level 1'!B:B)</f>
        <v>CAM8</v>
      </c>
      <c r="B275" s="319" t="s">
        <v>857</v>
      </c>
      <c r="D275" t="s">
        <v>1174</v>
      </c>
      <c r="F275" t="s">
        <v>1185</v>
      </c>
    </row>
    <row r="276" spans="1:6">
      <c r="A276" t="str">
        <f>+_xlfn.XLOOKUP(B276,'AREA Level 1'!C:C,'AREA Level 1'!B:B)</f>
        <v>CAM8</v>
      </c>
      <c r="B276" s="319" t="s">
        <v>857</v>
      </c>
      <c r="D276" t="s">
        <v>1186</v>
      </c>
      <c r="F276" t="s">
        <v>1187</v>
      </c>
    </row>
    <row r="277" spans="1:6">
      <c r="A277" t="str">
        <f>+_xlfn.XLOOKUP(B277,'AREA Level 1'!C:C,'AREA Level 1'!B:B)</f>
        <v>CAM8</v>
      </c>
      <c r="B277" s="319" t="s">
        <v>857</v>
      </c>
      <c r="D277" t="s">
        <v>1180</v>
      </c>
      <c r="F277" t="s">
        <v>1188</v>
      </c>
    </row>
    <row r="278" spans="1:6">
      <c r="A278" t="str">
        <f>+_xlfn.XLOOKUP(B278,'AREA Level 1'!C:C,'AREA Level 1'!B:B)</f>
        <v>CAM8</v>
      </c>
      <c r="B278" s="319" t="s">
        <v>857</v>
      </c>
      <c r="D278" t="s">
        <v>1189</v>
      </c>
      <c r="F278" t="s">
        <v>1190</v>
      </c>
    </row>
    <row r="279" spans="1:6">
      <c r="A279" t="str">
        <f>+_xlfn.XLOOKUP(B279,'AREA Level 1'!C:C,'AREA Level 1'!B:B)</f>
        <v>CAM8</v>
      </c>
      <c r="B279" s="319" t="s">
        <v>857</v>
      </c>
      <c r="D279" t="s">
        <v>1174</v>
      </c>
      <c r="F279" t="s">
        <v>1191</v>
      </c>
    </row>
    <row r="280" spans="1:6">
      <c r="A280" t="str">
        <f>+_xlfn.XLOOKUP(B280,'AREA Level 1'!C:C,'AREA Level 1'!B:B)</f>
        <v>CAM8</v>
      </c>
      <c r="B280" s="319" t="s">
        <v>857</v>
      </c>
      <c r="D280" t="s">
        <v>1174</v>
      </c>
      <c r="F280" t="s">
        <v>1192</v>
      </c>
    </row>
    <row r="281" spans="1:6">
      <c r="A281" t="str">
        <f>+_xlfn.XLOOKUP(B281,'AREA Level 1'!C:C,'AREA Level 1'!B:B)</f>
        <v>CAM8</v>
      </c>
      <c r="B281" s="319" t="s">
        <v>857</v>
      </c>
      <c r="D281" t="s">
        <v>1186</v>
      </c>
      <c r="F281" t="s">
        <v>1193</v>
      </c>
    </row>
    <row r="282" spans="1:6">
      <c r="A282" t="str">
        <f>+_xlfn.XLOOKUP(B282,'AREA Level 1'!C:C,'AREA Level 1'!B:B)</f>
        <v>CAM8</v>
      </c>
      <c r="B282" s="319" t="s">
        <v>857</v>
      </c>
      <c r="D282" t="s">
        <v>1172</v>
      </c>
      <c r="F282" t="s">
        <v>1194</v>
      </c>
    </row>
    <row r="283" spans="1:6">
      <c r="A283" t="str">
        <f>+_xlfn.XLOOKUP(B283,'AREA Level 1'!C:C,'AREA Level 1'!B:B)</f>
        <v>CAM8</v>
      </c>
      <c r="B283" s="319" t="s">
        <v>857</v>
      </c>
      <c r="D283" t="s">
        <v>1180</v>
      </c>
      <c r="F283" t="s">
        <v>1195</v>
      </c>
    </row>
    <row r="284" spans="1:6">
      <c r="A284" t="str">
        <f>+_xlfn.XLOOKUP(B284,'AREA Level 1'!C:C,'AREA Level 1'!B:B)</f>
        <v>CAM8</v>
      </c>
      <c r="B284" s="319" t="s">
        <v>857</v>
      </c>
      <c r="D284" t="s">
        <v>1196</v>
      </c>
      <c r="F284" t="s">
        <v>1197</v>
      </c>
    </row>
    <row r="285" spans="1:6">
      <c r="A285" t="str">
        <f>+_xlfn.XLOOKUP(B285,'AREA Level 1'!C:C,'AREA Level 1'!B:B)</f>
        <v>CAM8</v>
      </c>
      <c r="B285" s="319" t="s">
        <v>857</v>
      </c>
      <c r="D285" t="s">
        <v>1186</v>
      </c>
      <c r="F285" t="s">
        <v>1198</v>
      </c>
    </row>
    <row r="286" spans="1:6">
      <c r="A286" t="str">
        <f>+_xlfn.XLOOKUP(B286,'AREA Level 1'!C:C,'AREA Level 1'!B:B)</f>
        <v>CAM8</v>
      </c>
      <c r="B286" s="319" t="s">
        <v>857</v>
      </c>
      <c r="D286" t="s">
        <v>1196</v>
      </c>
      <c r="F286" t="s">
        <v>1199</v>
      </c>
    </row>
    <row r="287" spans="1:6">
      <c r="A287" t="str">
        <f>+_xlfn.XLOOKUP(B287,'AREA Level 1'!C:C,'AREA Level 1'!B:B)</f>
        <v>CAM8</v>
      </c>
      <c r="B287" s="319" t="s">
        <v>857</v>
      </c>
      <c r="D287" t="s">
        <v>1200</v>
      </c>
      <c r="F287" t="s">
        <v>1201</v>
      </c>
    </row>
    <row r="288" spans="1:6">
      <c r="A288" t="str">
        <f>+_xlfn.XLOOKUP(B288,'AREA Level 1'!C:C,'AREA Level 1'!B:B)</f>
        <v>CAM8</v>
      </c>
      <c r="B288" s="319" t="s">
        <v>857</v>
      </c>
      <c r="D288" t="s">
        <v>1200</v>
      </c>
      <c r="F288" t="s">
        <v>1202</v>
      </c>
    </row>
    <row r="289" spans="1:6">
      <c r="A289" t="str">
        <f>+_xlfn.XLOOKUP(B289,'AREA Level 1'!C:C,'AREA Level 1'!B:B)</f>
        <v>CAM8</v>
      </c>
      <c r="B289" s="319" t="s">
        <v>857</v>
      </c>
      <c r="D289" t="s">
        <v>1200</v>
      </c>
      <c r="F289" t="s">
        <v>1203</v>
      </c>
    </row>
    <row r="290" spans="1:6">
      <c r="A290" t="str">
        <f>+_xlfn.XLOOKUP(B290,'AREA Level 1'!C:C,'AREA Level 1'!B:B)</f>
        <v>CAM8</v>
      </c>
      <c r="B290" s="319" t="s">
        <v>857</v>
      </c>
      <c r="D290" t="s">
        <v>1189</v>
      </c>
      <c r="F290" t="s">
        <v>1204</v>
      </c>
    </row>
    <row r="291" spans="1:6">
      <c r="A291" t="str">
        <f>+_xlfn.XLOOKUP(B291,'AREA Level 1'!C:C,'AREA Level 1'!B:B)</f>
        <v>CAM8</v>
      </c>
      <c r="B291" s="319" t="s">
        <v>857</v>
      </c>
      <c r="D291" t="s">
        <v>1189</v>
      </c>
      <c r="F291" t="s">
        <v>1205</v>
      </c>
    </row>
    <row r="292" spans="1:6">
      <c r="A292" t="str">
        <f>+_xlfn.XLOOKUP(B292,'AREA Level 1'!C:C,'AREA Level 1'!B:B)</f>
        <v>CAM8</v>
      </c>
      <c r="B292" s="319" t="s">
        <v>857</v>
      </c>
      <c r="D292" t="s">
        <v>1172</v>
      </c>
      <c r="F292" t="s">
        <v>1206</v>
      </c>
    </row>
    <row r="293" spans="1:6">
      <c r="A293" t="str">
        <f>+_xlfn.XLOOKUP(B293,'AREA Level 1'!C:C,'AREA Level 1'!B:B)</f>
        <v>CAM8</v>
      </c>
      <c r="B293" s="319" t="s">
        <v>857</v>
      </c>
      <c r="D293" t="s">
        <v>1174</v>
      </c>
      <c r="F293" t="s">
        <v>1207</v>
      </c>
    </row>
    <row r="294" spans="1:6">
      <c r="A294" t="str">
        <f>+_xlfn.XLOOKUP(B294,'AREA Level 1'!C:C,'AREA Level 1'!B:B)</f>
        <v>CAM8</v>
      </c>
      <c r="B294" s="319" t="s">
        <v>857</v>
      </c>
      <c r="D294" t="s">
        <v>1189</v>
      </c>
      <c r="F294" t="s">
        <v>1208</v>
      </c>
    </row>
    <row r="295" spans="1:6">
      <c r="A295" t="str">
        <f>+_xlfn.XLOOKUP(B295,'AREA Level 1'!C:C,'AREA Level 1'!B:B)</f>
        <v>CAM8</v>
      </c>
      <c r="B295" s="319" t="s">
        <v>857</v>
      </c>
      <c r="D295" t="s">
        <v>1189</v>
      </c>
      <c r="F295" t="s">
        <v>1209</v>
      </c>
    </row>
    <row r="296" spans="1:6">
      <c r="A296" t="str">
        <f>+_xlfn.XLOOKUP(B296,'AREA Level 1'!C:C,'AREA Level 1'!B:B)</f>
        <v>CAM8</v>
      </c>
      <c r="B296" s="319" t="s">
        <v>857</v>
      </c>
      <c r="D296" t="s">
        <v>1189</v>
      </c>
      <c r="F296" t="s">
        <v>1210</v>
      </c>
    </row>
    <row r="297" spans="1:6">
      <c r="A297" t="str">
        <f>+_xlfn.XLOOKUP(B297,'AREA Level 1'!C:C,'AREA Level 1'!B:B)</f>
        <v>CAM8</v>
      </c>
      <c r="B297" s="319" t="s">
        <v>857</v>
      </c>
      <c r="D297" t="s">
        <v>1189</v>
      </c>
      <c r="F297" t="s">
        <v>1211</v>
      </c>
    </row>
    <row r="298" spans="1:6">
      <c r="A298" t="str">
        <f>+_xlfn.XLOOKUP(B298,'AREA Level 1'!C:C,'AREA Level 1'!B:B)</f>
        <v>CAM8</v>
      </c>
      <c r="B298" s="319" t="s">
        <v>857</v>
      </c>
      <c r="D298" t="s">
        <v>1189</v>
      </c>
      <c r="F298" t="s">
        <v>1212</v>
      </c>
    </row>
    <row r="299" spans="1:6">
      <c r="A299" t="str">
        <f>+_xlfn.XLOOKUP(B299,'AREA Level 1'!C:C,'AREA Level 1'!B:B)</f>
        <v>CAM8</v>
      </c>
      <c r="B299" s="319" t="s">
        <v>857</v>
      </c>
      <c r="D299" t="s">
        <v>1172</v>
      </c>
      <c r="F299" t="s">
        <v>1213</v>
      </c>
    </row>
    <row r="300" spans="1:6">
      <c r="A300" t="str">
        <f>+_xlfn.XLOOKUP(B300,'AREA Level 1'!C:C,'AREA Level 1'!B:B)</f>
        <v>CAM8</v>
      </c>
      <c r="B300" s="319" t="s">
        <v>857</v>
      </c>
      <c r="D300" t="s">
        <v>1189</v>
      </c>
      <c r="F300" t="s">
        <v>1214</v>
      </c>
    </row>
    <row r="301" spans="1:6">
      <c r="A301" t="str">
        <f>+_xlfn.XLOOKUP(B301,'AREA Level 1'!C:C,'AREA Level 1'!B:B)</f>
        <v>CAM8</v>
      </c>
      <c r="B301" s="319" t="s">
        <v>857</v>
      </c>
      <c r="D301" t="s">
        <v>1200</v>
      </c>
      <c r="F301" t="s">
        <v>1215</v>
      </c>
    </row>
    <row r="302" spans="1:6">
      <c r="A302" t="str">
        <f>+_xlfn.XLOOKUP(B302,'AREA Level 1'!C:C,'AREA Level 1'!B:B)</f>
        <v>CAM8</v>
      </c>
      <c r="B302" s="319" t="s">
        <v>857</v>
      </c>
      <c r="D302" t="s">
        <v>1200</v>
      </c>
      <c r="F302" t="s">
        <v>1216</v>
      </c>
    </row>
    <row r="303" spans="1:6">
      <c r="A303" t="str">
        <f>+_xlfn.XLOOKUP(B303,'AREA Level 1'!C:C,'AREA Level 1'!B:B)</f>
        <v>CAM8</v>
      </c>
      <c r="B303" s="319" t="s">
        <v>857</v>
      </c>
      <c r="D303" t="s">
        <v>1196</v>
      </c>
      <c r="F303" t="s">
        <v>1217</v>
      </c>
    </row>
    <row r="304" spans="1:6">
      <c r="A304" t="str">
        <f>+_xlfn.XLOOKUP(B304,'AREA Level 1'!C:C,'AREA Level 1'!B:B)</f>
        <v>CAM8</v>
      </c>
      <c r="B304" s="319" t="s">
        <v>857</v>
      </c>
      <c r="D304" t="s">
        <v>1200</v>
      </c>
      <c r="F304" t="s">
        <v>1218</v>
      </c>
    </row>
    <row r="305" spans="1:6">
      <c r="A305" t="str">
        <f>+_xlfn.XLOOKUP(B305,'AREA Level 1'!C:C,'AREA Level 1'!B:B)</f>
        <v>CAM8</v>
      </c>
      <c r="B305" s="319" t="s">
        <v>857</v>
      </c>
      <c r="D305" t="s">
        <v>1186</v>
      </c>
      <c r="F305" t="s">
        <v>1219</v>
      </c>
    </row>
    <row r="306" spans="1:6">
      <c r="A306" t="str">
        <f>+_xlfn.XLOOKUP(B306,'AREA Level 1'!C:C,'AREA Level 1'!B:B)</f>
        <v>CAM9</v>
      </c>
      <c r="B306" s="319" t="s">
        <v>859</v>
      </c>
      <c r="D306" t="s">
        <v>1220</v>
      </c>
      <c r="F306" t="s">
        <v>1221</v>
      </c>
    </row>
    <row r="307" spans="1:6">
      <c r="A307" t="str">
        <f>+_xlfn.XLOOKUP(B307,'AREA Level 1'!C:C,'AREA Level 1'!B:B)</f>
        <v>CAM9</v>
      </c>
      <c r="B307" s="319" t="s">
        <v>859</v>
      </c>
      <c r="D307" t="s">
        <v>1222</v>
      </c>
      <c r="F307" t="s">
        <v>1223</v>
      </c>
    </row>
    <row r="308" spans="1:6">
      <c r="A308" t="str">
        <f>+_xlfn.XLOOKUP(B308,'AREA Level 1'!C:C,'AREA Level 1'!B:B)</f>
        <v>CAM9</v>
      </c>
      <c r="B308" s="319" t="s">
        <v>859</v>
      </c>
      <c r="D308" t="s">
        <v>1224</v>
      </c>
      <c r="F308" t="s">
        <v>1225</v>
      </c>
    </row>
    <row r="309" spans="1:6">
      <c r="A309" t="str">
        <f>+_xlfn.XLOOKUP(B309,'AREA Level 1'!C:C,'AREA Level 1'!B:B)</f>
        <v>CAM9</v>
      </c>
      <c r="B309" s="319" t="s">
        <v>859</v>
      </c>
      <c r="D309" t="s">
        <v>1220</v>
      </c>
      <c r="F309" t="s">
        <v>1226</v>
      </c>
    </row>
    <row r="310" spans="1:6">
      <c r="A310" t="str">
        <f>+_xlfn.XLOOKUP(B310,'AREA Level 1'!C:C,'AREA Level 1'!B:B)</f>
        <v>CAM9</v>
      </c>
      <c r="B310" s="319" t="s">
        <v>859</v>
      </c>
      <c r="D310" t="s">
        <v>1227</v>
      </c>
      <c r="F310" t="s">
        <v>1228</v>
      </c>
    </row>
    <row r="311" spans="1:6">
      <c r="A311" t="str">
        <f>+_xlfn.XLOOKUP(B311,'AREA Level 1'!C:C,'AREA Level 1'!B:B)</f>
        <v>CAM9</v>
      </c>
      <c r="B311" s="319" t="s">
        <v>859</v>
      </c>
      <c r="D311" t="s">
        <v>1227</v>
      </c>
      <c r="F311" t="s">
        <v>1229</v>
      </c>
    </row>
    <row r="312" spans="1:6">
      <c r="A312" t="str">
        <f>+_xlfn.XLOOKUP(B312,'AREA Level 1'!C:C,'AREA Level 1'!B:B)</f>
        <v>CAM9</v>
      </c>
      <c r="B312" s="319" t="s">
        <v>859</v>
      </c>
      <c r="D312" t="s">
        <v>1220</v>
      </c>
      <c r="F312" t="s">
        <v>1230</v>
      </c>
    </row>
    <row r="313" spans="1:6">
      <c r="A313" t="str">
        <f>+_xlfn.XLOOKUP(B313,'AREA Level 1'!C:C,'AREA Level 1'!B:B)</f>
        <v>CAM9</v>
      </c>
      <c r="B313" s="319" t="s">
        <v>859</v>
      </c>
      <c r="D313" t="s">
        <v>1224</v>
      </c>
      <c r="F313" t="s">
        <v>1231</v>
      </c>
    </row>
    <row r="314" spans="1:6">
      <c r="A314" t="str">
        <f>+_xlfn.XLOOKUP(B314,'AREA Level 1'!C:C,'AREA Level 1'!B:B)</f>
        <v>CAM9</v>
      </c>
      <c r="B314" s="319" t="s">
        <v>859</v>
      </c>
      <c r="D314" t="s">
        <v>1227</v>
      </c>
      <c r="F314" t="s">
        <v>1232</v>
      </c>
    </row>
    <row r="315" spans="1:6">
      <c r="A315" t="str">
        <f>+_xlfn.XLOOKUP(B315,'AREA Level 1'!C:C,'AREA Level 1'!B:B)</f>
        <v>CAM9</v>
      </c>
      <c r="B315" s="319" t="s">
        <v>859</v>
      </c>
      <c r="D315" t="s">
        <v>1227</v>
      </c>
      <c r="F315" t="s">
        <v>1233</v>
      </c>
    </row>
    <row r="316" spans="1:6">
      <c r="A316" t="str">
        <f>+_xlfn.XLOOKUP(B316,'AREA Level 1'!C:C,'AREA Level 1'!B:B)</f>
        <v>CAM9</v>
      </c>
      <c r="B316" s="319" t="s">
        <v>859</v>
      </c>
      <c r="D316" t="s">
        <v>1227</v>
      </c>
      <c r="F316" t="s">
        <v>1234</v>
      </c>
    </row>
    <row r="317" spans="1:6">
      <c r="A317" t="str">
        <f>+_xlfn.XLOOKUP(B317,'AREA Level 1'!C:C,'AREA Level 1'!B:B)</f>
        <v>CAM9</v>
      </c>
      <c r="B317" s="319" t="s">
        <v>859</v>
      </c>
      <c r="D317" t="s">
        <v>1220</v>
      </c>
      <c r="F317" t="s">
        <v>1235</v>
      </c>
    </row>
    <row r="318" spans="1:6">
      <c r="A318" t="str">
        <f>+_xlfn.XLOOKUP(B318,'AREA Level 1'!C:C,'AREA Level 1'!B:B)</f>
        <v>CAM9</v>
      </c>
      <c r="B318" s="319" t="s">
        <v>859</v>
      </c>
      <c r="D318" t="s">
        <v>1220</v>
      </c>
      <c r="F318" t="s">
        <v>1236</v>
      </c>
    </row>
    <row r="319" spans="1:6">
      <c r="A319" t="str">
        <f>+_xlfn.XLOOKUP(B319,'AREA Level 1'!C:C,'AREA Level 1'!B:B)</f>
        <v>CAM9</v>
      </c>
      <c r="B319" s="319" t="s">
        <v>859</v>
      </c>
      <c r="D319" t="s">
        <v>1222</v>
      </c>
      <c r="F319" t="s">
        <v>1237</v>
      </c>
    </row>
    <row r="320" spans="1:6">
      <c r="A320" t="str">
        <f>+_xlfn.XLOOKUP(B320,'AREA Level 1'!C:C,'AREA Level 1'!B:B)</f>
        <v>CAM9</v>
      </c>
      <c r="B320" s="319" t="s">
        <v>859</v>
      </c>
      <c r="D320" t="s">
        <v>1220</v>
      </c>
      <c r="F320" t="s">
        <v>1238</v>
      </c>
    </row>
    <row r="321" spans="1:6">
      <c r="A321" t="str">
        <f>+_xlfn.XLOOKUP(B321,'AREA Level 1'!C:C,'AREA Level 1'!B:B)</f>
        <v>CAM9</v>
      </c>
      <c r="B321" s="319" t="s">
        <v>859</v>
      </c>
      <c r="D321" t="s">
        <v>1220</v>
      </c>
      <c r="F321" t="s">
        <v>1239</v>
      </c>
    </row>
    <row r="322" spans="1:6">
      <c r="A322" t="str">
        <f>+_xlfn.XLOOKUP(B322,'AREA Level 1'!C:C,'AREA Level 1'!B:B)</f>
        <v>CAM9</v>
      </c>
      <c r="B322" s="319" t="s">
        <v>859</v>
      </c>
      <c r="D322" t="s">
        <v>1222</v>
      </c>
      <c r="F322" t="s">
        <v>1240</v>
      </c>
    </row>
    <row r="323" spans="1:6">
      <c r="A323" t="str">
        <f>+_xlfn.XLOOKUP(B323,'AREA Level 1'!C:C,'AREA Level 1'!B:B)</f>
        <v>CAM9</v>
      </c>
      <c r="B323" s="319" t="s">
        <v>859</v>
      </c>
      <c r="D323" t="s">
        <v>1227</v>
      </c>
      <c r="F323" t="s">
        <v>1241</v>
      </c>
    </row>
    <row r="324" spans="1:6">
      <c r="A324" t="str">
        <f>+_xlfn.XLOOKUP(B324,'AREA Level 1'!C:C,'AREA Level 1'!B:B)</f>
        <v>CAM9</v>
      </c>
      <c r="B324" s="319" t="s">
        <v>859</v>
      </c>
      <c r="D324" t="s">
        <v>1224</v>
      </c>
      <c r="F324" t="s">
        <v>1242</v>
      </c>
    </row>
    <row r="325" spans="1:6">
      <c r="A325" t="str">
        <f>+_xlfn.XLOOKUP(B325,'AREA Level 1'!C:C,'AREA Level 1'!B:B)</f>
        <v>CAM9</v>
      </c>
      <c r="B325" s="319" t="s">
        <v>859</v>
      </c>
      <c r="D325" t="s">
        <v>1224</v>
      </c>
      <c r="F325" t="s">
        <v>1243</v>
      </c>
    </row>
    <row r="326" spans="1:6">
      <c r="A326" t="str">
        <f>+_xlfn.XLOOKUP(B326,'AREA Level 1'!C:C,'AREA Level 1'!B:B)</f>
        <v>CAM9</v>
      </c>
      <c r="B326" s="319" t="s">
        <v>859</v>
      </c>
      <c r="D326" t="s">
        <v>1224</v>
      </c>
      <c r="F326" t="s">
        <v>1244</v>
      </c>
    </row>
    <row r="327" spans="1:6">
      <c r="A327" t="str">
        <f>+_xlfn.XLOOKUP(B327,'AREA Level 1'!C:C,'AREA Level 1'!B:B)</f>
        <v>CAM9</v>
      </c>
      <c r="B327" s="319" t="s">
        <v>859</v>
      </c>
      <c r="D327" t="s">
        <v>1227</v>
      </c>
      <c r="F327" t="s">
        <v>1245</v>
      </c>
    </row>
    <row r="328" spans="1:6">
      <c r="A328" t="str">
        <f>+_xlfn.XLOOKUP(B328,'AREA Level 1'!C:C,'AREA Level 1'!B:B)</f>
        <v>CAM9</v>
      </c>
      <c r="B328" s="319" t="s">
        <v>859</v>
      </c>
      <c r="D328" t="s">
        <v>1220</v>
      </c>
      <c r="F328" t="s">
        <v>1246</v>
      </c>
    </row>
    <row r="329" spans="1:6">
      <c r="A329" t="str">
        <f>+_xlfn.XLOOKUP(B329,'AREA Level 1'!C:C,'AREA Level 1'!B:B)</f>
        <v>CAM9</v>
      </c>
      <c r="B329" s="319" t="s">
        <v>859</v>
      </c>
      <c r="D329" t="s">
        <v>1227</v>
      </c>
      <c r="F329" t="s">
        <v>1247</v>
      </c>
    </row>
    <row r="330" spans="1:6">
      <c r="A330" t="str">
        <f>+_xlfn.XLOOKUP(B330,'AREA Level 1'!C:C,'AREA Level 1'!B:B)</f>
        <v>CAM9</v>
      </c>
      <c r="B330" s="319" t="s">
        <v>859</v>
      </c>
      <c r="D330" t="s">
        <v>1220</v>
      </c>
      <c r="F330" t="s">
        <v>1248</v>
      </c>
    </row>
    <row r="331" spans="1:6">
      <c r="A331" t="str">
        <f>+_xlfn.XLOOKUP(B331,'AREA Level 1'!C:C,'AREA Level 1'!B:B)</f>
        <v>CAM9</v>
      </c>
      <c r="B331" s="319" t="s">
        <v>859</v>
      </c>
      <c r="D331" t="s">
        <v>1222</v>
      </c>
      <c r="F331" t="s">
        <v>1249</v>
      </c>
    </row>
    <row r="332" spans="1:6">
      <c r="A332" t="str">
        <f>+_xlfn.XLOOKUP(B332,'AREA Level 1'!C:C,'AREA Level 1'!B:B)</f>
        <v>CAM9</v>
      </c>
      <c r="B332" s="319" t="s">
        <v>859</v>
      </c>
      <c r="D332" t="s">
        <v>1224</v>
      </c>
      <c r="F332" t="s">
        <v>1250</v>
      </c>
    </row>
    <row r="333" spans="1:6">
      <c r="A333" t="str">
        <f>+_xlfn.XLOOKUP(B333,'AREA Level 1'!C:C,'AREA Level 1'!B:B)</f>
        <v>CAM9</v>
      </c>
      <c r="B333" s="319" t="s">
        <v>859</v>
      </c>
      <c r="D333" t="s">
        <v>1224</v>
      </c>
      <c r="F333" t="s">
        <v>1251</v>
      </c>
    </row>
    <row r="334" spans="1:6">
      <c r="A334" t="str">
        <f>+_xlfn.XLOOKUP(B334,'AREA Level 1'!C:C,'AREA Level 1'!B:B)</f>
        <v>CAM9</v>
      </c>
      <c r="B334" s="319" t="s">
        <v>859</v>
      </c>
      <c r="D334" t="s">
        <v>1224</v>
      </c>
      <c r="F334" t="s">
        <v>1252</v>
      </c>
    </row>
    <row r="335" spans="1:6">
      <c r="A335" t="str">
        <f>+_xlfn.XLOOKUP(B335,'AREA Level 1'!C:C,'AREA Level 1'!B:B)</f>
        <v>CAM10</v>
      </c>
      <c r="B335" s="319" t="s">
        <v>861</v>
      </c>
      <c r="D335" t="s">
        <v>1253</v>
      </c>
      <c r="F335" t="s">
        <v>1254</v>
      </c>
    </row>
    <row r="336" spans="1:6">
      <c r="A336" t="str">
        <f>+_xlfn.XLOOKUP(B336,'AREA Level 1'!C:C,'AREA Level 1'!B:B)</f>
        <v>CAM10</v>
      </c>
      <c r="B336" s="319" t="s">
        <v>861</v>
      </c>
      <c r="D336" t="s">
        <v>1255</v>
      </c>
      <c r="F336" t="s">
        <v>1256</v>
      </c>
    </row>
    <row r="337" spans="1:6">
      <c r="A337" t="str">
        <f>+_xlfn.XLOOKUP(B337,'AREA Level 1'!C:C,'AREA Level 1'!B:B)</f>
        <v>CAM10</v>
      </c>
      <c r="B337" s="319" t="s">
        <v>861</v>
      </c>
      <c r="D337" t="s">
        <v>1257</v>
      </c>
      <c r="F337" t="s">
        <v>1258</v>
      </c>
    </row>
    <row r="338" spans="1:6">
      <c r="A338" t="str">
        <f>+_xlfn.XLOOKUP(B338,'AREA Level 1'!C:C,'AREA Level 1'!B:B)</f>
        <v>CAM10</v>
      </c>
      <c r="B338" s="319" t="s">
        <v>861</v>
      </c>
      <c r="D338" t="s">
        <v>1259</v>
      </c>
      <c r="F338" t="s">
        <v>1260</v>
      </c>
    </row>
    <row r="339" spans="1:6">
      <c r="A339" t="str">
        <f>+_xlfn.XLOOKUP(B339,'AREA Level 1'!C:C,'AREA Level 1'!B:B)</f>
        <v>CAM10</v>
      </c>
      <c r="B339" s="319" t="s">
        <v>861</v>
      </c>
      <c r="D339" t="s">
        <v>1261</v>
      </c>
      <c r="F339" t="s">
        <v>1262</v>
      </c>
    </row>
    <row r="340" spans="1:6">
      <c r="A340" t="str">
        <f>+_xlfn.XLOOKUP(B340,'AREA Level 1'!C:C,'AREA Level 1'!B:B)</f>
        <v>CAM10</v>
      </c>
      <c r="B340" s="319" t="s">
        <v>861</v>
      </c>
      <c r="D340" t="s">
        <v>1257</v>
      </c>
      <c r="F340" t="s">
        <v>1263</v>
      </c>
    </row>
    <row r="341" spans="1:6">
      <c r="A341" t="str">
        <f>+_xlfn.XLOOKUP(B341,'AREA Level 1'!C:C,'AREA Level 1'!B:B)</f>
        <v>CAM10</v>
      </c>
      <c r="B341" s="319" t="s">
        <v>861</v>
      </c>
      <c r="D341" t="s">
        <v>1257</v>
      </c>
      <c r="F341" t="s">
        <v>1264</v>
      </c>
    </row>
    <row r="342" spans="1:6">
      <c r="A342" t="str">
        <f>+_xlfn.XLOOKUP(B342,'AREA Level 1'!C:C,'AREA Level 1'!B:B)</f>
        <v>CAM10</v>
      </c>
      <c r="B342" s="319" t="s">
        <v>861</v>
      </c>
      <c r="D342" t="s">
        <v>1253</v>
      </c>
      <c r="F342" t="s">
        <v>1265</v>
      </c>
    </row>
    <row r="343" spans="1:6">
      <c r="A343" t="str">
        <f>+_xlfn.XLOOKUP(B343,'AREA Level 1'!C:C,'AREA Level 1'!B:B)</f>
        <v>CAM10</v>
      </c>
      <c r="B343" s="319" t="s">
        <v>861</v>
      </c>
      <c r="D343" t="s">
        <v>1255</v>
      </c>
      <c r="F343" t="s">
        <v>1266</v>
      </c>
    </row>
    <row r="344" spans="1:6">
      <c r="A344" t="str">
        <f>+_xlfn.XLOOKUP(B344,'AREA Level 1'!C:C,'AREA Level 1'!B:B)</f>
        <v>CAM10</v>
      </c>
      <c r="B344" s="319" t="s">
        <v>861</v>
      </c>
      <c r="D344" t="s">
        <v>1257</v>
      </c>
      <c r="F344" t="s">
        <v>1267</v>
      </c>
    </row>
    <row r="345" spans="1:6">
      <c r="A345" t="str">
        <f>+_xlfn.XLOOKUP(B345,'AREA Level 1'!C:C,'AREA Level 1'!B:B)</f>
        <v>CAM10</v>
      </c>
      <c r="B345" s="319" t="s">
        <v>861</v>
      </c>
      <c r="D345" t="s">
        <v>1257</v>
      </c>
      <c r="F345" t="s">
        <v>1268</v>
      </c>
    </row>
    <row r="346" spans="1:6">
      <c r="A346" t="str">
        <f>+_xlfn.XLOOKUP(B346,'AREA Level 1'!C:C,'AREA Level 1'!B:B)</f>
        <v>CAM10</v>
      </c>
      <c r="B346" s="319" t="s">
        <v>861</v>
      </c>
      <c r="D346" t="s">
        <v>1257</v>
      </c>
      <c r="F346" t="s">
        <v>1269</v>
      </c>
    </row>
    <row r="347" spans="1:6">
      <c r="A347" t="str">
        <f>+_xlfn.XLOOKUP(B347,'AREA Level 1'!C:C,'AREA Level 1'!B:B)</f>
        <v>CAM10</v>
      </c>
      <c r="B347" s="319" t="s">
        <v>861</v>
      </c>
      <c r="D347" t="s">
        <v>1257</v>
      </c>
      <c r="F347" t="s">
        <v>1270</v>
      </c>
    </row>
    <row r="348" spans="1:6">
      <c r="A348" t="str">
        <f>+_xlfn.XLOOKUP(B348,'AREA Level 1'!C:C,'AREA Level 1'!B:B)</f>
        <v>CAM10</v>
      </c>
      <c r="B348" s="319" t="s">
        <v>861</v>
      </c>
      <c r="D348" t="s">
        <v>1271</v>
      </c>
      <c r="F348" t="s">
        <v>1272</v>
      </c>
    </row>
    <row r="349" spans="1:6">
      <c r="A349" t="str">
        <f>+_xlfn.XLOOKUP(B349,'AREA Level 1'!C:C,'AREA Level 1'!B:B)</f>
        <v>CAM10</v>
      </c>
      <c r="B349" s="319" t="s">
        <v>861</v>
      </c>
      <c r="D349" t="s">
        <v>1271</v>
      </c>
      <c r="F349" t="s">
        <v>1273</v>
      </c>
    </row>
    <row r="350" spans="1:6">
      <c r="A350" t="str">
        <f>+_xlfn.XLOOKUP(B350,'AREA Level 1'!C:C,'AREA Level 1'!B:B)</f>
        <v>CAM10</v>
      </c>
      <c r="B350" s="319" t="s">
        <v>861</v>
      </c>
      <c r="D350" t="s">
        <v>1271</v>
      </c>
      <c r="F350" t="s">
        <v>1274</v>
      </c>
    </row>
    <row r="351" spans="1:6">
      <c r="A351" t="str">
        <f>+_xlfn.XLOOKUP(B351,'AREA Level 1'!C:C,'AREA Level 1'!B:B)</f>
        <v>CAM10</v>
      </c>
      <c r="B351" s="319" t="s">
        <v>861</v>
      </c>
      <c r="D351" t="s">
        <v>1271</v>
      </c>
      <c r="F351" t="s">
        <v>1275</v>
      </c>
    </row>
    <row r="352" spans="1:6">
      <c r="A352" t="str">
        <f>+_xlfn.XLOOKUP(B352,'AREA Level 1'!C:C,'AREA Level 1'!B:B)</f>
        <v>CAM10</v>
      </c>
      <c r="B352" s="319" t="s">
        <v>861</v>
      </c>
      <c r="D352" t="s">
        <v>1261</v>
      </c>
      <c r="F352" t="s">
        <v>1276</v>
      </c>
    </row>
    <row r="353" spans="1:6">
      <c r="A353" t="str">
        <f>+_xlfn.XLOOKUP(B353,'AREA Level 1'!C:C,'AREA Level 1'!B:B)</f>
        <v>CAM10</v>
      </c>
      <c r="B353" s="319" t="s">
        <v>861</v>
      </c>
      <c r="D353" t="s">
        <v>1261</v>
      </c>
      <c r="F353" t="s">
        <v>1277</v>
      </c>
    </row>
    <row r="354" spans="1:6">
      <c r="A354" t="str">
        <f>+_xlfn.XLOOKUP(B354,'AREA Level 1'!C:C,'AREA Level 1'!B:B)</f>
        <v>CAM10</v>
      </c>
      <c r="B354" s="319" t="s">
        <v>861</v>
      </c>
      <c r="D354" t="s">
        <v>1261</v>
      </c>
      <c r="F354" t="s">
        <v>1278</v>
      </c>
    </row>
    <row r="355" spans="1:6">
      <c r="A355" t="str">
        <f>+_xlfn.XLOOKUP(B355,'AREA Level 1'!C:C,'AREA Level 1'!B:B)</f>
        <v>CAM10</v>
      </c>
      <c r="B355" s="319" t="s">
        <v>861</v>
      </c>
      <c r="D355" t="s">
        <v>1253</v>
      </c>
      <c r="F355" t="s">
        <v>1279</v>
      </c>
    </row>
    <row r="356" spans="1:6">
      <c r="A356" t="str">
        <f>+_xlfn.XLOOKUP(B356,'AREA Level 1'!C:C,'AREA Level 1'!B:B)</f>
        <v>CAM10</v>
      </c>
      <c r="B356" s="319" t="s">
        <v>861</v>
      </c>
      <c r="D356" t="s">
        <v>1271</v>
      </c>
      <c r="F356" t="s">
        <v>1280</v>
      </c>
    </row>
    <row r="357" spans="1:6">
      <c r="A357" t="str">
        <f>+_xlfn.XLOOKUP(B357,'AREA Level 1'!C:C,'AREA Level 1'!B:B)</f>
        <v>CAM10</v>
      </c>
      <c r="B357" s="319" t="s">
        <v>861</v>
      </c>
      <c r="D357" t="s">
        <v>1257</v>
      </c>
      <c r="F357" t="s">
        <v>1281</v>
      </c>
    </row>
    <row r="358" spans="1:6">
      <c r="A358" t="str">
        <f>+_xlfn.XLOOKUP(B358,'AREA Level 1'!C:C,'AREA Level 1'!B:B)</f>
        <v>CAM10</v>
      </c>
      <c r="B358" s="319" t="s">
        <v>861</v>
      </c>
      <c r="D358" t="s">
        <v>1261</v>
      </c>
      <c r="F358" t="s">
        <v>1282</v>
      </c>
    </row>
    <row r="359" spans="1:6">
      <c r="A359" t="str">
        <f>+_xlfn.XLOOKUP(B359,'AREA Level 1'!C:C,'AREA Level 1'!B:B)</f>
        <v>CAM10</v>
      </c>
      <c r="B359" s="319" t="s">
        <v>861</v>
      </c>
      <c r="D359" t="s">
        <v>1259</v>
      </c>
      <c r="F359" t="s">
        <v>1283</v>
      </c>
    </row>
    <row r="360" spans="1:6">
      <c r="A360" t="str">
        <f>+_xlfn.XLOOKUP(B360,'AREA Level 1'!C:C,'AREA Level 1'!B:B)</f>
        <v>CAM10</v>
      </c>
      <c r="B360" s="319" t="s">
        <v>861</v>
      </c>
      <c r="D360" t="s">
        <v>1261</v>
      </c>
      <c r="F360" t="s">
        <v>1284</v>
      </c>
    </row>
    <row r="361" spans="1:6">
      <c r="A361" t="str">
        <f>+_xlfn.XLOOKUP(B361,'AREA Level 1'!C:C,'AREA Level 1'!B:B)</f>
        <v>CAM10</v>
      </c>
      <c r="B361" s="319" t="s">
        <v>861</v>
      </c>
      <c r="D361" t="s">
        <v>1257</v>
      </c>
      <c r="F361" t="s">
        <v>1285</v>
      </c>
    </row>
    <row r="362" spans="1:6">
      <c r="A362" t="str">
        <f>+_xlfn.XLOOKUP(B362,'AREA Level 1'!C:C,'AREA Level 1'!B:B)</f>
        <v>CAM10</v>
      </c>
      <c r="B362" s="319" t="s">
        <v>861</v>
      </c>
      <c r="D362" t="s">
        <v>1259</v>
      </c>
      <c r="F362" t="s">
        <v>1286</v>
      </c>
    </row>
    <row r="363" spans="1:6">
      <c r="A363" t="str">
        <f>+_xlfn.XLOOKUP(B363,'AREA Level 1'!C:C,'AREA Level 1'!B:B)</f>
        <v>CAM10</v>
      </c>
      <c r="B363" s="319" t="s">
        <v>861</v>
      </c>
      <c r="D363" t="s">
        <v>1253</v>
      </c>
      <c r="F363" t="s">
        <v>1287</v>
      </c>
    </row>
    <row r="364" spans="1:6">
      <c r="A364" t="str">
        <f>+_xlfn.XLOOKUP(B364,'AREA Level 1'!C:C,'AREA Level 1'!B:B)</f>
        <v>CAM10</v>
      </c>
      <c r="B364" s="319" t="s">
        <v>861</v>
      </c>
      <c r="D364" t="s">
        <v>1255</v>
      </c>
      <c r="F364" t="s">
        <v>1288</v>
      </c>
    </row>
    <row r="365" spans="1:6">
      <c r="A365" t="str">
        <f>+_xlfn.XLOOKUP(B365,'AREA Level 1'!C:C,'AREA Level 1'!B:B)</f>
        <v>CAM10</v>
      </c>
      <c r="B365" s="319" t="s">
        <v>861</v>
      </c>
      <c r="D365" t="s">
        <v>1261</v>
      </c>
      <c r="F365" t="s">
        <v>1289</v>
      </c>
    </row>
    <row r="366" spans="1:6">
      <c r="A366">
        <f>+_xlfn.XLOOKUP(B366,'AREA Level 1'!C:C,'AREA Level 1'!B:B)</f>
        <v>0</v>
      </c>
      <c r="B366" s="319"/>
    </row>
    <row r="367" spans="1:6">
      <c r="A367">
        <f>+_xlfn.XLOOKUP(B367,'AREA Level 1'!C:C,'AREA Level 1'!B:B)</f>
        <v>0</v>
      </c>
      <c r="B367" s="319"/>
    </row>
  </sheetData>
  <autoFilter ref="A2:H367" xr:uid="{00000000-0001-0000-0A00-000000000000}">
    <sortState xmlns:xlrd2="http://schemas.microsoft.com/office/spreadsheetml/2017/richdata2" ref="A3:H367">
      <sortCondition ref="B2:B367"/>
    </sortState>
  </autoFilter>
  <mergeCells count="1">
    <mergeCell ref="B1:H1"/>
  </mergeCells>
  <pageMargins left="0.7" right="0.7" top="0.75" bottom="0.75" header="0.3" footer="0.3"/>
  <pageSetup paperSize="9"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A633E-519B-4F0D-985D-CD45028FEF86}">
  <sheetPr>
    <tabColor rgb="FFFF0000"/>
  </sheetPr>
  <dimension ref="A2:G367"/>
  <sheetViews>
    <sheetView topLeftCell="A4" workbookViewId="0">
      <selection activeCell="G14" sqref="G14"/>
    </sheetView>
  </sheetViews>
  <sheetFormatPr defaultRowHeight="14.45"/>
  <cols>
    <col min="1" max="1" width="24.28515625" customWidth="1"/>
    <col min="2" max="2" width="20.85546875" customWidth="1"/>
    <col min="3" max="3" width="29.5703125" customWidth="1"/>
    <col min="4" max="5" width="8.85546875" customWidth="1"/>
    <col min="6" max="6" width="24.7109375" customWidth="1"/>
    <col min="7" max="7" width="22.7109375" customWidth="1"/>
  </cols>
  <sheetData>
    <row r="2" spans="1:7">
      <c r="A2" t="s">
        <v>862</v>
      </c>
      <c r="B2" t="s">
        <v>863</v>
      </c>
      <c r="C2" t="s">
        <v>864</v>
      </c>
      <c r="D2" t="s">
        <v>865</v>
      </c>
      <c r="E2" t="s">
        <v>866</v>
      </c>
      <c r="F2" t="s">
        <v>867</v>
      </c>
      <c r="G2" t="s">
        <v>868</v>
      </c>
    </row>
    <row r="3" spans="1:7">
      <c r="A3" t="s">
        <v>842</v>
      </c>
      <c r="B3" t="s">
        <v>843</v>
      </c>
      <c r="D3" t="s">
        <v>869</v>
      </c>
      <c r="F3" t="s">
        <v>870</v>
      </c>
      <c r="G3" t="str">
        <f>+_xlfn.XLOOKUP(D3,'AREA Level 2'!C:C,'AREA Level 2'!B:B)</f>
        <v>CAM_LV2_1</v>
      </c>
    </row>
    <row r="4" spans="1:7">
      <c r="A4" t="s">
        <v>842</v>
      </c>
      <c r="B4" t="s">
        <v>843</v>
      </c>
      <c r="D4" t="s">
        <v>869</v>
      </c>
      <c r="F4" t="s">
        <v>871</v>
      </c>
      <c r="G4" t="str">
        <f>+_xlfn.XLOOKUP(D4,'AREA Level 2'!C:C,'AREA Level 2'!B:B)</f>
        <v>CAM_LV2_1</v>
      </c>
    </row>
    <row r="5" spans="1:7">
      <c r="A5" t="s">
        <v>842</v>
      </c>
      <c r="B5" t="s">
        <v>843</v>
      </c>
      <c r="D5" t="s">
        <v>872</v>
      </c>
      <c r="F5" t="s">
        <v>873</v>
      </c>
      <c r="G5" t="str">
        <f>+_xlfn.XLOOKUP(D5,'AREA Level 2'!C:C,'AREA Level 2'!B:B)</f>
        <v>CAM_LV2_2</v>
      </c>
    </row>
    <row r="6" spans="1:7">
      <c r="A6" t="s">
        <v>842</v>
      </c>
      <c r="B6" t="s">
        <v>843</v>
      </c>
      <c r="D6" t="s">
        <v>874</v>
      </c>
      <c r="F6" t="s">
        <v>875</v>
      </c>
      <c r="G6" t="str">
        <f>+_xlfn.XLOOKUP(D6,'AREA Level 2'!C:C,'AREA Level 2'!B:B)</f>
        <v>CAM_LV2_3</v>
      </c>
    </row>
    <row r="7" spans="1:7">
      <c r="A7" t="s">
        <v>842</v>
      </c>
      <c r="B7" t="s">
        <v>843</v>
      </c>
      <c r="D7" t="s">
        <v>874</v>
      </c>
      <c r="F7" t="s">
        <v>876</v>
      </c>
      <c r="G7" t="str">
        <f>+_xlfn.XLOOKUP(D7,'AREA Level 2'!C:C,'AREA Level 2'!B:B)</f>
        <v>CAM_LV2_3</v>
      </c>
    </row>
    <row r="8" spans="1:7">
      <c r="A8" t="s">
        <v>842</v>
      </c>
      <c r="B8" t="s">
        <v>843</v>
      </c>
      <c r="D8" t="s">
        <v>877</v>
      </c>
      <c r="F8" t="s">
        <v>878</v>
      </c>
      <c r="G8" t="str">
        <f>+_xlfn.XLOOKUP(D8,'AREA Level 2'!C:C,'AREA Level 2'!B:B)</f>
        <v>CAM_LV2_4</v>
      </c>
    </row>
    <row r="9" spans="1:7">
      <c r="A9" t="s">
        <v>842</v>
      </c>
      <c r="B9" t="s">
        <v>843</v>
      </c>
      <c r="D9" t="s">
        <v>877</v>
      </c>
      <c r="F9" t="s">
        <v>879</v>
      </c>
      <c r="G9" t="str">
        <f>+_xlfn.XLOOKUP(D9,'AREA Level 2'!C:C,'AREA Level 2'!B:B)</f>
        <v>CAM_LV2_4</v>
      </c>
    </row>
    <row r="10" spans="1:7">
      <c r="A10" t="s">
        <v>842</v>
      </c>
      <c r="B10" t="s">
        <v>843</v>
      </c>
      <c r="D10" t="s">
        <v>872</v>
      </c>
      <c r="F10" t="s">
        <v>880</v>
      </c>
      <c r="G10" t="str">
        <f>+_xlfn.XLOOKUP(D10,'AREA Level 2'!C:C,'AREA Level 2'!B:B)</f>
        <v>CAM_LV2_2</v>
      </c>
    </row>
    <row r="11" spans="1:7">
      <c r="A11" t="s">
        <v>842</v>
      </c>
      <c r="B11" t="s">
        <v>843</v>
      </c>
      <c r="D11" t="s">
        <v>877</v>
      </c>
      <c r="F11" t="s">
        <v>881</v>
      </c>
      <c r="G11" t="str">
        <f>+_xlfn.XLOOKUP(D11,'AREA Level 2'!C:C,'AREA Level 2'!B:B)</f>
        <v>CAM_LV2_4</v>
      </c>
    </row>
    <row r="12" spans="1:7">
      <c r="A12" t="s">
        <v>842</v>
      </c>
      <c r="B12" t="s">
        <v>843</v>
      </c>
      <c r="D12" t="s">
        <v>869</v>
      </c>
      <c r="F12" t="s">
        <v>882</v>
      </c>
      <c r="G12" t="str">
        <f>+_xlfn.XLOOKUP(D12,'AREA Level 2'!C:C,'AREA Level 2'!B:B)</f>
        <v>CAM_LV2_1</v>
      </c>
    </row>
    <row r="13" spans="1:7">
      <c r="A13" t="s">
        <v>842</v>
      </c>
      <c r="B13" t="s">
        <v>843</v>
      </c>
      <c r="D13" t="s">
        <v>872</v>
      </c>
      <c r="F13" t="s">
        <v>883</v>
      </c>
      <c r="G13" t="str">
        <f>+_xlfn.XLOOKUP(D13,'AREA Level 2'!C:C,'AREA Level 2'!B:B)</f>
        <v>CAM_LV2_2</v>
      </c>
    </row>
    <row r="14" spans="1:7">
      <c r="A14" t="s">
        <v>842</v>
      </c>
      <c r="B14" t="s">
        <v>843</v>
      </c>
      <c r="D14" t="s">
        <v>874</v>
      </c>
      <c r="F14" t="s">
        <v>884</v>
      </c>
      <c r="G14" t="str">
        <f>+_xlfn.XLOOKUP(D14,'AREA Level 2'!C:C,'AREA Level 2'!B:B)</f>
        <v>CAM_LV2_3</v>
      </c>
    </row>
    <row r="15" spans="1:7">
      <c r="A15" t="s">
        <v>842</v>
      </c>
      <c r="B15" t="s">
        <v>843</v>
      </c>
      <c r="D15" t="s">
        <v>872</v>
      </c>
      <c r="F15" t="s">
        <v>885</v>
      </c>
      <c r="G15" t="str">
        <f>+_xlfn.XLOOKUP(D15,'AREA Level 2'!C:C,'AREA Level 2'!B:B)</f>
        <v>CAM_LV2_2</v>
      </c>
    </row>
    <row r="16" spans="1:7">
      <c r="A16" t="s">
        <v>842</v>
      </c>
      <c r="B16" t="s">
        <v>843</v>
      </c>
      <c r="D16" t="s">
        <v>874</v>
      </c>
      <c r="F16" t="s">
        <v>886</v>
      </c>
      <c r="G16" t="str">
        <f>+_xlfn.XLOOKUP(D16,'AREA Level 2'!C:C,'AREA Level 2'!B:B)</f>
        <v>CAM_LV2_3</v>
      </c>
    </row>
    <row r="17" spans="1:7">
      <c r="A17" t="s">
        <v>842</v>
      </c>
      <c r="B17" t="s">
        <v>843</v>
      </c>
      <c r="D17" t="s">
        <v>887</v>
      </c>
      <c r="F17" t="s">
        <v>888</v>
      </c>
      <c r="G17" t="str">
        <f>+_xlfn.XLOOKUP(D17,'AREA Level 2'!C:C,'AREA Level 2'!B:B)</f>
        <v>CAM_LV2_5</v>
      </c>
    </row>
    <row r="18" spans="1:7">
      <c r="A18" t="s">
        <v>842</v>
      </c>
      <c r="B18" t="s">
        <v>843</v>
      </c>
      <c r="D18" t="s">
        <v>872</v>
      </c>
      <c r="F18" t="s">
        <v>889</v>
      </c>
      <c r="G18" t="str">
        <f>+_xlfn.XLOOKUP(D18,'AREA Level 2'!C:C,'AREA Level 2'!B:B)</f>
        <v>CAM_LV2_2</v>
      </c>
    </row>
    <row r="19" spans="1:7">
      <c r="A19" t="s">
        <v>842</v>
      </c>
      <c r="B19" t="s">
        <v>843</v>
      </c>
      <c r="D19" t="s">
        <v>872</v>
      </c>
      <c r="F19" t="s">
        <v>890</v>
      </c>
      <c r="G19" t="str">
        <f>+_xlfn.XLOOKUP(D19,'AREA Level 2'!C:C,'AREA Level 2'!B:B)</f>
        <v>CAM_LV2_2</v>
      </c>
    </row>
    <row r="20" spans="1:7">
      <c r="A20" t="s">
        <v>842</v>
      </c>
      <c r="B20" t="s">
        <v>843</v>
      </c>
      <c r="D20" t="s">
        <v>872</v>
      </c>
      <c r="F20" t="s">
        <v>891</v>
      </c>
      <c r="G20" t="str">
        <f>+_xlfn.XLOOKUP(D20,'AREA Level 2'!C:C,'AREA Level 2'!B:B)</f>
        <v>CAM_LV2_2</v>
      </c>
    </row>
    <row r="21" spans="1:7">
      <c r="A21" t="s">
        <v>842</v>
      </c>
      <c r="B21" t="s">
        <v>843</v>
      </c>
      <c r="D21" t="s">
        <v>872</v>
      </c>
      <c r="F21" t="s">
        <v>892</v>
      </c>
      <c r="G21" t="str">
        <f>+_xlfn.XLOOKUP(D21,'AREA Level 2'!C:C,'AREA Level 2'!B:B)</f>
        <v>CAM_LV2_2</v>
      </c>
    </row>
    <row r="22" spans="1:7">
      <c r="A22" t="s">
        <v>842</v>
      </c>
      <c r="B22" t="s">
        <v>843</v>
      </c>
      <c r="D22" t="s">
        <v>887</v>
      </c>
      <c r="F22" t="s">
        <v>893</v>
      </c>
      <c r="G22" t="str">
        <f>+_xlfn.XLOOKUP(D22,'AREA Level 2'!C:C,'AREA Level 2'!B:B)</f>
        <v>CAM_LV2_5</v>
      </c>
    </row>
    <row r="23" spans="1:7">
      <c r="A23" t="s">
        <v>842</v>
      </c>
      <c r="B23" t="s">
        <v>843</v>
      </c>
      <c r="D23" t="s">
        <v>877</v>
      </c>
      <c r="F23" t="s">
        <v>894</v>
      </c>
      <c r="G23" t="str">
        <f>+_xlfn.XLOOKUP(D23,'AREA Level 2'!C:C,'AREA Level 2'!B:B)</f>
        <v>CAM_LV2_4</v>
      </c>
    </row>
    <row r="24" spans="1:7">
      <c r="A24" t="s">
        <v>844</v>
      </c>
      <c r="B24" t="s">
        <v>845</v>
      </c>
      <c r="D24" t="s">
        <v>895</v>
      </c>
      <c r="F24" t="s">
        <v>896</v>
      </c>
      <c r="G24" t="str">
        <f>+_xlfn.XLOOKUP(D24,'AREA Level 2'!C:C,'AREA Level 2'!B:B)</f>
        <v>CAM_LV2_6</v>
      </c>
    </row>
    <row r="25" spans="1:7">
      <c r="A25" t="s">
        <v>844</v>
      </c>
      <c r="B25" t="s">
        <v>845</v>
      </c>
      <c r="D25" t="s">
        <v>897</v>
      </c>
      <c r="F25" t="s">
        <v>898</v>
      </c>
      <c r="G25" t="str">
        <f>+_xlfn.XLOOKUP(D25,'AREA Level 2'!C:C,'AREA Level 2'!B:B)</f>
        <v>CAM_LV2_7</v>
      </c>
    </row>
    <row r="26" spans="1:7">
      <c r="A26" t="s">
        <v>844</v>
      </c>
      <c r="B26" t="s">
        <v>845</v>
      </c>
      <c r="D26" t="s">
        <v>899</v>
      </c>
      <c r="F26" t="s">
        <v>900</v>
      </c>
      <c r="G26" t="str">
        <f>+_xlfn.XLOOKUP(D26,'AREA Level 2'!C:C,'AREA Level 2'!B:B)</f>
        <v>CAM_LV2_8</v>
      </c>
    </row>
    <row r="27" spans="1:7">
      <c r="A27" t="s">
        <v>844</v>
      </c>
      <c r="B27" t="s">
        <v>845</v>
      </c>
      <c r="D27" t="s">
        <v>901</v>
      </c>
      <c r="F27" t="s">
        <v>902</v>
      </c>
      <c r="G27" t="str">
        <f>+_xlfn.XLOOKUP(D27,'AREA Level 2'!C:C,'AREA Level 2'!B:B)</f>
        <v>CAM_LV2_9</v>
      </c>
    </row>
    <row r="28" spans="1:7">
      <c r="A28" t="s">
        <v>844</v>
      </c>
      <c r="B28" t="s">
        <v>845</v>
      </c>
      <c r="D28" t="s">
        <v>895</v>
      </c>
      <c r="F28" t="s">
        <v>903</v>
      </c>
      <c r="G28" t="str">
        <f>+_xlfn.XLOOKUP(D28,'AREA Level 2'!C:C,'AREA Level 2'!B:B)</f>
        <v>CAM_LV2_6</v>
      </c>
    </row>
    <row r="29" spans="1:7">
      <c r="A29" t="s">
        <v>844</v>
      </c>
      <c r="B29" t="s">
        <v>845</v>
      </c>
      <c r="D29" t="s">
        <v>895</v>
      </c>
      <c r="F29" t="s">
        <v>904</v>
      </c>
      <c r="G29" t="str">
        <f>+_xlfn.XLOOKUP(D29,'AREA Level 2'!C:C,'AREA Level 2'!B:B)</f>
        <v>CAM_LV2_6</v>
      </c>
    </row>
    <row r="30" spans="1:7">
      <c r="A30" t="s">
        <v>844</v>
      </c>
      <c r="B30" t="s">
        <v>845</v>
      </c>
      <c r="D30" t="s">
        <v>901</v>
      </c>
      <c r="F30" t="s">
        <v>905</v>
      </c>
      <c r="G30" t="str">
        <f>+_xlfn.XLOOKUP(D30,'AREA Level 2'!C:C,'AREA Level 2'!B:B)</f>
        <v>CAM_LV2_9</v>
      </c>
    </row>
    <row r="31" spans="1:7">
      <c r="A31" t="s">
        <v>844</v>
      </c>
      <c r="B31" t="s">
        <v>845</v>
      </c>
      <c r="D31" t="s">
        <v>906</v>
      </c>
      <c r="F31" t="s">
        <v>907</v>
      </c>
      <c r="G31" t="str">
        <f>+_xlfn.XLOOKUP(D31,'AREA Level 2'!C:C,'AREA Level 2'!B:B)</f>
        <v>CAM_LV2_10</v>
      </c>
    </row>
    <row r="32" spans="1:7">
      <c r="A32" t="s">
        <v>844</v>
      </c>
      <c r="B32" t="s">
        <v>845</v>
      </c>
      <c r="D32" t="s">
        <v>908</v>
      </c>
      <c r="F32" t="s">
        <v>909</v>
      </c>
      <c r="G32" t="str">
        <f>+_xlfn.XLOOKUP(D32,'AREA Level 2'!C:C,'AREA Level 2'!B:B)</f>
        <v>CAM_LV2_11</v>
      </c>
    </row>
    <row r="33" spans="1:7">
      <c r="A33" t="s">
        <v>844</v>
      </c>
      <c r="B33" t="s">
        <v>845</v>
      </c>
      <c r="D33" t="s">
        <v>910</v>
      </c>
      <c r="F33" t="s">
        <v>911</v>
      </c>
      <c r="G33" t="str">
        <f>+_xlfn.XLOOKUP(D33,'AREA Level 2'!C:C,'AREA Level 2'!B:B)</f>
        <v>CAM_LV2_12</v>
      </c>
    </row>
    <row r="34" spans="1:7">
      <c r="A34" t="s">
        <v>844</v>
      </c>
      <c r="B34" t="s">
        <v>845</v>
      </c>
      <c r="D34" t="s">
        <v>899</v>
      </c>
      <c r="F34" t="s">
        <v>912</v>
      </c>
      <c r="G34" t="str">
        <f>+_xlfn.XLOOKUP(D34,'AREA Level 2'!C:C,'AREA Level 2'!B:B)</f>
        <v>CAM_LV2_8</v>
      </c>
    </row>
    <row r="35" spans="1:7">
      <c r="A35" t="s">
        <v>844</v>
      </c>
      <c r="B35" t="s">
        <v>845</v>
      </c>
      <c r="D35" t="s">
        <v>913</v>
      </c>
      <c r="F35" t="s">
        <v>914</v>
      </c>
      <c r="G35" t="str">
        <f>+_xlfn.XLOOKUP(D35,'AREA Level 2'!C:C,'AREA Level 2'!B:B)</f>
        <v>CAM_LV2_13</v>
      </c>
    </row>
    <row r="36" spans="1:7">
      <c r="A36" t="s">
        <v>844</v>
      </c>
      <c r="B36" t="s">
        <v>845</v>
      </c>
      <c r="D36" t="s">
        <v>906</v>
      </c>
      <c r="F36" t="s">
        <v>915</v>
      </c>
      <c r="G36" t="str">
        <f>+_xlfn.XLOOKUP(D36,'AREA Level 2'!C:C,'AREA Level 2'!B:B)</f>
        <v>CAM_LV2_10</v>
      </c>
    </row>
    <row r="37" spans="1:7">
      <c r="A37" t="s">
        <v>844</v>
      </c>
      <c r="B37" t="s">
        <v>845</v>
      </c>
      <c r="D37" t="s">
        <v>913</v>
      </c>
      <c r="F37" t="s">
        <v>916</v>
      </c>
      <c r="G37" t="str">
        <f>+_xlfn.XLOOKUP(D37,'AREA Level 2'!C:C,'AREA Level 2'!B:B)</f>
        <v>CAM_LV2_13</v>
      </c>
    </row>
    <row r="38" spans="1:7">
      <c r="A38" t="s">
        <v>844</v>
      </c>
      <c r="B38" t="s">
        <v>845</v>
      </c>
      <c r="D38" t="s">
        <v>913</v>
      </c>
      <c r="F38" t="s">
        <v>917</v>
      </c>
      <c r="G38" t="str">
        <f>+_xlfn.XLOOKUP(D38,'AREA Level 2'!C:C,'AREA Level 2'!B:B)</f>
        <v>CAM_LV2_13</v>
      </c>
    </row>
    <row r="39" spans="1:7">
      <c r="A39" t="s">
        <v>844</v>
      </c>
      <c r="B39" t="s">
        <v>845</v>
      </c>
      <c r="D39" t="s">
        <v>906</v>
      </c>
      <c r="F39" t="s">
        <v>918</v>
      </c>
      <c r="G39" t="str">
        <f>+_xlfn.XLOOKUP(D39,'AREA Level 2'!C:C,'AREA Level 2'!B:B)</f>
        <v>CAM_LV2_10</v>
      </c>
    </row>
    <row r="40" spans="1:7">
      <c r="A40" t="s">
        <v>844</v>
      </c>
      <c r="B40" t="s">
        <v>845</v>
      </c>
      <c r="D40" t="s">
        <v>913</v>
      </c>
      <c r="F40" t="s">
        <v>919</v>
      </c>
      <c r="G40" t="str">
        <f>+_xlfn.XLOOKUP(D40,'AREA Level 2'!C:C,'AREA Level 2'!B:B)</f>
        <v>CAM_LV2_13</v>
      </c>
    </row>
    <row r="41" spans="1:7">
      <c r="A41" t="s">
        <v>844</v>
      </c>
      <c r="B41" t="s">
        <v>845</v>
      </c>
      <c r="D41" t="s">
        <v>897</v>
      </c>
      <c r="F41" t="s">
        <v>920</v>
      </c>
      <c r="G41" t="str">
        <f>+_xlfn.XLOOKUP(D41,'AREA Level 2'!C:C,'AREA Level 2'!B:B)</f>
        <v>CAM_LV2_7</v>
      </c>
    </row>
    <row r="42" spans="1:7">
      <c r="A42" t="s">
        <v>844</v>
      </c>
      <c r="B42" t="s">
        <v>845</v>
      </c>
      <c r="D42" t="s">
        <v>908</v>
      </c>
      <c r="F42" t="s">
        <v>921</v>
      </c>
      <c r="G42" t="str">
        <f>+_xlfn.XLOOKUP(D42,'AREA Level 2'!C:C,'AREA Level 2'!B:B)</f>
        <v>CAM_LV2_11</v>
      </c>
    </row>
    <row r="43" spans="1:7">
      <c r="A43" t="s">
        <v>844</v>
      </c>
      <c r="B43" t="s">
        <v>845</v>
      </c>
      <c r="D43" t="s">
        <v>895</v>
      </c>
      <c r="F43" t="s">
        <v>922</v>
      </c>
      <c r="G43" t="str">
        <f>+_xlfn.XLOOKUP(D43,'AREA Level 2'!C:C,'AREA Level 2'!B:B)</f>
        <v>CAM_LV2_6</v>
      </c>
    </row>
    <row r="44" spans="1:7">
      <c r="A44" t="s">
        <v>844</v>
      </c>
      <c r="B44" t="s">
        <v>845</v>
      </c>
      <c r="D44" t="s">
        <v>908</v>
      </c>
      <c r="F44" t="s">
        <v>923</v>
      </c>
      <c r="G44" t="str">
        <f>+_xlfn.XLOOKUP(D44,'AREA Level 2'!C:C,'AREA Level 2'!B:B)</f>
        <v>CAM_LV2_11</v>
      </c>
    </row>
    <row r="45" spans="1:7">
      <c r="A45" t="s">
        <v>844</v>
      </c>
      <c r="B45" t="s">
        <v>845</v>
      </c>
      <c r="D45" t="s">
        <v>901</v>
      </c>
      <c r="F45" t="s">
        <v>924</v>
      </c>
      <c r="G45" t="str">
        <f>+_xlfn.XLOOKUP(D45,'AREA Level 2'!C:C,'AREA Level 2'!B:B)</f>
        <v>CAM_LV2_9</v>
      </c>
    </row>
    <row r="46" spans="1:7">
      <c r="A46" t="s">
        <v>844</v>
      </c>
      <c r="B46" t="s">
        <v>845</v>
      </c>
      <c r="D46" t="s">
        <v>913</v>
      </c>
      <c r="F46" t="s">
        <v>925</v>
      </c>
      <c r="G46" t="str">
        <f>+_xlfn.XLOOKUP(D46,'AREA Level 2'!C:C,'AREA Level 2'!B:B)</f>
        <v>CAM_LV2_13</v>
      </c>
    </row>
    <row r="47" spans="1:7">
      <c r="A47" t="s">
        <v>844</v>
      </c>
      <c r="B47" t="s">
        <v>845</v>
      </c>
      <c r="D47" t="s">
        <v>895</v>
      </c>
      <c r="F47" t="s">
        <v>926</v>
      </c>
      <c r="G47" t="str">
        <f>+_xlfn.XLOOKUP(D47,'AREA Level 2'!C:C,'AREA Level 2'!B:B)</f>
        <v>CAM_LV2_6</v>
      </c>
    </row>
    <row r="48" spans="1:7">
      <c r="A48" t="s">
        <v>844</v>
      </c>
      <c r="B48" t="s">
        <v>845</v>
      </c>
      <c r="D48" t="s">
        <v>908</v>
      </c>
      <c r="F48" t="s">
        <v>927</v>
      </c>
      <c r="G48" t="str">
        <f>+_xlfn.XLOOKUP(D48,'AREA Level 2'!C:C,'AREA Level 2'!B:B)</f>
        <v>CAM_LV2_11</v>
      </c>
    </row>
    <row r="49" spans="1:7">
      <c r="A49" t="s">
        <v>844</v>
      </c>
      <c r="B49" t="s">
        <v>845</v>
      </c>
      <c r="D49" t="s">
        <v>906</v>
      </c>
      <c r="F49" t="s">
        <v>928</v>
      </c>
      <c r="G49" t="str">
        <f>+_xlfn.XLOOKUP(D49,'AREA Level 2'!C:C,'AREA Level 2'!B:B)</f>
        <v>CAM_LV2_10</v>
      </c>
    </row>
    <row r="50" spans="1:7">
      <c r="A50" t="s">
        <v>844</v>
      </c>
      <c r="B50" t="s">
        <v>845</v>
      </c>
      <c r="D50" t="s">
        <v>906</v>
      </c>
      <c r="F50" t="s">
        <v>929</v>
      </c>
      <c r="G50" t="str">
        <f>+_xlfn.XLOOKUP(D50,'AREA Level 2'!C:C,'AREA Level 2'!B:B)</f>
        <v>CAM_LV2_10</v>
      </c>
    </row>
    <row r="51" spans="1:7">
      <c r="A51" t="s">
        <v>844</v>
      </c>
      <c r="B51" t="s">
        <v>845</v>
      </c>
      <c r="D51" t="s">
        <v>910</v>
      </c>
      <c r="F51" t="s">
        <v>930</v>
      </c>
      <c r="G51" t="str">
        <f>+_xlfn.XLOOKUP(D51,'AREA Level 2'!C:C,'AREA Level 2'!B:B)</f>
        <v>CAM_LV2_12</v>
      </c>
    </row>
    <row r="52" spans="1:7">
      <c r="A52" t="s">
        <v>844</v>
      </c>
      <c r="B52" t="s">
        <v>845</v>
      </c>
      <c r="D52" t="s">
        <v>908</v>
      </c>
      <c r="F52" t="s">
        <v>931</v>
      </c>
      <c r="G52" t="str">
        <f>+_xlfn.XLOOKUP(D52,'AREA Level 2'!C:C,'AREA Level 2'!B:B)</f>
        <v>CAM_LV2_11</v>
      </c>
    </row>
    <row r="53" spans="1:7">
      <c r="A53" t="s">
        <v>844</v>
      </c>
      <c r="B53" t="s">
        <v>845</v>
      </c>
      <c r="D53" t="s">
        <v>913</v>
      </c>
      <c r="F53" t="s">
        <v>932</v>
      </c>
      <c r="G53" t="str">
        <f>+_xlfn.XLOOKUP(D53,'AREA Level 2'!C:C,'AREA Level 2'!B:B)</f>
        <v>CAM_LV2_13</v>
      </c>
    </row>
    <row r="54" spans="1:7">
      <c r="A54" t="s">
        <v>844</v>
      </c>
      <c r="B54" t="s">
        <v>845</v>
      </c>
      <c r="D54" t="s">
        <v>906</v>
      </c>
      <c r="F54" t="s">
        <v>933</v>
      </c>
      <c r="G54" t="str">
        <f>+_xlfn.XLOOKUP(D54,'AREA Level 2'!C:C,'AREA Level 2'!B:B)</f>
        <v>CAM_LV2_10</v>
      </c>
    </row>
    <row r="55" spans="1:7">
      <c r="A55" t="s">
        <v>844</v>
      </c>
      <c r="B55" t="s">
        <v>845</v>
      </c>
      <c r="D55" t="s">
        <v>913</v>
      </c>
      <c r="F55" t="s">
        <v>934</v>
      </c>
      <c r="G55" t="str">
        <f>+_xlfn.XLOOKUP(D55,'AREA Level 2'!C:C,'AREA Level 2'!B:B)</f>
        <v>CAM_LV2_13</v>
      </c>
    </row>
    <row r="56" spans="1:7">
      <c r="A56" t="s">
        <v>844</v>
      </c>
      <c r="B56" t="s">
        <v>845</v>
      </c>
      <c r="D56" t="s">
        <v>897</v>
      </c>
      <c r="F56" t="s">
        <v>935</v>
      </c>
      <c r="G56" t="str">
        <f>+_xlfn.XLOOKUP(D56,'AREA Level 2'!C:C,'AREA Level 2'!B:B)</f>
        <v>CAM_LV2_7</v>
      </c>
    </row>
    <row r="57" spans="1:7">
      <c r="A57" t="s">
        <v>844</v>
      </c>
      <c r="B57" t="s">
        <v>845</v>
      </c>
      <c r="D57" t="s">
        <v>910</v>
      </c>
      <c r="F57" t="s">
        <v>936</v>
      </c>
      <c r="G57" t="str">
        <f>+_xlfn.XLOOKUP(D57,'AREA Level 2'!C:C,'AREA Level 2'!B:B)</f>
        <v>CAM_LV2_12</v>
      </c>
    </row>
    <row r="58" spans="1:7">
      <c r="A58" t="s">
        <v>844</v>
      </c>
      <c r="B58" t="s">
        <v>845</v>
      </c>
      <c r="D58" t="s">
        <v>937</v>
      </c>
      <c r="F58" t="s">
        <v>938</v>
      </c>
      <c r="G58" t="str">
        <f>+_xlfn.XLOOKUP(D58,'AREA Level 2'!C:C,'AREA Level 2'!B:B)</f>
        <v>CAM_LV2_14</v>
      </c>
    </row>
    <row r="59" spans="1:7">
      <c r="A59" t="s">
        <v>844</v>
      </c>
      <c r="B59" t="s">
        <v>845</v>
      </c>
      <c r="D59" t="s">
        <v>899</v>
      </c>
      <c r="F59" t="s">
        <v>939</v>
      </c>
      <c r="G59" t="str">
        <f>+_xlfn.XLOOKUP(D59,'AREA Level 2'!C:C,'AREA Level 2'!B:B)</f>
        <v>CAM_LV2_8</v>
      </c>
    </row>
    <row r="60" spans="1:7">
      <c r="A60" t="s">
        <v>844</v>
      </c>
      <c r="B60" t="s">
        <v>845</v>
      </c>
      <c r="D60" t="s">
        <v>901</v>
      </c>
      <c r="F60" t="s">
        <v>940</v>
      </c>
      <c r="G60" t="str">
        <f>+_xlfn.XLOOKUP(D60,'AREA Level 2'!C:C,'AREA Level 2'!B:B)</f>
        <v>CAM_LV2_9</v>
      </c>
    </row>
    <row r="61" spans="1:7">
      <c r="A61" t="s">
        <v>844</v>
      </c>
      <c r="B61" t="s">
        <v>845</v>
      </c>
      <c r="D61" t="s">
        <v>897</v>
      </c>
      <c r="F61" t="s">
        <v>941</v>
      </c>
      <c r="G61" t="str">
        <f>+_xlfn.XLOOKUP(D61,'AREA Level 2'!C:C,'AREA Level 2'!B:B)</f>
        <v>CAM_LV2_7</v>
      </c>
    </row>
    <row r="62" spans="1:7">
      <c r="A62" t="s">
        <v>844</v>
      </c>
      <c r="B62" t="s">
        <v>845</v>
      </c>
      <c r="D62" t="s">
        <v>913</v>
      </c>
      <c r="F62" t="s">
        <v>942</v>
      </c>
      <c r="G62" t="str">
        <f>+_xlfn.XLOOKUP(D62,'AREA Level 2'!C:C,'AREA Level 2'!B:B)</f>
        <v>CAM_LV2_13</v>
      </c>
    </row>
    <row r="63" spans="1:7">
      <c r="A63" t="s">
        <v>844</v>
      </c>
      <c r="B63" t="s">
        <v>845</v>
      </c>
      <c r="D63" t="s">
        <v>895</v>
      </c>
      <c r="F63" t="s">
        <v>943</v>
      </c>
      <c r="G63" t="str">
        <f>+_xlfn.XLOOKUP(D63,'AREA Level 2'!C:C,'AREA Level 2'!B:B)</f>
        <v>CAM_LV2_6</v>
      </c>
    </row>
    <row r="64" spans="1:7">
      <c r="A64" t="s">
        <v>844</v>
      </c>
      <c r="B64" t="s">
        <v>845</v>
      </c>
      <c r="D64" t="s">
        <v>910</v>
      </c>
      <c r="F64" t="s">
        <v>944</v>
      </c>
      <c r="G64" t="str">
        <f>+_xlfn.XLOOKUP(D64,'AREA Level 2'!C:C,'AREA Level 2'!B:B)</f>
        <v>CAM_LV2_12</v>
      </c>
    </row>
    <row r="65" spans="1:7">
      <c r="A65" t="s">
        <v>844</v>
      </c>
      <c r="B65" t="s">
        <v>845</v>
      </c>
      <c r="D65" t="s">
        <v>908</v>
      </c>
      <c r="F65" t="s">
        <v>945</v>
      </c>
      <c r="G65" t="str">
        <f>+_xlfn.XLOOKUP(D65,'AREA Level 2'!C:C,'AREA Level 2'!B:B)</f>
        <v>CAM_LV2_11</v>
      </c>
    </row>
    <row r="66" spans="1:7">
      <c r="A66" t="s">
        <v>844</v>
      </c>
      <c r="B66" t="s">
        <v>845</v>
      </c>
      <c r="D66" t="s">
        <v>910</v>
      </c>
      <c r="F66" t="s">
        <v>946</v>
      </c>
      <c r="G66" t="str">
        <f>+_xlfn.XLOOKUP(D66,'AREA Level 2'!C:C,'AREA Level 2'!B:B)</f>
        <v>CAM_LV2_12</v>
      </c>
    </row>
    <row r="67" spans="1:7">
      <c r="A67" t="s">
        <v>844</v>
      </c>
      <c r="B67" t="s">
        <v>845</v>
      </c>
      <c r="D67" t="s">
        <v>906</v>
      </c>
      <c r="F67" t="s">
        <v>947</v>
      </c>
      <c r="G67" t="str">
        <f>+_xlfn.XLOOKUP(D67,'AREA Level 2'!C:C,'AREA Level 2'!B:B)</f>
        <v>CAM_LV2_10</v>
      </c>
    </row>
    <row r="68" spans="1:7">
      <c r="A68" t="s">
        <v>844</v>
      </c>
      <c r="B68" t="s">
        <v>845</v>
      </c>
      <c r="D68" t="s">
        <v>937</v>
      </c>
      <c r="F68" t="s">
        <v>948</v>
      </c>
      <c r="G68" t="str">
        <f>+_xlfn.XLOOKUP(D68,'AREA Level 2'!C:C,'AREA Level 2'!B:B)</f>
        <v>CAM_LV2_14</v>
      </c>
    </row>
    <row r="69" spans="1:7">
      <c r="A69" t="s">
        <v>844</v>
      </c>
      <c r="B69" t="s">
        <v>845</v>
      </c>
      <c r="D69" t="s">
        <v>913</v>
      </c>
      <c r="F69" t="s">
        <v>949</v>
      </c>
      <c r="G69" t="str">
        <f>+_xlfn.XLOOKUP(D69,'AREA Level 2'!C:C,'AREA Level 2'!B:B)</f>
        <v>CAM_LV2_13</v>
      </c>
    </row>
    <row r="70" spans="1:7">
      <c r="A70" t="s">
        <v>844</v>
      </c>
      <c r="B70" t="s">
        <v>845</v>
      </c>
      <c r="D70" t="s">
        <v>897</v>
      </c>
      <c r="F70" t="s">
        <v>950</v>
      </c>
      <c r="G70" t="str">
        <f>+_xlfn.XLOOKUP(D70,'AREA Level 2'!C:C,'AREA Level 2'!B:B)</f>
        <v>CAM_LV2_7</v>
      </c>
    </row>
    <row r="71" spans="1:7">
      <c r="A71" t="s">
        <v>844</v>
      </c>
      <c r="B71" t="s">
        <v>845</v>
      </c>
      <c r="D71" t="s">
        <v>937</v>
      </c>
      <c r="F71" t="s">
        <v>951</v>
      </c>
      <c r="G71" t="str">
        <f>+_xlfn.XLOOKUP(D71,'AREA Level 2'!C:C,'AREA Level 2'!B:B)</f>
        <v>CAM_LV2_14</v>
      </c>
    </row>
    <row r="72" spans="1:7">
      <c r="A72" t="s">
        <v>844</v>
      </c>
      <c r="B72" t="s">
        <v>845</v>
      </c>
      <c r="D72" t="s">
        <v>899</v>
      </c>
      <c r="F72" t="s">
        <v>952</v>
      </c>
      <c r="G72" t="str">
        <f>+_xlfn.XLOOKUP(D72,'AREA Level 2'!C:C,'AREA Level 2'!B:B)</f>
        <v>CAM_LV2_8</v>
      </c>
    </row>
    <row r="73" spans="1:7">
      <c r="A73" t="s">
        <v>844</v>
      </c>
      <c r="B73" t="s">
        <v>845</v>
      </c>
      <c r="D73" t="s">
        <v>913</v>
      </c>
      <c r="F73" t="s">
        <v>953</v>
      </c>
      <c r="G73" t="str">
        <f>+_xlfn.XLOOKUP(D73,'AREA Level 2'!C:C,'AREA Level 2'!B:B)</f>
        <v>CAM_LV2_13</v>
      </c>
    </row>
    <row r="74" spans="1:7">
      <c r="A74" t="s">
        <v>844</v>
      </c>
      <c r="B74" t="s">
        <v>845</v>
      </c>
      <c r="D74" t="s">
        <v>906</v>
      </c>
      <c r="F74" t="s">
        <v>954</v>
      </c>
      <c r="G74" t="str">
        <f>+_xlfn.XLOOKUP(D74,'AREA Level 2'!C:C,'AREA Level 2'!B:B)</f>
        <v>CAM_LV2_10</v>
      </c>
    </row>
    <row r="75" spans="1:7">
      <c r="A75" t="s">
        <v>844</v>
      </c>
      <c r="B75" t="s">
        <v>845</v>
      </c>
      <c r="D75" t="s">
        <v>895</v>
      </c>
      <c r="F75" t="s">
        <v>955</v>
      </c>
      <c r="G75" t="str">
        <f>+_xlfn.XLOOKUP(D75,'AREA Level 2'!C:C,'AREA Level 2'!B:B)</f>
        <v>CAM_LV2_6</v>
      </c>
    </row>
    <row r="76" spans="1:7">
      <c r="A76" t="s">
        <v>844</v>
      </c>
      <c r="B76" t="s">
        <v>845</v>
      </c>
      <c r="D76" t="s">
        <v>897</v>
      </c>
      <c r="F76" t="s">
        <v>956</v>
      </c>
      <c r="G76" t="str">
        <f>+_xlfn.XLOOKUP(D76,'AREA Level 2'!C:C,'AREA Level 2'!B:B)</f>
        <v>CAM_LV2_7</v>
      </c>
    </row>
    <row r="77" spans="1:7">
      <c r="A77" t="s">
        <v>844</v>
      </c>
      <c r="B77" t="s">
        <v>845</v>
      </c>
      <c r="D77" t="s">
        <v>910</v>
      </c>
      <c r="F77" t="s">
        <v>957</v>
      </c>
      <c r="G77" t="str">
        <f>+_xlfn.XLOOKUP(D77,'AREA Level 2'!C:C,'AREA Level 2'!B:B)</f>
        <v>CAM_LV2_12</v>
      </c>
    </row>
    <row r="78" spans="1:7">
      <c r="A78" t="s">
        <v>844</v>
      </c>
      <c r="B78" t="s">
        <v>845</v>
      </c>
      <c r="D78" t="s">
        <v>910</v>
      </c>
      <c r="F78" t="s">
        <v>958</v>
      </c>
      <c r="G78" t="str">
        <f>+_xlfn.XLOOKUP(D78,'AREA Level 2'!C:C,'AREA Level 2'!B:B)</f>
        <v>CAM_LV2_12</v>
      </c>
    </row>
    <row r="79" spans="1:7">
      <c r="A79" t="s">
        <v>844</v>
      </c>
      <c r="B79" t="s">
        <v>845</v>
      </c>
      <c r="D79" t="s">
        <v>937</v>
      </c>
      <c r="F79" t="s">
        <v>959</v>
      </c>
      <c r="G79" t="str">
        <f>+_xlfn.XLOOKUP(D79,'AREA Level 2'!C:C,'AREA Level 2'!B:B)</f>
        <v>CAM_LV2_14</v>
      </c>
    </row>
    <row r="80" spans="1:7">
      <c r="A80" t="s">
        <v>844</v>
      </c>
      <c r="B80" t="s">
        <v>845</v>
      </c>
      <c r="D80" t="s">
        <v>901</v>
      </c>
      <c r="F80" t="s">
        <v>960</v>
      </c>
      <c r="G80" t="str">
        <f>+_xlfn.XLOOKUP(D80,'AREA Level 2'!C:C,'AREA Level 2'!B:B)</f>
        <v>CAM_LV2_9</v>
      </c>
    </row>
    <row r="81" spans="1:7">
      <c r="A81" t="s">
        <v>844</v>
      </c>
      <c r="B81" t="s">
        <v>845</v>
      </c>
      <c r="D81" t="s">
        <v>908</v>
      </c>
      <c r="F81" t="s">
        <v>961</v>
      </c>
      <c r="G81" t="str">
        <f>+_xlfn.XLOOKUP(D81,'AREA Level 2'!C:C,'AREA Level 2'!B:B)</f>
        <v>CAM_LV2_11</v>
      </c>
    </row>
    <row r="82" spans="1:7">
      <c r="A82" t="s">
        <v>844</v>
      </c>
      <c r="B82" t="s">
        <v>845</v>
      </c>
      <c r="D82" t="s">
        <v>908</v>
      </c>
      <c r="F82" t="s">
        <v>962</v>
      </c>
      <c r="G82" t="str">
        <f>+_xlfn.XLOOKUP(D82,'AREA Level 2'!C:C,'AREA Level 2'!B:B)</f>
        <v>CAM_LV2_11</v>
      </c>
    </row>
    <row r="83" spans="1:7">
      <c r="A83" t="s">
        <v>844</v>
      </c>
      <c r="B83" t="s">
        <v>845</v>
      </c>
      <c r="D83" t="s">
        <v>906</v>
      </c>
      <c r="F83" t="s">
        <v>963</v>
      </c>
      <c r="G83" t="str">
        <f>+_xlfn.XLOOKUP(D83,'AREA Level 2'!C:C,'AREA Level 2'!B:B)</f>
        <v>CAM_LV2_10</v>
      </c>
    </row>
    <row r="84" spans="1:7">
      <c r="A84" t="s">
        <v>844</v>
      </c>
      <c r="B84" t="s">
        <v>845</v>
      </c>
      <c r="D84" t="s">
        <v>908</v>
      </c>
      <c r="F84" t="s">
        <v>964</v>
      </c>
      <c r="G84" t="str">
        <f>+_xlfn.XLOOKUP(D84,'AREA Level 2'!C:C,'AREA Level 2'!B:B)</f>
        <v>CAM_LV2_11</v>
      </c>
    </row>
    <row r="85" spans="1:7">
      <c r="A85" t="s">
        <v>844</v>
      </c>
      <c r="B85" t="s">
        <v>845</v>
      </c>
      <c r="D85" t="s">
        <v>895</v>
      </c>
      <c r="F85" t="s">
        <v>965</v>
      </c>
      <c r="G85" t="str">
        <f>+_xlfn.XLOOKUP(D85,'AREA Level 2'!C:C,'AREA Level 2'!B:B)</f>
        <v>CAM_LV2_6</v>
      </c>
    </row>
    <row r="86" spans="1:7">
      <c r="A86" t="s">
        <v>844</v>
      </c>
      <c r="B86" t="s">
        <v>845</v>
      </c>
      <c r="D86" t="s">
        <v>966</v>
      </c>
      <c r="F86" t="s">
        <v>967</v>
      </c>
      <c r="G86" t="str">
        <f>+_xlfn.XLOOKUP(D86,'AREA Level 2'!C:C,'AREA Level 2'!B:B)</f>
        <v>CAM_LV2_15</v>
      </c>
    </row>
    <row r="87" spans="1:7">
      <c r="A87" t="s">
        <v>844</v>
      </c>
      <c r="B87" t="s">
        <v>845</v>
      </c>
      <c r="D87" t="s">
        <v>966</v>
      </c>
      <c r="F87" t="s">
        <v>968</v>
      </c>
      <c r="G87" t="str">
        <f>+_xlfn.XLOOKUP(D87,'AREA Level 2'!C:C,'AREA Level 2'!B:B)</f>
        <v>CAM_LV2_15</v>
      </c>
    </row>
    <row r="88" spans="1:7">
      <c r="A88" t="s">
        <v>844</v>
      </c>
      <c r="B88" t="s">
        <v>845</v>
      </c>
      <c r="D88" t="s">
        <v>966</v>
      </c>
      <c r="F88" t="s">
        <v>969</v>
      </c>
      <c r="G88" t="str">
        <f>+_xlfn.XLOOKUP(D88,'AREA Level 2'!C:C,'AREA Level 2'!B:B)</f>
        <v>CAM_LV2_15</v>
      </c>
    </row>
    <row r="89" spans="1:7">
      <c r="A89" t="s">
        <v>844</v>
      </c>
      <c r="B89" t="s">
        <v>845</v>
      </c>
      <c r="D89" t="s">
        <v>966</v>
      </c>
      <c r="F89" t="s">
        <v>970</v>
      </c>
      <c r="G89" t="str">
        <f>+_xlfn.XLOOKUP(D89,'AREA Level 2'!C:C,'AREA Level 2'!B:B)</f>
        <v>CAM_LV2_15</v>
      </c>
    </row>
    <row r="90" spans="1:7">
      <c r="A90" t="s">
        <v>844</v>
      </c>
      <c r="B90" t="s">
        <v>845</v>
      </c>
      <c r="D90" t="s">
        <v>966</v>
      </c>
      <c r="F90" t="s">
        <v>971</v>
      </c>
      <c r="G90" t="str">
        <f>+_xlfn.XLOOKUP(D90,'AREA Level 2'!C:C,'AREA Level 2'!B:B)</f>
        <v>CAM_LV2_15</v>
      </c>
    </row>
    <row r="91" spans="1:7">
      <c r="A91" t="s">
        <v>844</v>
      </c>
      <c r="B91" t="s">
        <v>845</v>
      </c>
      <c r="D91" t="s">
        <v>966</v>
      </c>
      <c r="F91" t="s">
        <v>972</v>
      </c>
      <c r="G91" t="str">
        <f>+_xlfn.XLOOKUP(D91,'AREA Level 2'!C:C,'AREA Level 2'!B:B)</f>
        <v>CAM_LV2_15</v>
      </c>
    </row>
    <row r="92" spans="1:7">
      <c r="A92" t="s">
        <v>844</v>
      </c>
      <c r="B92" t="s">
        <v>845</v>
      </c>
      <c r="D92" t="s">
        <v>966</v>
      </c>
      <c r="F92" t="s">
        <v>973</v>
      </c>
      <c r="G92" t="str">
        <f>+_xlfn.XLOOKUP(D92,'AREA Level 2'!C:C,'AREA Level 2'!B:B)</f>
        <v>CAM_LV2_15</v>
      </c>
    </row>
    <row r="93" spans="1:7">
      <c r="A93" t="s">
        <v>844</v>
      </c>
      <c r="B93" t="s">
        <v>845</v>
      </c>
      <c r="D93" t="s">
        <v>937</v>
      </c>
      <c r="F93" t="s">
        <v>974</v>
      </c>
      <c r="G93" t="str">
        <f>+_xlfn.XLOOKUP(D93,'AREA Level 2'!C:C,'AREA Level 2'!B:B)</f>
        <v>CAM_LV2_14</v>
      </c>
    </row>
    <row r="94" spans="1:7">
      <c r="A94" t="s">
        <v>846</v>
      </c>
      <c r="B94" t="s">
        <v>847</v>
      </c>
      <c r="D94" t="s">
        <v>975</v>
      </c>
      <c r="F94" t="s">
        <v>976</v>
      </c>
      <c r="G94" t="str">
        <f>+_xlfn.XLOOKUP(D94,'AREA Level 2'!C:C,'AREA Level 2'!B:B)</f>
        <v>CAM_LV2_16</v>
      </c>
    </row>
    <row r="95" spans="1:7">
      <c r="A95" t="s">
        <v>846</v>
      </c>
      <c r="B95" t="s">
        <v>847</v>
      </c>
      <c r="D95" t="s">
        <v>977</v>
      </c>
      <c r="F95" t="s">
        <v>978</v>
      </c>
      <c r="G95" t="str">
        <f>+_xlfn.XLOOKUP(D95,'AREA Level 2'!C:C,'AREA Level 2'!B:B)</f>
        <v>CAM_LV2_17</v>
      </c>
    </row>
    <row r="96" spans="1:7">
      <c r="A96" t="s">
        <v>846</v>
      </c>
      <c r="B96" t="s">
        <v>847</v>
      </c>
      <c r="D96" t="s">
        <v>975</v>
      </c>
      <c r="F96" t="s">
        <v>979</v>
      </c>
      <c r="G96" t="str">
        <f>+_xlfn.XLOOKUP(D96,'AREA Level 2'!C:C,'AREA Level 2'!B:B)</f>
        <v>CAM_LV2_16</v>
      </c>
    </row>
    <row r="97" spans="1:7">
      <c r="A97" t="s">
        <v>846</v>
      </c>
      <c r="B97" t="s">
        <v>847</v>
      </c>
      <c r="D97" t="s">
        <v>977</v>
      </c>
      <c r="F97" t="s">
        <v>980</v>
      </c>
      <c r="G97" t="str">
        <f>+_xlfn.XLOOKUP(D97,'AREA Level 2'!C:C,'AREA Level 2'!B:B)</f>
        <v>CAM_LV2_17</v>
      </c>
    </row>
    <row r="98" spans="1:7">
      <c r="A98" t="s">
        <v>846</v>
      </c>
      <c r="B98" t="s">
        <v>847</v>
      </c>
      <c r="D98" t="s">
        <v>975</v>
      </c>
      <c r="F98" t="s">
        <v>981</v>
      </c>
      <c r="G98" t="str">
        <f>+_xlfn.XLOOKUP(D98,'AREA Level 2'!C:C,'AREA Level 2'!B:B)</f>
        <v>CAM_LV2_16</v>
      </c>
    </row>
    <row r="99" spans="1:7">
      <c r="A99" t="s">
        <v>846</v>
      </c>
      <c r="B99" t="s">
        <v>847</v>
      </c>
      <c r="D99" t="s">
        <v>982</v>
      </c>
      <c r="F99" t="s">
        <v>983</v>
      </c>
      <c r="G99" t="str">
        <f>+_xlfn.XLOOKUP(D99,'AREA Level 2'!C:C,'AREA Level 2'!B:B)</f>
        <v>CAM_LV2_18</v>
      </c>
    </row>
    <row r="100" spans="1:7">
      <c r="A100" t="s">
        <v>846</v>
      </c>
      <c r="B100" t="s">
        <v>847</v>
      </c>
      <c r="D100" t="s">
        <v>982</v>
      </c>
      <c r="F100" t="s">
        <v>984</v>
      </c>
      <c r="G100" t="str">
        <f>+_xlfn.XLOOKUP(D100,'AREA Level 2'!C:C,'AREA Level 2'!B:B)</f>
        <v>CAM_LV2_18</v>
      </c>
    </row>
    <row r="101" spans="1:7">
      <c r="A101" t="s">
        <v>846</v>
      </c>
      <c r="B101" t="s">
        <v>847</v>
      </c>
      <c r="D101" t="s">
        <v>982</v>
      </c>
      <c r="F101" t="s">
        <v>985</v>
      </c>
      <c r="G101" t="str">
        <f>+_xlfn.XLOOKUP(D101,'AREA Level 2'!C:C,'AREA Level 2'!B:B)</f>
        <v>CAM_LV2_18</v>
      </c>
    </row>
    <row r="102" spans="1:7">
      <c r="A102" t="s">
        <v>846</v>
      </c>
      <c r="B102" t="s">
        <v>847</v>
      </c>
      <c r="D102" t="s">
        <v>982</v>
      </c>
      <c r="F102" t="s">
        <v>986</v>
      </c>
      <c r="G102" t="str">
        <f>+_xlfn.XLOOKUP(D102,'AREA Level 2'!C:C,'AREA Level 2'!B:B)</f>
        <v>CAM_LV2_18</v>
      </c>
    </row>
    <row r="103" spans="1:7">
      <c r="A103" t="s">
        <v>846</v>
      </c>
      <c r="B103" t="s">
        <v>847</v>
      </c>
      <c r="D103" t="s">
        <v>977</v>
      </c>
      <c r="F103" t="s">
        <v>987</v>
      </c>
      <c r="G103" t="str">
        <f>+_xlfn.XLOOKUP(D103,'AREA Level 2'!C:C,'AREA Level 2'!B:B)</f>
        <v>CAM_LV2_17</v>
      </c>
    </row>
    <row r="104" spans="1:7">
      <c r="A104" t="s">
        <v>846</v>
      </c>
      <c r="B104" t="s">
        <v>847</v>
      </c>
      <c r="D104" t="s">
        <v>982</v>
      </c>
      <c r="F104" t="s">
        <v>988</v>
      </c>
      <c r="G104" t="str">
        <f>+_xlfn.XLOOKUP(D104,'AREA Level 2'!C:C,'AREA Level 2'!B:B)</f>
        <v>CAM_LV2_18</v>
      </c>
    </row>
    <row r="105" spans="1:7">
      <c r="A105" t="s">
        <v>846</v>
      </c>
      <c r="B105" t="s">
        <v>847</v>
      </c>
      <c r="D105" t="s">
        <v>975</v>
      </c>
      <c r="F105" t="s">
        <v>989</v>
      </c>
      <c r="G105" t="str">
        <f>+_xlfn.XLOOKUP(D105,'AREA Level 2'!C:C,'AREA Level 2'!B:B)</f>
        <v>CAM_LV2_16</v>
      </c>
    </row>
    <row r="106" spans="1:7">
      <c r="A106" t="s">
        <v>846</v>
      </c>
      <c r="B106" t="s">
        <v>847</v>
      </c>
      <c r="D106" t="s">
        <v>975</v>
      </c>
      <c r="F106" t="s">
        <v>990</v>
      </c>
      <c r="G106" t="str">
        <f>+_xlfn.XLOOKUP(D106,'AREA Level 2'!C:C,'AREA Level 2'!B:B)</f>
        <v>CAM_LV2_16</v>
      </c>
    </row>
    <row r="107" spans="1:7">
      <c r="A107" t="s">
        <v>846</v>
      </c>
      <c r="B107" t="s">
        <v>847</v>
      </c>
      <c r="D107" t="s">
        <v>975</v>
      </c>
      <c r="F107" t="s">
        <v>991</v>
      </c>
      <c r="G107" t="str">
        <f>+_xlfn.XLOOKUP(D107,'AREA Level 2'!C:C,'AREA Level 2'!B:B)</f>
        <v>CAM_LV2_16</v>
      </c>
    </row>
    <row r="108" spans="1:7">
      <c r="A108" t="s">
        <v>846</v>
      </c>
      <c r="B108" t="s">
        <v>847</v>
      </c>
      <c r="D108" t="s">
        <v>992</v>
      </c>
      <c r="F108" t="s">
        <v>993</v>
      </c>
      <c r="G108" t="str">
        <f>+_xlfn.XLOOKUP(D108,'AREA Level 2'!C:C,'AREA Level 2'!B:B)</f>
        <v>CAM_LV2_19</v>
      </c>
    </row>
    <row r="109" spans="1:7">
      <c r="A109" t="s">
        <v>846</v>
      </c>
      <c r="B109" t="s">
        <v>847</v>
      </c>
      <c r="D109" t="s">
        <v>982</v>
      </c>
      <c r="F109" t="s">
        <v>994</v>
      </c>
      <c r="G109" t="str">
        <f>+_xlfn.XLOOKUP(D109,'AREA Level 2'!C:C,'AREA Level 2'!B:B)</f>
        <v>CAM_LV2_18</v>
      </c>
    </row>
    <row r="110" spans="1:7">
      <c r="A110" t="s">
        <v>846</v>
      </c>
      <c r="B110" t="s">
        <v>847</v>
      </c>
      <c r="D110" t="s">
        <v>977</v>
      </c>
      <c r="F110" t="s">
        <v>995</v>
      </c>
      <c r="G110" t="str">
        <f>+_xlfn.XLOOKUP(D110,'AREA Level 2'!C:C,'AREA Level 2'!B:B)</f>
        <v>CAM_LV2_17</v>
      </c>
    </row>
    <row r="111" spans="1:7">
      <c r="A111" t="s">
        <v>846</v>
      </c>
      <c r="B111" t="s">
        <v>847</v>
      </c>
      <c r="D111" t="s">
        <v>975</v>
      </c>
      <c r="F111" t="s">
        <v>996</v>
      </c>
      <c r="G111" t="str">
        <f>+_xlfn.XLOOKUP(D111,'AREA Level 2'!C:C,'AREA Level 2'!B:B)</f>
        <v>CAM_LV2_16</v>
      </c>
    </row>
    <row r="112" spans="1:7">
      <c r="A112" t="s">
        <v>846</v>
      </c>
      <c r="B112" t="s">
        <v>847</v>
      </c>
      <c r="D112" t="s">
        <v>982</v>
      </c>
      <c r="F112" t="s">
        <v>997</v>
      </c>
      <c r="G112" t="str">
        <f>+_xlfn.XLOOKUP(D112,'AREA Level 2'!C:C,'AREA Level 2'!B:B)</f>
        <v>CAM_LV2_18</v>
      </c>
    </row>
    <row r="113" spans="1:7">
      <c r="A113" t="s">
        <v>846</v>
      </c>
      <c r="B113" t="s">
        <v>847</v>
      </c>
      <c r="D113" t="s">
        <v>977</v>
      </c>
      <c r="F113" t="s">
        <v>998</v>
      </c>
      <c r="G113" t="str">
        <f>+_xlfn.XLOOKUP(D113,'AREA Level 2'!C:C,'AREA Level 2'!B:B)</f>
        <v>CAM_LV2_17</v>
      </c>
    </row>
    <row r="114" spans="1:7">
      <c r="A114" t="s">
        <v>846</v>
      </c>
      <c r="B114" t="s">
        <v>847</v>
      </c>
      <c r="D114" t="s">
        <v>975</v>
      </c>
      <c r="F114" t="s">
        <v>999</v>
      </c>
      <c r="G114" t="str">
        <f>+_xlfn.XLOOKUP(D114,'AREA Level 2'!C:C,'AREA Level 2'!B:B)</f>
        <v>CAM_LV2_16</v>
      </c>
    </row>
    <row r="115" spans="1:7">
      <c r="A115" t="s">
        <v>846</v>
      </c>
      <c r="B115" t="s">
        <v>847</v>
      </c>
      <c r="D115" t="s">
        <v>975</v>
      </c>
      <c r="F115" t="s">
        <v>1000</v>
      </c>
      <c r="G115" t="str">
        <f>+_xlfn.XLOOKUP(D115,'AREA Level 2'!C:C,'AREA Level 2'!B:B)</f>
        <v>CAM_LV2_16</v>
      </c>
    </row>
    <row r="116" spans="1:7">
      <c r="A116" t="s">
        <v>846</v>
      </c>
      <c r="B116" t="s">
        <v>847</v>
      </c>
      <c r="D116" t="s">
        <v>977</v>
      </c>
      <c r="F116" t="s">
        <v>1001</v>
      </c>
      <c r="G116" t="str">
        <f>+_xlfn.XLOOKUP(D116,'AREA Level 2'!C:C,'AREA Level 2'!B:B)</f>
        <v>CAM_LV2_17</v>
      </c>
    </row>
    <row r="117" spans="1:7">
      <c r="A117" t="s">
        <v>846</v>
      </c>
      <c r="B117" t="s">
        <v>847</v>
      </c>
      <c r="D117" t="s">
        <v>975</v>
      </c>
      <c r="F117" t="s">
        <v>1002</v>
      </c>
      <c r="G117" t="str">
        <f>+_xlfn.XLOOKUP(D117,'AREA Level 2'!C:C,'AREA Level 2'!B:B)</f>
        <v>CAM_LV2_16</v>
      </c>
    </row>
    <row r="118" spans="1:7">
      <c r="A118" t="s">
        <v>846</v>
      </c>
      <c r="B118" t="s">
        <v>847</v>
      </c>
      <c r="D118" t="s">
        <v>975</v>
      </c>
      <c r="F118" t="s">
        <v>1003</v>
      </c>
      <c r="G118" t="str">
        <f>+_xlfn.XLOOKUP(D118,'AREA Level 2'!C:C,'AREA Level 2'!B:B)</f>
        <v>CAM_LV2_16</v>
      </c>
    </row>
    <row r="119" spans="1:7">
      <c r="A119" t="s">
        <v>846</v>
      </c>
      <c r="B119" t="s">
        <v>847</v>
      </c>
      <c r="D119" t="s">
        <v>992</v>
      </c>
      <c r="F119" t="s">
        <v>1004</v>
      </c>
      <c r="G119" t="str">
        <f>+_xlfn.XLOOKUP(D119,'AREA Level 2'!C:C,'AREA Level 2'!B:B)</f>
        <v>CAM_LV2_19</v>
      </c>
    </row>
    <row r="120" spans="1:7">
      <c r="A120" t="s">
        <v>846</v>
      </c>
      <c r="B120" t="s">
        <v>847</v>
      </c>
      <c r="D120" t="s">
        <v>977</v>
      </c>
      <c r="F120" t="s">
        <v>1005</v>
      </c>
      <c r="G120" t="str">
        <f>+_xlfn.XLOOKUP(D120,'AREA Level 2'!C:C,'AREA Level 2'!B:B)</f>
        <v>CAM_LV2_17</v>
      </c>
    </row>
    <row r="121" spans="1:7">
      <c r="A121" t="s">
        <v>846</v>
      </c>
      <c r="B121" t="s">
        <v>847</v>
      </c>
      <c r="D121" t="s">
        <v>982</v>
      </c>
      <c r="F121" t="s">
        <v>1006</v>
      </c>
      <c r="G121" t="str">
        <f>+_xlfn.XLOOKUP(D121,'AREA Level 2'!C:C,'AREA Level 2'!B:B)</f>
        <v>CAM_LV2_18</v>
      </c>
    </row>
    <row r="122" spans="1:7">
      <c r="A122" t="s">
        <v>846</v>
      </c>
      <c r="B122" t="s">
        <v>847</v>
      </c>
      <c r="D122" t="s">
        <v>975</v>
      </c>
      <c r="F122" t="s">
        <v>1007</v>
      </c>
      <c r="G122" t="str">
        <f>+_xlfn.XLOOKUP(D122,'AREA Level 2'!C:C,'AREA Level 2'!B:B)</f>
        <v>CAM_LV2_16</v>
      </c>
    </row>
    <row r="123" spans="1:7">
      <c r="A123" t="s">
        <v>846</v>
      </c>
      <c r="B123" t="s">
        <v>847</v>
      </c>
      <c r="D123" t="s">
        <v>975</v>
      </c>
      <c r="F123" t="s">
        <v>1008</v>
      </c>
      <c r="G123" t="str">
        <f>+_xlfn.XLOOKUP(D123,'AREA Level 2'!C:C,'AREA Level 2'!B:B)</f>
        <v>CAM_LV2_16</v>
      </c>
    </row>
    <row r="124" spans="1:7">
      <c r="A124" t="s">
        <v>846</v>
      </c>
      <c r="B124" t="s">
        <v>847</v>
      </c>
      <c r="D124" t="s">
        <v>975</v>
      </c>
      <c r="F124" t="s">
        <v>1009</v>
      </c>
      <c r="G124" t="str">
        <f>+_xlfn.XLOOKUP(D124,'AREA Level 2'!C:C,'AREA Level 2'!B:B)</f>
        <v>CAM_LV2_16</v>
      </c>
    </row>
    <row r="125" spans="1:7">
      <c r="A125" t="s">
        <v>846</v>
      </c>
      <c r="B125" t="s">
        <v>847</v>
      </c>
      <c r="D125" t="s">
        <v>992</v>
      </c>
      <c r="F125" t="s">
        <v>1010</v>
      </c>
      <c r="G125" t="str">
        <f>+_xlfn.XLOOKUP(D125,'AREA Level 2'!C:C,'AREA Level 2'!B:B)</f>
        <v>CAM_LV2_19</v>
      </c>
    </row>
    <row r="126" spans="1:7">
      <c r="A126" t="s">
        <v>846</v>
      </c>
      <c r="B126" t="s">
        <v>847</v>
      </c>
      <c r="D126" t="s">
        <v>975</v>
      </c>
      <c r="F126" t="s">
        <v>1011</v>
      </c>
      <c r="G126" t="str">
        <f>+_xlfn.XLOOKUP(D126,'AREA Level 2'!C:C,'AREA Level 2'!B:B)</f>
        <v>CAM_LV2_16</v>
      </c>
    </row>
    <row r="127" spans="1:7">
      <c r="A127" t="s">
        <v>846</v>
      </c>
      <c r="B127" t="s">
        <v>847</v>
      </c>
      <c r="D127" t="s">
        <v>992</v>
      </c>
      <c r="F127" t="s">
        <v>1012</v>
      </c>
      <c r="G127" t="str">
        <f>+_xlfn.XLOOKUP(D127,'AREA Level 2'!C:C,'AREA Level 2'!B:B)</f>
        <v>CAM_LV2_19</v>
      </c>
    </row>
    <row r="128" spans="1:7">
      <c r="A128" t="s">
        <v>848</v>
      </c>
      <c r="B128" t="s">
        <v>849</v>
      </c>
      <c r="D128" t="s">
        <v>1013</v>
      </c>
      <c r="F128" t="s">
        <v>1014</v>
      </c>
      <c r="G128" t="str">
        <f>+_xlfn.XLOOKUP(D128,'AREA Level 2'!C:C,'AREA Level 2'!B:B)</f>
        <v>CAM_LV2_20</v>
      </c>
    </row>
    <row r="129" spans="1:7">
      <c r="A129" t="s">
        <v>848</v>
      </c>
      <c r="B129" t="s">
        <v>849</v>
      </c>
      <c r="D129" t="s">
        <v>1013</v>
      </c>
      <c r="F129" t="s">
        <v>1015</v>
      </c>
      <c r="G129" t="str">
        <f>+_xlfn.XLOOKUP(D129,'AREA Level 2'!C:C,'AREA Level 2'!B:B)</f>
        <v>CAM_LV2_20</v>
      </c>
    </row>
    <row r="130" spans="1:7">
      <c r="A130" t="s">
        <v>848</v>
      </c>
      <c r="B130" t="s">
        <v>849</v>
      </c>
      <c r="D130" t="s">
        <v>1013</v>
      </c>
      <c r="F130" t="s">
        <v>1016</v>
      </c>
      <c r="G130" t="str">
        <f>+_xlfn.XLOOKUP(D130,'AREA Level 2'!C:C,'AREA Level 2'!B:B)</f>
        <v>CAM_LV2_20</v>
      </c>
    </row>
    <row r="131" spans="1:7">
      <c r="A131" t="s">
        <v>848</v>
      </c>
      <c r="B131" t="s">
        <v>849</v>
      </c>
      <c r="D131" t="s">
        <v>1013</v>
      </c>
      <c r="F131" t="s">
        <v>1017</v>
      </c>
      <c r="G131" t="str">
        <f>+_xlfn.XLOOKUP(D131,'AREA Level 2'!C:C,'AREA Level 2'!B:B)</f>
        <v>CAM_LV2_20</v>
      </c>
    </row>
    <row r="132" spans="1:7">
      <c r="A132" t="s">
        <v>848</v>
      </c>
      <c r="B132" t="s">
        <v>849</v>
      </c>
      <c r="D132" t="s">
        <v>1018</v>
      </c>
      <c r="F132" t="s">
        <v>1019</v>
      </c>
      <c r="G132" t="str">
        <f>+_xlfn.XLOOKUP(D132,'AREA Level 2'!C:C,'AREA Level 2'!B:B)</f>
        <v>CAM_LV2_21</v>
      </c>
    </row>
    <row r="133" spans="1:7">
      <c r="A133" t="s">
        <v>848</v>
      </c>
      <c r="B133" t="s">
        <v>849</v>
      </c>
      <c r="D133" t="s">
        <v>1020</v>
      </c>
      <c r="F133" t="s">
        <v>1021</v>
      </c>
      <c r="G133" t="str">
        <f>+_xlfn.XLOOKUP(D133,'AREA Level 2'!C:C,'AREA Level 2'!B:B)</f>
        <v>CAM_LV2_22</v>
      </c>
    </row>
    <row r="134" spans="1:7">
      <c r="A134" t="s">
        <v>848</v>
      </c>
      <c r="B134" t="s">
        <v>849</v>
      </c>
      <c r="D134" t="s">
        <v>1022</v>
      </c>
      <c r="F134" t="s">
        <v>1023</v>
      </c>
      <c r="G134" t="str">
        <f>+_xlfn.XLOOKUP(D134,'AREA Level 2'!C:C,'AREA Level 2'!B:B)</f>
        <v>CAM_LV2_23</v>
      </c>
    </row>
    <row r="135" spans="1:7">
      <c r="A135" t="s">
        <v>848</v>
      </c>
      <c r="B135" t="s">
        <v>849</v>
      </c>
      <c r="D135" t="s">
        <v>1018</v>
      </c>
      <c r="F135" t="s">
        <v>1024</v>
      </c>
      <c r="G135" t="str">
        <f>+_xlfn.XLOOKUP(D135,'AREA Level 2'!C:C,'AREA Level 2'!B:B)</f>
        <v>CAM_LV2_21</v>
      </c>
    </row>
    <row r="136" spans="1:7">
      <c r="A136" t="s">
        <v>848</v>
      </c>
      <c r="B136" t="s">
        <v>849</v>
      </c>
      <c r="D136" t="s">
        <v>1020</v>
      </c>
      <c r="F136" t="s">
        <v>1025</v>
      </c>
      <c r="G136" t="str">
        <f>+_xlfn.XLOOKUP(D136,'AREA Level 2'!C:C,'AREA Level 2'!B:B)</f>
        <v>CAM_LV2_22</v>
      </c>
    </row>
    <row r="137" spans="1:7">
      <c r="A137" t="s">
        <v>848</v>
      </c>
      <c r="B137" t="s">
        <v>849</v>
      </c>
      <c r="D137" t="s">
        <v>1026</v>
      </c>
      <c r="F137" t="s">
        <v>1027</v>
      </c>
      <c r="G137" t="str">
        <f>+_xlfn.XLOOKUP(D137,'AREA Level 2'!C:C,'AREA Level 2'!B:B)</f>
        <v>CAM_LV2_24</v>
      </c>
    </row>
    <row r="138" spans="1:7">
      <c r="A138" t="s">
        <v>848</v>
      </c>
      <c r="B138" t="s">
        <v>849</v>
      </c>
      <c r="D138" t="s">
        <v>1018</v>
      </c>
      <c r="F138" t="s">
        <v>1028</v>
      </c>
      <c r="G138" t="str">
        <f>+_xlfn.XLOOKUP(D138,'AREA Level 2'!C:C,'AREA Level 2'!B:B)</f>
        <v>CAM_LV2_21</v>
      </c>
    </row>
    <row r="139" spans="1:7">
      <c r="A139" t="s">
        <v>848</v>
      </c>
      <c r="B139" t="s">
        <v>849</v>
      </c>
      <c r="D139" t="s">
        <v>1020</v>
      </c>
      <c r="F139" t="s">
        <v>1029</v>
      </c>
      <c r="G139" t="str">
        <f>+_xlfn.XLOOKUP(D139,'AREA Level 2'!C:C,'AREA Level 2'!B:B)</f>
        <v>CAM_LV2_22</v>
      </c>
    </row>
    <row r="140" spans="1:7">
      <c r="A140" t="s">
        <v>848</v>
      </c>
      <c r="B140" t="s">
        <v>849</v>
      </c>
      <c r="D140" t="s">
        <v>1026</v>
      </c>
      <c r="F140" t="s">
        <v>1030</v>
      </c>
      <c r="G140" t="str">
        <f>+_xlfn.XLOOKUP(D140,'AREA Level 2'!C:C,'AREA Level 2'!B:B)</f>
        <v>CAM_LV2_24</v>
      </c>
    </row>
    <row r="141" spans="1:7">
      <c r="A141" t="s">
        <v>848</v>
      </c>
      <c r="B141" t="s">
        <v>849</v>
      </c>
      <c r="D141" t="s">
        <v>1018</v>
      </c>
      <c r="F141" t="s">
        <v>1031</v>
      </c>
      <c r="G141" t="str">
        <f>+_xlfn.XLOOKUP(D141,'AREA Level 2'!C:C,'AREA Level 2'!B:B)</f>
        <v>CAM_LV2_21</v>
      </c>
    </row>
    <row r="142" spans="1:7">
      <c r="A142" t="s">
        <v>848</v>
      </c>
      <c r="B142" t="s">
        <v>849</v>
      </c>
      <c r="D142" t="s">
        <v>1026</v>
      </c>
      <c r="F142" t="s">
        <v>1032</v>
      </c>
      <c r="G142" t="str">
        <f>+_xlfn.XLOOKUP(D142,'AREA Level 2'!C:C,'AREA Level 2'!B:B)</f>
        <v>CAM_LV2_24</v>
      </c>
    </row>
    <row r="143" spans="1:7">
      <c r="A143" t="s">
        <v>848</v>
      </c>
      <c r="B143" t="s">
        <v>849</v>
      </c>
      <c r="D143" t="s">
        <v>1026</v>
      </c>
      <c r="F143" t="s">
        <v>1033</v>
      </c>
      <c r="G143" t="str">
        <f>+_xlfn.XLOOKUP(D143,'AREA Level 2'!C:C,'AREA Level 2'!B:B)</f>
        <v>CAM_LV2_24</v>
      </c>
    </row>
    <row r="144" spans="1:7">
      <c r="A144" t="s">
        <v>848</v>
      </c>
      <c r="B144" t="s">
        <v>849</v>
      </c>
      <c r="D144" t="s">
        <v>1013</v>
      </c>
      <c r="F144" t="s">
        <v>1034</v>
      </c>
      <c r="G144" t="str">
        <f>+_xlfn.XLOOKUP(D144,'AREA Level 2'!C:C,'AREA Level 2'!B:B)</f>
        <v>CAM_LV2_20</v>
      </c>
    </row>
    <row r="145" spans="1:7">
      <c r="A145" t="s">
        <v>848</v>
      </c>
      <c r="B145" t="s">
        <v>849</v>
      </c>
      <c r="D145" t="s">
        <v>1018</v>
      </c>
      <c r="F145" t="s">
        <v>1035</v>
      </c>
      <c r="G145" t="str">
        <f>+_xlfn.XLOOKUP(D145,'AREA Level 2'!C:C,'AREA Level 2'!B:B)</f>
        <v>CAM_LV2_21</v>
      </c>
    </row>
    <row r="146" spans="1:7">
      <c r="A146" t="s">
        <v>848</v>
      </c>
      <c r="B146" t="s">
        <v>849</v>
      </c>
      <c r="D146" t="s">
        <v>1018</v>
      </c>
      <c r="F146" t="s">
        <v>1036</v>
      </c>
      <c r="G146" t="str">
        <f>+_xlfn.XLOOKUP(D146,'AREA Level 2'!C:C,'AREA Level 2'!B:B)</f>
        <v>CAM_LV2_21</v>
      </c>
    </row>
    <row r="147" spans="1:7">
      <c r="A147" t="s">
        <v>848</v>
      </c>
      <c r="B147" t="s">
        <v>849</v>
      </c>
      <c r="D147" t="s">
        <v>1022</v>
      </c>
      <c r="F147" t="s">
        <v>1037</v>
      </c>
      <c r="G147" t="str">
        <f>+_xlfn.XLOOKUP(D147,'AREA Level 2'!C:C,'AREA Level 2'!B:B)</f>
        <v>CAM_LV2_23</v>
      </c>
    </row>
    <row r="148" spans="1:7">
      <c r="A148" t="s">
        <v>848</v>
      </c>
      <c r="B148" t="s">
        <v>849</v>
      </c>
      <c r="D148" t="s">
        <v>1013</v>
      </c>
      <c r="F148" t="s">
        <v>1038</v>
      </c>
      <c r="G148" t="str">
        <f>+_xlfn.XLOOKUP(D148,'AREA Level 2'!C:C,'AREA Level 2'!B:B)</f>
        <v>CAM_LV2_20</v>
      </c>
    </row>
    <row r="149" spans="1:7">
      <c r="A149" t="s">
        <v>848</v>
      </c>
      <c r="B149" t="s">
        <v>849</v>
      </c>
      <c r="D149" t="s">
        <v>1026</v>
      </c>
      <c r="F149" t="s">
        <v>1039</v>
      </c>
      <c r="G149" t="str">
        <f>+_xlfn.XLOOKUP(D149,'AREA Level 2'!C:C,'AREA Level 2'!B:B)</f>
        <v>CAM_LV2_24</v>
      </c>
    </row>
    <row r="150" spans="1:7">
      <c r="A150" t="s">
        <v>848</v>
      </c>
      <c r="B150" t="s">
        <v>849</v>
      </c>
      <c r="D150" t="s">
        <v>1026</v>
      </c>
      <c r="F150" t="s">
        <v>1040</v>
      </c>
      <c r="G150" t="str">
        <f>+_xlfn.XLOOKUP(D150,'AREA Level 2'!C:C,'AREA Level 2'!B:B)</f>
        <v>CAM_LV2_24</v>
      </c>
    </row>
    <row r="151" spans="1:7">
      <c r="A151" t="s">
        <v>848</v>
      </c>
      <c r="B151" t="s">
        <v>849</v>
      </c>
      <c r="D151" t="s">
        <v>1026</v>
      </c>
      <c r="F151" t="s">
        <v>1041</v>
      </c>
      <c r="G151" t="str">
        <f>+_xlfn.XLOOKUP(D151,'AREA Level 2'!C:C,'AREA Level 2'!B:B)</f>
        <v>CAM_LV2_24</v>
      </c>
    </row>
    <row r="152" spans="1:7">
      <c r="A152" t="s">
        <v>848</v>
      </c>
      <c r="B152" t="s">
        <v>849</v>
      </c>
      <c r="D152" t="s">
        <v>1042</v>
      </c>
      <c r="F152" t="s">
        <v>1043</v>
      </c>
      <c r="G152" t="str">
        <f>+_xlfn.XLOOKUP(D152,'AREA Level 2'!C:C,'AREA Level 2'!B:B)</f>
        <v>CAM_LV2_25</v>
      </c>
    </row>
    <row r="153" spans="1:7">
      <c r="A153" t="s">
        <v>848</v>
      </c>
      <c r="B153" t="s">
        <v>849</v>
      </c>
      <c r="D153" t="s">
        <v>1018</v>
      </c>
      <c r="F153" t="s">
        <v>1044</v>
      </c>
      <c r="G153" t="str">
        <f>+_xlfn.XLOOKUP(D153,'AREA Level 2'!C:C,'AREA Level 2'!B:B)</f>
        <v>CAM_LV2_21</v>
      </c>
    </row>
    <row r="154" spans="1:7">
      <c r="A154" t="s">
        <v>848</v>
      </c>
      <c r="B154" t="s">
        <v>849</v>
      </c>
      <c r="D154" t="s">
        <v>1022</v>
      </c>
      <c r="F154" t="s">
        <v>1045</v>
      </c>
      <c r="G154" t="str">
        <f>+_xlfn.XLOOKUP(D154,'AREA Level 2'!C:C,'AREA Level 2'!B:B)</f>
        <v>CAM_LV2_23</v>
      </c>
    </row>
    <row r="155" spans="1:7">
      <c r="A155" t="s">
        <v>848</v>
      </c>
      <c r="B155" t="s">
        <v>849</v>
      </c>
      <c r="D155" t="s">
        <v>1018</v>
      </c>
      <c r="F155" t="s">
        <v>1046</v>
      </c>
      <c r="G155" t="str">
        <f>+_xlfn.XLOOKUP(D155,'AREA Level 2'!C:C,'AREA Level 2'!B:B)</f>
        <v>CAM_LV2_21</v>
      </c>
    </row>
    <row r="156" spans="1:7">
      <c r="A156" t="s">
        <v>848</v>
      </c>
      <c r="B156" t="s">
        <v>849</v>
      </c>
      <c r="D156" t="s">
        <v>1026</v>
      </c>
      <c r="F156" t="s">
        <v>1047</v>
      </c>
      <c r="G156" t="str">
        <f>+_xlfn.XLOOKUP(D156,'AREA Level 2'!C:C,'AREA Level 2'!B:B)</f>
        <v>CAM_LV2_24</v>
      </c>
    </row>
    <row r="157" spans="1:7">
      <c r="A157" t="s">
        <v>848</v>
      </c>
      <c r="B157" t="s">
        <v>849</v>
      </c>
      <c r="D157" t="s">
        <v>1018</v>
      </c>
      <c r="F157" t="s">
        <v>1048</v>
      </c>
      <c r="G157" t="str">
        <f>+_xlfn.XLOOKUP(D157,'AREA Level 2'!C:C,'AREA Level 2'!B:B)</f>
        <v>CAM_LV2_21</v>
      </c>
    </row>
    <row r="158" spans="1:7">
      <c r="A158" t="s">
        <v>848</v>
      </c>
      <c r="B158" t="s">
        <v>849</v>
      </c>
      <c r="D158" t="s">
        <v>1020</v>
      </c>
      <c r="F158" t="s">
        <v>1049</v>
      </c>
      <c r="G158" t="str">
        <f>+_xlfn.XLOOKUP(D158,'AREA Level 2'!C:C,'AREA Level 2'!B:B)</f>
        <v>CAM_LV2_22</v>
      </c>
    </row>
    <row r="159" spans="1:7">
      <c r="A159" t="s">
        <v>848</v>
      </c>
      <c r="B159" t="s">
        <v>849</v>
      </c>
      <c r="D159" t="s">
        <v>1020</v>
      </c>
      <c r="F159" t="s">
        <v>1050</v>
      </c>
      <c r="G159" t="str">
        <f>+_xlfn.XLOOKUP(D159,'AREA Level 2'!C:C,'AREA Level 2'!B:B)</f>
        <v>CAM_LV2_22</v>
      </c>
    </row>
    <row r="160" spans="1:7">
      <c r="A160" t="s">
        <v>848</v>
      </c>
      <c r="B160" t="s">
        <v>849</v>
      </c>
      <c r="D160" t="s">
        <v>1020</v>
      </c>
      <c r="F160" t="s">
        <v>1051</v>
      </c>
      <c r="G160" t="str">
        <f>+_xlfn.XLOOKUP(D160,'AREA Level 2'!C:C,'AREA Level 2'!B:B)</f>
        <v>CAM_LV2_22</v>
      </c>
    </row>
    <row r="161" spans="1:7">
      <c r="A161" t="s">
        <v>848</v>
      </c>
      <c r="B161" t="s">
        <v>849</v>
      </c>
      <c r="D161" t="s">
        <v>1022</v>
      </c>
      <c r="F161" t="s">
        <v>1052</v>
      </c>
      <c r="G161" t="str">
        <f>+_xlfn.XLOOKUP(D161,'AREA Level 2'!C:C,'AREA Level 2'!B:B)</f>
        <v>CAM_LV2_23</v>
      </c>
    </row>
    <row r="162" spans="1:7">
      <c r="A162" t="s">
        <v>848</v>
      </c>
      <c r="B162" t="s">
        <v>849</v>
      </c>
      <c r="D162" t="s">
        <v>1020</v>
      </c>
      <c r="F162" t="s">
        <v>1053</v>
      </c>
      <c r="G162" t="str">
        <f>+_xlfn.XLOOKUP(D162,'AREA Level 2'!C:C,'AREA Level 2'!B:B)</f>
        <v>CAM_LV2_22</v>
      </c>
    </row>
    <row r="163" spans="1:7">
      <c r="A163" t="s">
        <v>848</v>
      </c>
      <c r="B163" t="s">
        <v>849</v>
      </c>
      <c r="D163" t="s">
        <v>1022</v>
      </c>
      <c r="F163" t="s">
        <v>1054</v>
      </c>
      <c r="G163" t="str">
        <f>+_xlfn.XLOOKUP(D163,'AREA Level 2'!C:C,'AREA Level 2'!B:B)</f>
        <v>CAM_LV2_23</v>
      </c>
    </row>
    <row r="164" spans="1:7">
      <c r="A164" t="s">
        <v>848</v>
      </c>
      <c r="B164" t="s">
        <v>849</v>
      </c>
      <c r="D164" t="s">
        <v>1022</v>
      </c>
      <c r="F164" t="s">
        <v>1055</v>
      </c>
      <c r="G164" t="str">
        <f>+_xlfn.XLOOKUP(D164,'AREA Level 2'!C:C,'AREA Level 2'!B:B)</f>
        <v>CAM_LV2_23</v>
      </c>
    </row>
    <row r="165" spans="1:7">
      <c r="A165" t="s">
        <v>848</v>
      </c>
      <c r="B165" t="s">
        <v>849</v>
      </c>
      <c r="D165" t="s">
        <v>1042</v>
      </c>
      <c r="F165" t="s">
        <v>1056</v>
      </c>
      <c r="G165" t="str">
        <f>+_xlfn.XLOOKUP(D165,'AREA Level 2'!C:C,'AREA Level 2'!B:B)</f>
        <v>CAM_LV2_25</v>
      </c>
    </row>
    <row r="166" spans="1:7">
      <c r="A166" t="s">
        <v>848</v>
      </c>
      <c r="B166" t="s">
        <v>849</v>
      </c>
      <c r="D166" t="s">
        <v>1013</v>
      </c>
      <c r="F166" t="s">
        <v>1057</v>
      </c>
      <c r="G166" t="str">
        <f>+_xlfn.XLOOKUP(D166,'AREA Level 2'!C:C,'AREA Level 2'!B:B)</f>
        <v>CAM_LV2_20</v>
      </c>
    </row>
    <row r="167" spans="1:7">
      <c r="A167" t="s">
        <v>848</v>
      </c>
      <c r="B167" t="s">
        <v>849</v>
      </c>
      <c r="D167" t="s">
        <v>1020</v>
      </c>
      <c r="F167" t="s">
        <v>1058</v>
      </c>
      <c r="G167" t="str">
        <f>+_xlfn.XLOOKUP(D167,'AREA Level 2'!C:C,'AREA Level 2'!B:B)</f>
        <v>CAM_LV2_22</v>
      </c>
    </row>
    <row r="168" spans="1:7">
      <c r="A168" t="s">
        <v>848</v>
      </c>
      <c r="B168" t="s">
        <v>849</v>
      </c>
      <c r="D168" t="s">
        <v>1020</v>
      </c>
      <c r="F168" t="s">
        <v>1059</v>
      </c>
      <c r="G168" t="str">
        <f>+_xlfn.XLOOKUP(D168,'AREA Level 2'!C:C,'AREA Level 2'!B:B)</f>
        <v>CAM_LV2_22</v>
      </c>
    </row>
    <row r="169" spans="1:7">
      <c r="A169" t="s">
        <v>848</v>
      </c>
      <c r="B169" t="s">
        <v>849</v>
      </c>
      <c r="D169" t="s">
        <v>1022</v>
      </c>
      <c r="F169" t="s">
        <v>1060</v>
      </c>
      <c r="G169" t="str">
        <f>+_xlfn.XLOOKUP(D169,'AREA Level 2'!C:C,'AREA Level 2'!B:B)</f>
        <v>CAM_LV2_23</v>
      </c>
    </row>
    <row r="170" spans="1:7">
      <c r="A170" t="s">
        <v>848</v>
      </c>
      <c r="B170" t="s">
        <v>849</v>
      </c>
      <c r="D170" t="s">
        <v>1026</v>
      </c>
      <c r="F170" t="s">
        <v>1061</v>
      </c>
      <c r="G170" t="str">
        <f>+_xlfn.XLOOKUP(D170,'AREA Level 2'!C:C,'AREA Level 2'!B:B)</f>
        <v>CAM_LV2_24</v>
      </c>
    </row>
    <row r="171" spans="1:7">
      <c r="A171" t="s">
        <v>848</v>
      </c>
      <c r="B171" t="s">
        <v>849</v>
      </c>
      <c r="D171" t="s">
        <v>1042</v>
      </c>
      <c r="F171" t="s">
        <v>1062</v>
      </c>
      <c r="G171" t="str">
        <f>+_xlfn.XLOOKUP(D171,'AREA Level 2'!C:C,'AREA Level 2'!B:B)</f>
        <v>CAM_LV2_25</v>
      </c>
    </row>
    <row r="172" spans="1:7">
      <c r="A172" t="s">
        <v>848</v>
      </c>
      <c r="B172" t="s">
        <v>849</v>
      </c>
      <c r="D172" t="s">
        <v>1018</v>
      </c>
      <c r="F172" t="s">
        <v>1063</v>
      </c>
      <c r="G172" t="str">
        <f>+_xlfn.XLOOKUP(D172,'AREA Level 2'!C:C,'AREA Level 2'!B:B)</f>
        <v>CAM_LV2_21</v>
      </c>
    </row>
    <row r="173" spans="1:7">
      <c r="A173" t="s">
        <v>848</v>
      </c>
      <c r="B173" t="s">
        <v>849</v>
      </c>
      <c r="D173" t="s">
        <v>1026</v>
      </c>
      <c r="F173" t="s">
        <v>1064</v>
      </c>
      <c r="G173" t="str">
        <f>+_xlfn.XLOOKUP(D173,'AREA Level 2'!C:C,'AREA Level 2'!B:B)</f>
        <v>CAM_LV2_24</v>
      </c>
    </row>
    <row r="174" spans="1:7">
      <c r="A174" t="s">
        <v>848</v>
      </c>
      <c r="B174" t="s">
        <v>849</v>
      </c>
      <c r="D174" t="s">
        <v>1026</v>
      </c>
      <c r="F174" t="s">
        <v>1065</v>
      </c>
      <c r="G174" t="str">
        <f>+_xlfn.XLOOKUP(D174,'AREA Level 2'!C:C,'AREA Level 2'!B:B)</f>
        <v>CAM_LV2_24</v>
      </c>
    </row>
    <row r="175" spans="1:7">
      <c r="A175" t="s">
        <v>848</v>
      </c>
      <c r="B175" t="s">
        <v>849</v>
      </c>
      <c r="D175" t="s">
        <v>1018</v>
      </c>
      <c r="F175" t="s">
        <v>1066</v>
      </c>
      <c r="G175" t="str">
        <f>+_xlfn.XLOOKUP(D175,'AREA Level 2'!C:C,'AREA Level 2'!B:B)</f>
        <v>CAM_LV2_21</v>
      </c>
    </row>
    <row r="176" spans="1:7">
      <c r="A176" t="s">
        <v>850</v>
      </c>
      <c r="B176" t="s">
        <v>851</v>
      </c>
      <c r="D176" t="s">
        <v>1067</v>
      </c>
      <c r="F176" t="s">
        <v>1068</v>
      </c>
      <c r="G176" t="str">
        <f>+_xlfn.XLOOKUP(D176,'AREA Level 2'!C:C,'AREA Level 2'!B:B)</f>
        <v>CAM_LV2_26</v>
      </c>
    </row>
    <row r="177" spans="1:7">
      <c r="A177" t="s">
        <v>850</v>
      </c>
      <c r="B177" t="s">
        <v>851</v>
      </c>
      <c r="D177" t="s">
        <v>1067</v>
      </c>
      <c r="F177" t="s">
        <v>1069</v>
      </c>
      <c r="G177" t="str">
        <f>+_xlfn.XLOOKUP(D177,'AREA Level 2'!C:C,'AREA Level 2'!B:B)</f>
        <v>CAM_LV2_26</v>
      </c>
    </row>
    <row r="178" spans="1:7">
      <c r="A178" t="s">
        <v>850</v>
      </c>
      <c r="B178" t="s">
        <v>851</v>
      </c>
      <c r="D178" t="s">
        <v>1070</v>
      </c>
      <c r="F178" t="s">
        <v>1071</v>
      </c>
      <c r="G178" t="str">
        <f>+_xlfn.XLOOKUP(D178,'AREA Level 2'!C:C,'AREA Level 2'!B:B)</f>
        <v>CAM_LV2_27</v>
      </c>
    </row>
    <row r="179" spans="1:7">
      <c r="A179" t="s">
        <v>850</v>
      </c>
      <c r="B179" t="s">
        <v>851</v>
      </c>
      <c r="D179" t="s">
        <v>1067</v>
      </c>
      <c r="F179" t="s">
        <v>1072</v>
      </c>
      <c r="G179" t="str">
        <f>+_xlfn.XLOOKUP(D179,'AREA Level 2'!C:C,'AREA Level 2'!B:B)</f>
        <v>CAM_LV2_26</v>
      </c>
    </row>
    <row r="180" spans="1:7">
      <c r="A180" t="s">
        <v>850</v>
      </c>
      <c r="B180" t="s">
        <v>851</v>
      </c>
      <c r="D180" t="s">
        <v>1070</v>
      </c>
      <c r="F180" t="s">
        <v>1073</v>
      </c>
      <c r="G180" t="str">
        <f>+_xlfn.XLOOKUP(D180,'AREA Level 2'!C:C,'AREA Level 2'!B:B)</f>
        <v>CAM_LV2_27</v>
      </c>
    </row>
    <row r="181" spans="1:7">
      <c r="A181" t="s">
        <v>850</v>
      </c>
      <c r="B181" t="s">
        <v>851</v>
      </c>
      <c r="D181" t="s">
        <v>1074</v>
      </c>
      <c r="F181" t="s">
        <v>1075</v>
      </c>
      <c r="G181" t="str">
        <f>+_xlfn.XLOOKUP(D181,'AREA Level 2'!C:C,'AREA Level 2'!B:B)</f>
        <v>CAM_LV2_28</v>
      </c>
    </row>
    <row r="182" spans="1:7">
      <c r="A182" t="s">
        <v>850</v>
      </c>
      <c r="B182" t="s">
        <v>851</v>
      </c>
      <c r="D182" t="s">
        <v>1074</v>
      </c>
      <c r="F182" t="s">
        <v>1076</v>
      </c>
      <c r="G182" t="str">
        <f>+_xlfn.XLOOKUP(D182,'AREA Level 2'!C:C,'AREA Level 2'!B:B)</f>
        <v>CAM_LV2_28</v>
      </c>
    </row>
    <row r="183" spans="1:7">
      <c r="A183" t="s">
        <v>850</v>
      </c>
      <c r="B183" t="s">
        <v>851</v>
      </c>
      <c r="D183" t="s">
        <v>1074</v>
      </c>
      <c r="F183" t="s">
        <v>1077</v>
      </c>
      <c r="G183" t="str">
        <f>+_xlfn.XLOOKUP(D183,'AREA Level 2'!C:C,'AREA Level 2'!B:B)</f>
        <v>CAM_LV2_28</v>
      </c>
    </row>
    <row r="184" spans="1:7">
      <c r="A184" t="s">
        <v>850</v>
      </c>
      <c r="B184" t="s">
        <v>851</v>
      </c>
      <c r="D184" t="s">
        <v>1074</v>
      </c>
      <c r="F184" t="s">
        <v>1078</v>
      </c>
      <c r="G184" t="str">
        <f>+_xlfn.XLOOKUP(D184,'AREA Level 2'!C:C,'AREA Level 2'!B:B)</f>
        <v>CAM_LV2_28</v>
      </c>
    </row>
    <row r="185" spans="1:7">
      <c r="A185" t="s">
        <v>850</v>
      </c>
      <c r="B185" t="s">
        <v>851</v>
      </c>
      <c r="D185" t="s">
        <v>1074</v>
      </c>
      <c r="F185" t="s">
        <v>1079</v>
      </c>
      <c r="G185" t="str">
        <f>+_xlfn.XLOOKUP(D185,'AREA Level 2'!C:C,'AREA Level 2'!B:B)</f>
        <v>CAM_LV2_28</v>
      </c>
    </row>
    <row r="186" spans="1:7">
      <c r="A186" t="s">
        <v>850</v>
      </c>
      <c r="B186" t="s">
        <v>851</v>
      </c>
      <c r="D186" t="s">
        <v>1074</v>
      </c>
      <c r="F186" t="s">
        <v>1080</v>
      </c>
      <c r="G186" t="str">
        <f>+_xlfn.XLOOKUP(D186,'AREA Level 2'!C:C,'AREA Level 2'!B:B)</f>
        <v>CAM_LV2_28</v>
      </c>
    </row>
    <row r="187" spans="1:7">
      <c r="A187" t="s">
        <v>850</v>
      </c>
      <c r="B187" t="s">
        <v>851</v>
      </c>
      <c r="D187" t="s">
        <v>1070</v>
      </c>
      <c r="F187" t="s">
        <v>1081</v>
      </c>
      <c r="G187" t="str">
        <f>+_xlfn.XLOOKUP(D187,'AREA Level 2'!C:C,'AREA Level 2'!B:B)</f>
        <v>CAM_LV2_27</v>
      </c>
    </row>
    <row r="188" spans="1:7">
      <c r="A188" t="s">
        <v>850</v>
      </c>
      <c r="B188" t="s">
        <v>851</v>
      </c>
      <c r="D188" t="s">
        <v>1070</v>
      </c>
      <c r="F188" t="s">
        <v>1082</v>
      </c>
      <c r="G188" t="str">
        <f>+_xlfn.XLOOKUP(D188,'AREA Level 2'!C:C,'AREA Level 2'!B:B)</f>
        <v>CAM_LV2_27</v>
      </c>
    </row>
    <row r="189" spans="1:7">
      <c r="A189" t="s">
        <v>850</v>
      </c>
      <c r="B189" t="s">
        <v>851</v>
      </c>
      <c r="D189" t="s">
        <v>1067</v>
      </c>
      <c r="F189" t="s">
        <v>1083</v>
      </c>
      <c r="G189" t="str">
        <f>+_xlfn.XLOOKUP(D189,'AREA Level 2'!C:C,'AREA Level 2'!B:B)</f>
        <v>CAM_LV2_26</v>
      </c>
    </row>
    <row r="190" spans="1:7">
      <c r="A190" t="s">
        <v>850</v>
      </c>
      <c r="B190" t="s">
        <v>851</v>
      </c>
      <c r="D190" t="s">
        <v>1067</v>
      </c>
      <c r="F190" t="s">
        <v>1084</v>
      </c>
      <c r="G190" t="str">
        <f>+_xlfn.XLOOKUP(D190,'AREA Level 2'!C:C,'AREA Level 2'!B:B)</f>
        <v>CAM_LV2_26</v>
      </c>
    </row>
    <row r="191" spans="1:7">
      <c r="A191" t="s">
        <v>850</v>
      </c>
      <c r="B191" t="s">
        <v>851</v>
      </c>
      <c r="D191" t="s">
        <v>1067</v>
      </c>
      <c r="F191" t="s">
        <v>1085</v>
      </c>
      <c r="G191" t="str">
        <f>+_xlfn.XLOOKUP(D191,'AREA Level 2'!C:C,'AREA Level 2'!B:B)</f>
        <v>CAM_LV2_26</v>
      </c>
    </row>
    <row r="192" spans="1:7">
      <c r="A192" t="s">
        <v>850</v>
      </c>
      <c r="B192" t="s">
        <v>851</v>
      </c>
      <c r="D192" t="s">
        <v>1070</v>
      </c>
      <c r="F192" t="s">
        <v>1086</v>
      </c>
      <c r="G192" t="str">
        <f>+_xlfn.XLOOKUP(D192,'AREA Level 2'!C:C,'AREA Level 2'!B:B)</f>
        <v>CAM_LV2_27</v>
      </c>
    </row>
    <row r="193" spans="1:7">
      <c r="A193" t="s">
        <v>850</v>
      </c>
      <c r="B193" t="s">
        <v>851</v>
      </c>
      <c r="D193" t="s">
        <v>1067</v>
      </c>
      <c r="F193" t="s">
        <v>1087</v>
      </c>
      <c r="G193" t="str">
        <f>+_xlfn.XLOOKUP(D193,'AREA Level 2'!C:C,'AREA Level 2'!B:B)</f>
        <v>CAM_LV2_26</v>
      </c>
    </row>
    <row r="194" spans="1:7">
      <c r="A194" t="s">
        <v>850</v>
      </c>
      <c r="B194" t="s">
        <v>851</v>
      </c>
      <c r="D194" t="s">
        <v>1067</v>
      </c>
      <c r="F194" t="s">
        <v>1088</v>
      </c>
      <c r="G194" t="str">
        <f>+_xlfn.XLOOKUP(D194,'AREA Level 2'!C:C,'AREA Level 2'!B:B)</f>
        <v>CAM_LV2_26</v>
      </c>
    </row>
    <row r="195" spans="1:7">
      <c r="A195" t="s">
        <v>850</v>
      </c>
      <c r="B195" t="s">
        <v>851</v>
      </c>
      <c r="D195" t="s">
        <v>1067</v>
      </c>
      <c r="F195" t="s">
        <v>1089</v>
      </c>
      <c r="G195" t="str">
        <f>+_xlfn.XLOOKUP(D195,'AREA Level 2'!C:C,'AREA Level 2'!B:B)</f>
        <v>CAM_LV2_26</v>
      </c>
    </row>
    <row r="196" spans="1:7">
      <c r="A196" t="s">
        <v>850</v>
      </c>
      <c r="B196" t="s">
        <v>851</v>
      </c>
      <c r="D196" t="s">
        <v>1070</v>
      </c>
      <c r="F196" t="s">
        <v>1090</v>
      </c>
      <c r="G196" t="str">
        <f>+_xlfn.XLOOKUP(D196,'AREA Level 2'!C:C,'AREA Level 2'!B:B)</f>
        <v>CAM_LV2_27</v>
      </c>
    </row>
    <row r="197" spans="1:7">
      <c r="A197" t="s">
        <v>850</v>
      </c>
      <c r="B197" t="s">
        <v>851</v>
      </c>
      <c r="D197" t="s">
        <v>1070</v>
      </c>
      <c r="F197" t="s">
        <v>1091</v>
      </c>
      <c r="G197" t="str">
        <f>+_xlfn.XLOOKUP(D197,'AREA Level 2'!C:C,'AREA Level 2'!B:B)</f>
        <v>CAM_LV2_27</v>
      </c>
    </row>
    <row r="198" spans="1:7">
      <c r="A198" t="s">
        <v>850</v>
      </c>
      <c r="B198" t="s">
        <v>851</v>
      </c>
      <c r="D198" t="s">
        <v>1070</v>
      </c>
      <c r="F198" t="s">
        <v>1092</v>
      </c>
      <c r="G198" t="str">
        <f>+_xlfn.XLOOKUP(D198,'AREA Level 2'!C:C,'AREA Level 2'!B:B)</f>
        <v>CAM_LV2_27</v>
      </c>
    </row>
    <row r="199" spans="1:7">
      <c r="A199" t="s">
        <v>850</v>
      </c>
      <c r="B199" t="s">
        <v>851</v>
      </c>
      <c r="D199" t="s">
        <v>1070</v>
      </c>
      <c r="F199" t="s">
        <v>1093</v>
      </c>
      <c r="G199" t="str">
        <f>+_xlfn.XLOOKUP(D199,'AREA Level 2'!C:C,'AREA Level 2'!B:B)</f>
        <v>CAM_LV2_27</v>
      </c>
    </row>
    <row r="200" spans="1:7">
      <c r="A200" t="s">
        <v>850</v>
      </c>
      <c r="B200" t="s">
        <v>851</v>
      </c>
      <c r="D200" t="s">
        <v>1067</v>
      </c>
      <c r="F200" t="s">
        <v>1094</v>
      </c>
      <c r="G200" t="str">
        <f>+_xlfn.XLOOKUP(D200,'AREA Level 2'!C:C,'AREA Level 2'!B:B)</f>
        <v>CAM_LV2_26</v>
      </c>
    </row>
    <row r="201" spans="1:7">
      <c r="A201" t="s">
        <v>850</v>
      </c>
      <c r="B201" t="s">
        <v>851</v>
      </c>
      <c r="D201" t="s">
        <v>1095</v>
      </c>
      <c r="F201" t="s">
        <v>1096</v>
      </c>
      <c r="G201" t="str">
        <f>+_xlfn.XLOOKUP(D201,'AREA Level 2'!C:C,'AREA Level 2'!B:B)</f>
        <v>CAM_LV2_29</v>
      </c>
    </row>
    <row r="202" spans="1:7">
      <c r="A202" t="s">
        <v>850</v>
      </c>
      <c r="B202" t="s">
        <v>851</v>
      </c>
      <c r="D202" t="s">
        <v>1067</v>
      </c>
      <c r="F202" t="s">
        <v>1097</v>
      </c>
      <c r="G202" t="str">
        <f>+_xlfn.XLOOKUP(D202,'AREA Level 2'!C:C,'AREA Level 2'!B:B)</f>
        <v>CAM_LV2_26</v>
      </c>
    </row>
    <row r="203" spans="1:7">
      <c r="A203" t="s">
        <v>850</v>
      </c>
      <c r="B203" t="s">
        <v>851</v>
      </c>
      <c r="D203" t="s">
        <v>1067</v>
      </c>
      <c r="F203" t="s">
        <v>1098</v>
      </c>
      <c r="G203" t="str">
        <f>+_xlfn.XLOOKUP(D203,'AREA Level 2'!C:C,'AREA Level 2'!B:B)</f>
        <v>CAM_LV2_26</v>
      </c>
    </row>
    <row r="204" spans="1:7">
      <c r="A204" t="s">
        <v>850</v>
      </c>
      <c r="B204" t="s">
        <v>851</v>
      </c>
      <c r="D204" t="s">
        <v>1067</v>
      </c>
      <c r="F204" t="s">
        <v>1099</v>
      </c>
      <c r="G204" t="str">
        <f>+_xlfn.XLOOKUP(D204,'AREA Level 2'!C:C,'AREA Level 2'!B:B)</f>
        <v>CAM_LV2_26</v>
      </c>
    </row>
    <row r="205" spans="1:7">
      <c r="A205" t="s">
        <v>850</v>
      </c>
      <c r="B205" t="s">
        <v>851</v>
      </c>
      <c r="D205" t="s">
        <v>1095</v>
      </c>
      <c r="F205" t="s">
        <v>1100</v>
      </c>
      <c r="G205" t="str">
        <f>+_xlfn.XLOOKUP(D205,'AREA Level 2'!C:C,'AREA Level 2'!B:B)</f>
        <v>CAM_LV2_29</v>
      </c>
    </row>
    <row r="206" spans="1:7">
      <c r="A206" t="s">
        <v>850</v>
      </c>
      <c r="B206" t="s">
        <v>851</v>
      </c>
      <c r="D206" t="s">
        <v>1070</v>
      </c>
      <c r="F206" t="s">
        <v>1101</v>
      </c>
      <c r="G206" t="str">
        <f>+_xlfn.XLOOKUP(D206,'AREA Level 2'!C:C,'AREA Level 2'!B:B)</f>
        <v>CAM_LV2_27</v>
      </c>
    </row>
    <row r="207" spans="1:7">
      <c r="A207" t="s">
        <v>850</v>
      </c>
      <c r="B207" t="s">
        <v>851</v>
      </c>
      <c r="D207" t="s">
        <v>1070</v>
      </c>
      <c r="F207" t="s">
        <v>1102</v>
      </c>
      <c r="G207" t="str">
        <f>+_xlfn.XLOOKUP(D207,'AREA Level 2'!C:C,'AREA Level 2'!B:B)</f>
        <v>CAM_LV2_27</v>
      </c>
    </row>
    <row r="208" spans="1:7">
      <c r="A208" t="s">
        <v>850</v>
      </c>
      <c r="B208" t="s">
        <v>851</v>
      </c>
      <c r="D208" t="s">
        <v>1095</v>
      </c>
      <c r="F208" t="s">
        <v>1103</v>
      </c>
      <c r="G208" t="str">
        <f>+_xlfn.XLOOKUP(D208,'AREA Level 2'!C:C,'AREA Level 2'!B:B)</f>
        <v>CAM_LV2_29</v>
      </c>
    </row>
    <row r="209" spans="1:7">
      <c r="A209" t="s">
        <v>850</v>
      </c>
      <c r="B209" t="s">
        <v>851</v>
      </c>
      <c r="D209" t="s">
        <v>1095</v>
      </c>
      <c r="F209" t="s">
        <v>1104</v>
      </c>
      <c r="G209" t="str">
        <f>+_xlfn.XLOOKUP(D209,'AREA Level 2'!C:C,'AREA Level 2'!B:B)</f>
        <v>CAM_LV2_29</v>
      </c>
    </row>
    <row r="210" spans="1:7">
      <c r="A210" t="s">
        <v>852</v>
      </c>
      <c r="B210" t="s">
        <v>853</v>
      </c>
      <c r="D210" t="s">
        <v>1105</v>
      </c>
      <c r="F210" t="s">
        <v>1106</v>
      </c>
      <c r="G210" t="str">
        <f>+_xlfn.XLOOKUP(D210,'AREA Level 2'!C:C,'AREA Level 2'!B:B)</f>
        <v>CAM_LV2_30</v>
      </c>
    </row>
    <row r="211" spans="1:7">
      <c r="A211" t="s">
        <v>852</v>
      </c>
      <c r="B211" t="s">
        <v>853</v>
      </c>
      <c r="D211" t="s">
        <v>1107</v>
      </c>
      <c r="F211" t="s">
        <v>1108</v>
      </c>
      <c r="G211" t="str">
        <f>+_xlfn.XLOOKUP(D211,'AREA Level 2'!C:C,'AREA Level 2'!B:B)</f>
        <v>CAM_LV2_31</v>
      </c>
    </row>
    <row r="212" spans="1:7">
      <c r="A212" t="s">
        <v>852</v>
      </c>
      <c r="B212" t="s">
        <v>853</v>
      </c>
      <c r="D212" t="s">
        <v>1105</v>
      </c>
      <c r="F212" t="s">
        <v>1109</v>
      </c>
      <c r="G212" t="str">
        <f>+_xlfn.XLOOKUP(D212,'AREA Level 2'!C:C,'AREA Level 2'!B:B)</f>
        <v>CAM_LV2_30</v>
      </c>
    </row>
    <row r="213" spans="1:7">
      <c r="A213" t="s">
        <v>852</v>
      </c>
      <c r="B213" t="s">
        <v>853</v>
      </c>
      <c r="D213" t="s">
        <v>1105</v>
      </c>
      <c r="F213" t="s">
        <v>1110</v>
      </c>
      <c r="G213" t="str">
        <f>+_xlfn.XLOOKUP(D213,'AREA Level 2'!C:C,'AREA Level 2'!B:B)</f>
        <v>CAM_LV2_30</v>
      </c>
    </row>
    <row r="214" spans="1:7">
      <c r="A214" t="s">
        <v>852</v>
      </c>
      <c r="B214" t="s">
        <v>853</v>
      </c>
      <c r="D214" t="s">
        <v>1105</v>
      </c>
      <c r="F214" t="s">
        <v>1111</v>
      </c>
      <c r="G214" t="str">
        <f>+_xlfn.XLOOKUP(D214,'AREA Level 2'!C:C,'AREA Level 2'!B:B)</f>
        <v>CAM_LV2_30</v>
      </c>
    </row>
    <row r="215" spans="1:7">
      <c r="A215" t="s">
        <v>852</v>
      </c>
      <c r="B215" t="s">
        <v>853</v>
      </c>
      <c r="D215" t="s">
        <v>1112</v>
      </c>
      <c r="F215" t="s">
        <v>1113</v>
      </c>
      <c r="G215" t="str">
        <f>+_xlfn.XLOOKUP(D215,'AREA Level 2'!C:C,'AREA Level 2'!B:B)</f>
        <v>CAM_LV2_32</v>
      </c>
    </row>
    <row r="216" spans="1:7">
      <c r="A216" t="s">
        <v>852</v>
      </c>
      <c r="B216" t="s">
        <v>853</v>
      </c>
      <c r="D216" t="s">
        <v>1105</v>
      </c>
      <c r="F216" t="s">
        <v>1114</v>
      </c>
      <c r="G216" t="str">
        <f>+_xlfn.XLOOKUP(D216,'AREA Level 2'!C:C,'AREA Level 2'!B:B)</f>
        <v>CAM_LV2_30</v>
      </c>
    </row>
    <row r="217" spans="1:7">
      <c r="A217" t="s">
        <v>852</v>
      </c>
      <c r="B217" t="s">
        <v>853</v>
      </c>
      <c r="D217" t="s">
        <v>1105</v>
      </c>
      <c r="F217" t="s">
        <v>1115</v>
      </c>
      <c r="G217" t="str">
        <f>+_xlfn.XLOOKUP(D217,'AREA Level 2'!C:C,'AREA Level 2'!B:B)</f>
        <v>CAM_LV2_30</v>
      </c>
    </row>
    <row r="218" spans="1:7">
      <c r="A218" t="s">
        <v>852</v>
      </c>
      <c r="B218" t="s">
        <v>853</v>
      </c>
      <c r="D218" t="s">
        <v>1105</v>
      </c>
      <c r="F218" t="s">
        <v>1116</v>
      </c>
      <c r="G218" t="str">
        <f>+_xlfn.XLOOKUP(D218,'AREA Level 2'!C:C,'AREA Level 2'!B:B)</f>
        <v>CAM_LV2_30</v>
      </c>
    </row>
    <row r="219" spans="1:7">
      <c r="A219" t="s">
        <v>852</v>
      </c>
      <c r="B219" t="s">
        <v>853</v>
      </c>
      <c r="D219" t="s">
        <v>1112</v>
      </c>
      <c r="F219" t="s">
        <v>1117</v>
      </c>
      <c r="G219" t="str">
        <f>+_xlfn.XLOOKUP(D219,'AREA Level 2'!C:C,'AREA Level 2'!B:B)</f>
        <v>CAM_LV2_32</v>
      </c>
    </row>
    <row r="220" spans="1:7">
      <c r="A220" t="s">
        <v>852</v>
      </c>
      <c r="B220" t="s">
        <v>853</v>
      </c>
      <c r="D220" t="s">
        <v>1105</v>
      </c>
      <c r="F220" t="s">
        <v>1118</v>
      </c>
      <c r="G220" t="str">
        <f>+_xlfn.XLOOKUP(D220,'AREA Level 2'!C:C,'AREA Level 2'!B:B)</f>
        <v>CAM_LV2_30</v>
      </c>
    </row>
    <row r="221" spans="1:7">
      <c r="A221" t="s">
        <v>852</v>
      </c>
      <c r="B221" t="s">
        <v>853</v>
      </c>
      <c r="D221" t="s">
        <v>1119</v>
      </c>
      <c r="F221" t="s">
        <v>1120</v>
      </c>
      <c r="G221" t="str">
        <f>+_xlfn.XLOOKUP(D221,'AREA Level 2'!C:C,'AREA Level 2'!B:B)</f>
        <v>CAM_LV2_33</v>
      </c>
    </row>
    <row r="222" spans="1:7">
      <c r="A222" t="s">
        <v>852</v>
      </c>
      <c r="B222" t="s">
        <v>853</v>
      </c>
      <c r="D222" t="s">
        <v>1105</v>
      </c>
      <c r="F222" t="s">
        <v>1121</v>
      </c>
      <c r="G222" t="str">
        <f>+_xlfn.XLOOKUP(D222,'AREA Level 2'!C:C,'AREA Level 2'!B:B)</f>
        <v>CAM_LV2_30</v>
      </c>
    </row>
    <row r="223" spans="1:7">
      <c r="A223" t="s">
        <v>852</v>
      </c>
      <c r="B223" t="s">
        <v>853</v>
      </c>
      <c r="D223" t="s">
        <v>1112</v>
      </c>
      <c r="F223" t="s">
        <v>1122</v>
      </c>
      <c r="G223" t="str">
        <f>+_xlfn.XLOOKUP(D223,'AREA Level 2'!C:C,'AREA Level 2'!B:B)</f>
        <v>CAM_LV2_32</v>
      </c>
    </row>
    <row r="224" spans="1:7">
      <c r="A224" t="s">
        <v>852</v>
      </c>
      <c r="B224" t="s">
        <v>853</v>
      </c>
      <c r="D224" t="s">
        <v>1105</v>
      </c>
      <c r="F224" t="s">
        <v>1123</v>
      </c>
      <c r="G224" t="str">
        <f>+_xlfn.XLOOKUP(D224,'AREA Level 2'!C:C,'AREA Level 2'!B:B)</f>
        <v>CAM_LV2_30</v>
      </c>
    </row>
    <row r="225" spans="1:7">
      <c r="A225" t="s">
        <v>852</v>
      </c>
      <c r="B225" t="s">
        <v>853</v>
      </c>
      <c r="D225" t="s">
        <v>1107</v>
      </c>
      <c r="F225" t="s">
        <v>1124</v>
      </c>
      <c r="G225" t="str">
        <f>+_xlfn.XLOOKUP(D225,'AREA Level 2'!C:C,'AREA Level 2'!B:B)</f>
        <v>CAM_LV2_31</v>
      </c>
    </row>
    <row r="226" spans="1:7">
      <c r="A226" t="s">
        <v>852</v>
      </c>
      <c r="B226" t="s">
        <v>853</v>
      </c>
      <c r="D226" t="s">
        <v>1119</v>
      </c>
      <c r="F226" t="s">
        <v>1125</v>
      </c>
      <c r="G226" t="str">
        <f>+_xlfn.XLOOKUP(D226,'AREA Level 2'!C:C,'AREA Level 2'!B:B)</f>
        <v>CAM_LV2_33</v>
      </c>
    </row>
    <row r="227" spans="1:7">
      <c r="A227" t="s">
        <v>852</v>
      </c>
      <c r="B227" t="s">
        <v>853</v>
      </c>
      <c r="D227" t="s">
        <v>1105</v>
      </c>
      <c r="F227" t="s">
        <v>1126</v>
      </c>
      <c r="G227" t="str">
        <f>+_xlfn.XLOOKUP(D227,'AREA Level 2'!C:C,'AREA Level 2'!B:B)</f>
        <v>CAM_LV2_30</v>
      </c>
    </row>
    <row r="228" spans="1:7">
      <c r="A228" t="s">
        <v>852</v>
      </c>
      <c r="B228" t="s">
        <v>853</v>
      </c>
      <c r="D228" t="s">
        <v>1119</v>
      </c>
      <c r="F228" t="s">
        <v>1127</v>
      </c>
      <c r="G228" t="str">
        <f>+_xlfn.XLOOKUP(D228,'AREA Level 2'!C:C,'AREA Level 2'!B:B)</f>
        <v>CAM_LV2_33</v>
      </c>
    </row>
    <row r="229" spans="1:7">
      <c r="A229" t="s">
        <v>852</v>
      </c>
      <c r="B229" t="s">
        <v>853</v>
      </c>
      <c r="D229" t="s">
        <v>1119</v>
      </c>
      <c r="F229" t="s">
        <v>1128</v>
      </c>
      <c r="G229" t="str">
        <f>+_xlfn.XLOOKUP(D229,'AREA Level 2'!C:C,'AREA Level 2'!B:B)</f>
        <v>CAM_LV2_33</v>
      </c>
    </row>
    <row r="230" spans="1:7">
      <c r="A230" t="s">
        <v>852</v>
      </c>
      <c r="B230" t="s">
        <v>853</v>
      </c>
      <c r="D230" t="s">
        <v>1105</v>
      </c>
      <c r="F230" t="s">
        <v>1129</v>
      </c>
      <c r="G230" t="str">
        <f>+_xlfn.XLOOKUP(D230,'AREA Level 2'!C:C,'AREA Level 2'!B:B)</f>
        <v>CAM_LV2_30</v>
      </c>
    </row>
    <row r="231" spans="1:7">
      <c r="A231" t="s">
        <v>854</v>
      </c>
      <c r="B231" t="s">
        <v>855</v>
      </c>
      <c r="D231" t="s">
        <v>1130</v>
      </c>
      <c r="F231" t="s">
        <v>1131</v>
      </c>
      <c r="G231" t="str">
        <f>+_xlfn.XLOOKUP(D231,'AREA Level 2'!C:C,'AREA Level 2'!B:B)</f>
        <v>CAM_LV2_34</v>
      </c>
    </row>
    <row r="232" spans="1:7">
      <c r="A232" t="s">
        <v>854</v>
      </c>
      <c r="B232" t="s">
        <v>855</v>
      </c>
      <c r="D232" t="s">
        <v>1132</v>
      </c>
      <c r="F232" t="s">
        <v>1133</v>
      </c>
      <c r="G232" t="str">
        <f>+_xlfn.XLOOKUP(D232,'AREA Level 2'!C:C,'AREA Level 2'!B:B)</f>
        <v>CAM_LV2_35</v>
      </c>
    </row>
    <row r="233" spans="1:7">
      <c r="A233" t="s">
        <v>854</v>
      </c>
      <c r="B233" t="s">
        <v>855</v>
      </c>
      <c r="D233" t="s">
        <v>1134</v>
      </c>
      <c r="F233" t="s">
        <v>1135</v>
      </c>
      <c r="G233" t="str">
        <f>+_xlfn.XLOOKUP(D233,'AREA Level 2'!C:C,'AREA Level 2'!B:B)</f>
        <v>CAM_LV2_36</v>
      </c>
    </row>
    <row r="234" spans="1:7">
      <c r="A234" t="s">
        <v>854</v>
      </c>
      <c r="B234" t="s">
        <v>855</v>
      </c>
      <c r="D234" t="s">
        <v>1136</v>
      </c>
      <c r="F234" t="s">
        <v>1137</v>
      </c>
      <c r="G234" t="str">
        <f>+_xlfn.XLOOKUP(D234,'AREA Level 2'!C:C,'AREA Level 2'!B:B)</f>
        <v>CAM_LV2_37</v>
      </c>
    </row>
    <row r="235" spans="1:7">
      <c r="A235" t="s">
        <v>854</v>
      </c>
      <c r="B235" t="s">
        <v>855</v>
      </c>
      <c r="D235" t="s">
        <v>1136</v>
      </c>
      <c r="F235" t="s">
        <v>1138</v>
      </c>
      <c r="G235" t="str">
        <f>+_xlfn.XLOOKUP(D235,'AREA Level 2'!C:C,'AREA Level 2'!B:B)</f>
        <v>CAM_LV2_37</v>
      </c>
    </row>
    <row r="236" spans="1:7">
      <c r="A236" t="s">
        <v>854</v>
      </c>
      <c r="B236" t="s">
        <v>855</v>
      </c>
      <c r="D236" t="s">
        <v>1134</v>
      </c>
      <c r="F236" t="s">
        <v>1139</v>
      </c>
      <c r="G236" t="str">
        <f>+_xlfn.XLOOKUP(D236,'AREA Level 2'!C:C,'AREA Level 2'!B:B)</f>
        <v>CAM_LV2_36</v>
      </c>
    </row>
    <row r="237" spans="1:7">
      <c r="A237" t="s">
        <v>854</v>
      </c>
      <c r="B237" t="s">
        <v>855</v>
      </c>
      <c r="D237" t="s">
        <v>1136</v>
      </c>
      <c r="F237" t="s">
        <v>1140</v>
      </c>
      <c r="G237" t="str">
        <f>+_xlfn.XLOOKUP(D237,'AREA Level 2'!C:C,'AREA Level 2'!B:B)</f>
        <v>CAM_LV2_37</v>
      </c>
    </row>
    <row r="238" spans="1:7">
      <c r="A238" t="s">
        <v>854</v>
      </c>
      <c r="B238" t="s">
        <v>855</v>
      </c>
      <c r="D238" t="s">
        <v>1136</v>
      </c>
      <c r="F238" t="s">
        <v>1141</v>
      </c>
      <c r="G238" t="str">
        <f>+_xlfn.XLOOKUP(D238,'AREA Level 2'!C:C,'AREA Level 2'!B:B)</f>
        <v>CAM_LV2_37</v>
      </c>
    </row>
    <row r="239" spans="1:7">
      <c r="A239" t="s">
        <v>854</v>
      </c>
      <c r="B239" t="s">
        <v>855</v>
      </c>
      <c r="D239" t="s">
        <v>1136</v>
      </c>
      <c r="F239" t="s">
        <v>1142</v>
      </c>
      <c r="G239" t="str">
        <f>+_xlfn.XLOOKUP(D239,'AREA Level 2'!C:C,'AREA Level 2'!B:B)</f>
        <v>CAM_LV2_37</v>
      </c>
    </row>
    <row r="240" spans="1:7">
      <c r="A240" t="s">
        <v>854</v>
      </c>
      <c r="B240" t="s">
        <v>855</v>
      </c>
      <c r="D240" t="s">
        <v>1130</v>
      </c>
      <c r="F240" t="s">
        <v>1143</v>
      </c>
      <c r="G240" t="str">
        <f>+_xlfn.XLOOKUP(D240,'AREA Level 2'!C:C,'AREA Level 2'!B:B)</f>
        <v>CAM_LV2_34</v>
      </c>
    </row>
    <row r="241" spans="1:7">
      <c r="A241" t="s">
        <v>854</v>
      </c>
      <c r="B241" t="s">
        <v>855</v>
      </c>
      <c r="D241" t="s">
        <v>1130</v>
      </c>
      <c r="F241" t="s">
        <v>1144</v>
      </c>
      <c r="G241" t="str">
        <f>+_xlfn.XLOOKUP(D241,'AREA Level 2'!C:C,'AREA Level 2'!B:B)</f>
        <v>CAM_LV2_34</v>
      </c>
    </row>
    <row r="242" spans="1:7">
      <c r="A242" t="s">
        <v>854</v>
      </c>
      <c r="B242" t="s">
        <v>855</v>
      </c>
      <c r="D242" t="s">
        <v>1145</v>
      </c>
      <c r="F242" t="s">
        <v>1146</v>
      </c>
      <c r="G242" t="str">
        <f>+_xlfn.XLOOKUP(D242,'AREA Level 2'!C:C,'AREA Level 2'!B:B)</f>
        <v>CAM_LV2_38</v>
      </c>
    </row>
    <row r="243" spans="1:7">
      <c r="A243" t="s">
        <v>854</v>
      </c>
      <c r="B243" t="s">
        <v>855</v>
      </c>
      <c r="D243" t="s">
        <v>1145</v>
      </c>
      <c r="F243" t="s">
        <v>1147</v>
      </c>
      <c r="G243" t="str">
        <f>+_xlfn.XLOOKUP(D243,'AREA Level 2'!C:C,'AREA Level 2'!B:B)</f>
        <v>CAM_LV2_38</v>
      </c>
    </row>
    <row r="244" spans="1:7">
      <c r="A244" t="s">
        <v>854</v>
      </c>
      <c r="B244" t="s">
        <v>855</v>
      </c>
      <c r="D244" t="s">
        <v>1145</v>
      </c>
      <c r="F244" t="s">
        <v>1148</v>
      </c>
      <c r="G244" t="str">
        <f>+_xlfn.XLOOKUP(D244,'AREA Level 2'!C:C,'AREA Level 2'!B:B)</f>
        <v>CAM_LV2_38</v>
      </c>
    </row>
    <row r="245" spans="1:7">
      <c r="A245" t="s">
        <v>854</v>
      </c>
      <c r="B245" t="s">
        <v>855</v>
      </c>
      <c r="D245" t="s">
        <v>1149</v>
      </c>
      <c r="F245" t="s">
        <v>1150</v>
      </c>
      <c r="G245" t="str">
        <f>+_xlfn.XLOOKUP(D245,'AREA Level 2'!C:C,'AREA Level 2'!B:B)</f>
        <v>CAM_LV2_39</v>
      </c>
    </row>
    <row r="246" spans="1:7">
      <c r="A246" t="s">
        <v>854</v>
      </c>
      <c r="B246" t="s">
        <v>855</v>
      </c>
      <c r="D246" t="s">
        <v>1149</v>
      </c>
      <c r="F246" t="s">
        <v>1151</v>
      </c>
      <c r="G246" t="str">
        <f>+_xlfn.XLOOKUP(D246,'AREA Level 2'!C:C,'AREA Level 2'!B:B)</f>
        <v>CAM_LV2_39</v>
      </c>
    </row>
    <row r="247" spans="1:7">
      <c r="A247" t="s">
        <v>854</v>
      </c>
      <c r="B247" t="s">
        <v>855</v>
      </c>
      <c r="D247" t="s">
        <v>1152</v>
      </c>
      <c r="F247" t="s">
        <v>1153</v>
      </c>
      <c r="G247" t="str">
        <f>+_xlfn.XLOOKUP(D247,'AREA Level 2'!C:C,'AREA Level 2'!B:B)</f>
        <v>CAM_LV2_40</v>
      </c>
    </row>
    <row r="248" spans="1:7">
      <c r="A248" t="s">
        <v>854</v>
      </c>
      <c r="B248" t="s">
        <v>855</v>
      </c>
      <c r="D248" t="s">
        <v>1152</v>
      </c>
      <c r="F248" t="s">
        <v>1154</v>
      </c>
      <c r="G248" t="str">
        <f>+_xlfn.XLOOKUP(D248,'AREA Level 2'!C:C,'AREA Level 2'!B:B)</f>
        <v>CAM_LV2_40</v>
      </c>
    </row>
    <row r="249" spans="1:7">
      <c r="A249" t="s">
        <v>854</v>
      </c>
      <c r="B249" t="s">
        <v>855</v>
      </c>
      <c r="D249" t="s">
        <v>1130</v>
      </c>
      <c r="F249" t="s">
        <v>1155</v>
      </c>
      <c r="G249" t="str">
        <f>+_xlfn.XLOOKUP(D249,'AREA Level 2'!C:C,'AREA Level 2'!B:B)</f>
        <v>CAM_LV2_34</v>
      </c>
    </row>
    <row r="250" spans="1:7">
      <c r="A250" t="s">
        <v>854</v>
      </c>
      <c r="B250" t="s">
        <v>855</v>
      </c>
      <c r="D250" t="s">
        <v>1152</v>
      </c>
      <c r="F250" t="s">
        <v>1156</v>
      </c>
      <c r="G250" t="str">
        <f>+_xlfn.XLOOKUP(D250,'AREA Level 2'!C:C,'AREA Level 2'!B:B)</f>
        <v>CAM_LV2_40</v>
      </c>
    </row>
    <row r="251" spans="1:7">
      <c r="A251" t="s">
        <v>854</v>
      </c>
      <c r="B251" t="s">
        <v>855</v>
      </c>
      <c r="D251" t="s">
        <v>1149</v>
      </c>
      <c r="F251" t="s">
        <v>1157</v>
      </c>
      <c r="G251" t="str">
        <f>+_xlfn.XLOOKUP(D251,'AREA Level 2'!C:C,'AREA Level 2'!B:B)</f>
        <v>CAM_LV2_39</v>
      </c>
    </row>
    <row r="252" spans="1:7">
      <c r="A252" t="s">
        <v>854</v>
      </c>
      <c r="B252" t="s">
        <v>855</v>
      </c>
      <c r="D252" t="s">
        <v>1132</v>
      </c>
      <c r="F252" t="s">
        <v>1158</v>
      </c>
      <c r="G252" t="str">
        <f>+_xlfn.XLOOKUP(D252,'AREA Level 2'!C:C,'AREA Level 2'!B:B)</f>
        <v>CAM_LV2_35</v>
      </c>
    </row>
    <row r="253" spans="1:7">
      <c r="A253" t="s">
        <v>854</v>
      </c>
      <c r="B253" t="s">
        <v>855</v>
      </c>
      <c r="D253" t="s">
        <v>1134</v>
      </c>
      <c r="F253" t="s">
        <v>1159</v>
      </c>
      <c r="G253" t="str">
        <f>+_xlfn.XLOOKUP(D253,'AREA Level 2'!C:C,'AREA Level 2'!B:B)</f>
        <v>CAM_LV2_36</v>
      </c>
    </row>
    <row r="254" spans="1:7">
      <c r="A254" t="s">
        <v>854</v>
      </c>
      <c r="B254" t="s">
        <v>855</v>
      </c>
      <c r="D254" t="s">
        <v>1132</v>
      </c>
      <c r="F254" t="s">
        <v>1160</v>
      </c>
      <c r="G254" t="str">
        <f>+_xlfn.XLOOKUP(D254,'AREA Level 2'!C:C,'AREA Level 2'!B:B)</f>
        <v>CAM_LV2_35</v>
      </c>
    </row>
    <row r="255" spans="1:7">
      <c r="A255" t="s">
        <v>854</v>
      </c>
      <c r="B255" t="s">
        <v>855</v>
      </c>
      <c r="D255" t="s">
        <v>1130</v>
      </c>
      <c r="F255" t="s">
        <v>1161</v>
      </c>
      <c r="G255" t="str">
        <f>+_xlfn.XLOOKUP(D255,'AREA Level 2'!C:C,'AREA Level 2'!B:B)</f>
        <v>CAM_LV2_34</v>
      </c>
    </row>
    <row r="256" spans="1:7">
      <c r="A256" t="s">
        <v>854</v>
      </c>
      <c r="B256" t="s">
        <v>855</v>
      </c>
      <c r="D256" t="s">
        <v>1145</v>
      </c>
      <c r="F256" t="s">
        <v>1162</v>
      </c>
      <c r="G256" t="str">
        <f>+_xlfn.XLOOKUP(D256,'AREA Level 2'!C:C,'AREA Level 2'!B:B)</f>
        <v>CAM_LV2_38</v>
      </c>
    </row>
    <row r="257" spans="1:7">
      <c r="A257" t="s">
        <v>854</v>
      </c>
      <c r="B257" t="s">
        <v>855</v>
      </c>
      <c r="D257" t="s">
        <v>1132</v>
      </c>
      <c r="F257" t="s">
        <v>1163</v>
      </c>
      <c r="G257" t="str">
        <f>+_xlfn.XLOOKUP(D257,'AREA Level 2'!C:C,'AREA Level 2'!B:B)</f>
        <v>CAM_LV2_35</v>
      </c>
    </row>
    <row r="258" spans="1:7">
      <c r="A258" t="s">
        <v>854</v>
      </c>
      <c r="B258" t="s">
        <v>855</v>
      </c>
      <c r="D258" t="s">
        <v>1152</v>
      </c>
      <c r="F258" t="s">
        <v>1164</v>
      </c>
      <c r="G258" t="str">
        <f>+_xlfn.XLOOKUP(D258,'AREA Level 2'!C:C,'AREA Level 2'!B:B)</f>
        <v>CAM_LV2_40</v>
      </c>
    </row>
    <row r="259" spans="1:7">
      <c r="A259" t="s">
        <v>854</v>
      </c>
      <c r="B259" t="s">
        <v>855</v>
      </c>
      <c r="D259" t="s">
        <v>1152</v>
      </c>
      <c r="F259" t="s">
        <v>1165</v>
      </c>
      <c r="G259" t="str">
        <f>+_xlfn.XLOOKUP(D259,'AREA Level 2'!C:C,'AREA Level 2'!B:B)</f>
        <v>CAM_LV2_40</v>
      </c>
    </row>
    <row r="260" spans="1:7">
      <c r="A260" t="s">
        <v>854</v>
      </c>
      <c r="B260" t="s">
        <v>855</v>
      </c>
      <c r="D260" t="s">
        <v>1132</v>
      </c>
      <c r="F260" t="s">
        <v>1166</v>
      </c>
      <c r="G260" t="str">
        <f>+_xlfn.XLOOKUP(D260,'AREA Level 2'!C:C,'AREA Level 2'!B:B)</f>
        <v>CAM_LV2_35</v>
      </c>
    </row>
    <row r="261" spans="1:7">
      <c r="A261" t="s">
        <v>854</v>
      </c>
      <c r="B261" t="s">
        <v>855</v>
      </c>
      <c r="D261" t="s">
        <v>1152</v>
      </c>
      <c r="F261" t="s">
        <v>1167</v>
      </c>
      <c r="G261" t="str">
        <f>+_xlfn.XLOOKUP(D261,'AREA Level 2'!C:C,'AREA Level 2'!B:B)</f>
        <v>CAM_LV2_40</v>
      </c>
    </row>
    <row r="262" spans="1:7">
      <c r="A262" t="s">
        <v>854</v>
      </c>
      <c r="B262" t="s">
        <v>855</v>
      </c>
      <c r="D262" t="s">
        <v>1136</v>
      </c>
      <c r="F262" t="s">
        <v>1168</v>
      </c>
      <c r="G262" t="str">
        <f>+_xlfn.XLOOKUP(D262,'AREA Level 2'!C:C,'AREA Level 2'!B:B)</f>
        <v>CAM_LV2_37</v>
      </c>
    </row>
    <row r="263" spans="1:7">
      <c r="A263" t="s">
        <v>854</v>
      </c>
      <c r="B263" t="s">
        <v>855</v>
      </c>
      <c r="D263" t="s">
        <v>1136</v>
      </c>
      <c r="F263" t="s">
        <v>1169</v>
      </c>
      <c r="G263" t="str">
        <f>+_xlfn.XLOOKUP(D263,'AREA Level 2'!C:C,'AREA Level 2'!B:B)</f>
        <v>CAM_LV2_37</v>
      </c>
    </row>
    <row r="264" spans="1:7">
      <c r="A264" t="s">
        <v>854</v>
      </c>
      <c r="B264" t="s">
        <v>855</v>
      </c>
      <c r="D264" t="s">
        <v>1130</v>
      </c>
      <c r="F264" t="s">
        <v>1170</v>
      </c>
      <c r="G264" t="str">
        <f>+_xlfn.XLOOKUP(D264,'AREA Level 2'!C:C,'AREA Level 2'!B:B)</f>
        <v>CAM_LV2_34</v>
      </c>
    </row>
    <row r="265" spans="1:7">
      <c r="A265" t="s">
        <v>854</v>
      </c>
      <c r="B265" t="s">
        <v>855</v>
      </c>
      <c r="D265" t="s">
        <v>1149</v>
      </c>
      <c r="F265" t="s">
        <v>1171</v>
      </c>
      <c r="G265" t="str">
        <f>+_xlfn.XLOOKUP(D265,'AREA Level 2'!C:C,'AREA Level 2'!B:B)</f>
        <v>CAM_LV2_39</v>
      </c>
    </row>
    <row r="266" spans="1:7">
      <c r="A266" t="s">
        <v>856</v>
      </c>
      <c r="B266" t="s">
        <v>857</v>
      </c>
      <c r="D266" t="s">
        <v>1172</v>
      </c>
      <c r="F266" t="s">
        <v>1173</v>
      </c>
      <c r="G266" t="str">
        <f>+_xlfn.XLOOKUP(D266,'AREA Level 2'!C:C,'AREA Level 2'!B:B)</f>
        <v>CAM_LV2_41</v>
      </c>
    </row>
    <row r="267" spans="1:7">
      <c r="A267" t="s">
        <v>856</v>
      </c>
      <c r="B267" t="s">
        <v>857</v>
      </c>
      <c r="D267" t="s">
        <v>1174</v>
      </c>
      <c r="F267" t="s">
        <v>1175</v>
      </c>
      <c r="G267" t="str">
        <f>+_xlfn.XLOOKUP(D267,'AREA Level 2'!C:C,'AREA Level 2'!B:B)</f>
        <v>CAM_LV2_42</v>
      </c>
    </row>
    <row r="268" spans="1:7">
      <c r="A268" t="s">
        <v>856</v>
      </c>
      <c r="B268" t="s">
        <v>857</v>
      </c>
      <c r="D268" t="s">
        <v>1176</v>
      </c>
      <c r="F268" t="s">
        <v>1177</v>
      </c>
      <c r="G268" t="str">
        <f>+_xlfn.XLOOKUP(D268,'AREA Level 2'!C:C,'AREA Level 2'!B:B)</f>
        <v>CAM_LV2_43</v>
      </c>
    </row>
    <row r="269" spans="1:7">
      <c r="A269" t="s">
        <v>856</v>
      </c>
      <c r="B269" t="s">
        <v>857</v>
      </c>
      <c r="D269" t="s">
        <v>1176</v>
      </c>
      <c r="F269" t="s">
        <v>1178</v>
      </c>
      <c r="G269" t="str">
        <f>+_xlfn.XLOOKUP(D269,'AREA Level 2'!C:C,'AREA Level 2'!B:B)</f>
        <v>CAM_LV2_43</v>
      </c>
    </row>
    <row r="270" spans="1:7">
      <c r="A270" t="s">
        <v>856</v>
      </c>
      <c r="B270" t="s">
        <v>857</v>
      </c>
      <c r="D270" t="s">
        <v>1176</v>
      </c>
      <c r="F270" t="s">
        <v>1179</v>
      </c>
      <c r="G270" t="str">
        <f>+_xlfn.XLOOKUP(D270,'AREA Level 2'!C:C,'AREA Level 2'!B:B)</f>
        <v>CAM_LV2_43</v>
      </c>
    </row>
    <row r="271" spans="1:7">
      <c r="A271" t="s">
        <v>856</v>
      </c>
      <c r="B271" t="s">
        <v>857</v>
      </c>
      <c r="D271" t="s">
        <v>1180</v>
      </c>
      <c r="F271" t="s">
        <v>1181</v>
      </c>
      <c r="G271" t="str">
        <f>+_xlfn.XLOOKUP(D271,'AREA Level 2'!C:C,'AREA Level 2'!B:B)</f>
        <v>CAM_LV2_44</v>
      </c>
    </row>
    <row r="272" spans="1:7">
      <c r="A272" t="s">
        <v>856</v>
      </c>
      <c r="B272" t="s">
        <v>857</v>
      </c>
      <c r="D272" t="s">
        <v>1174</v>
      </c>
      <c r="F272" t="s">
        <v>1182</v>
      </c>
      <c r="G272" t="str">
        <f>+_xlfn.XLOOKUP(D272,'AREA Level 2'!C:C,'AREA Level 2'!B:B)</f>
        <v>CAM_LV2_42</v>
      </c>
    </row>
    <row r="273" spans="1:7">
      <c r="A273" t="s">
        <v>856</v>
      </c>
      <c r="B273" t="s">
        <v>857</v>
      </c>
      <c r="D273" t="s">
        <v>1180</v>
      </c>
      <c r="F273" t="s">
        <v>1183</v>
      </c>
      <c r="G273" t="str">
        <f>+_xlfn.XLOOKUP(D273,'AREA Level 2'!C:C,'AREA Level 2'!B:B)</f>
        <v>CAM_LV2_44</v>
      </c>
    </row>
    <row r="274" spans="1:7">
      <c r="A274" t="s">
        <v>856</v>
      </c>
      <c r="B274" t="s">
        <v>857</v>
      </c>
      <c r="D274" t="s">
        <v>1174</v>
      </c>
      <c r="F274" t="s">
        <v>1184</v>
      </c>
      <c r="G274" t="str">
        <f>+_xlfn.XLOOKUP(D274,'AREA Level 2'!C:C,'AREA Level 2'!B:B)</f>
        <v>CAM_LV2_42</v>
      </c>
    </row>
    <row r="275" spans="1:7">
      <c r="A275" t="s">
        <v>856</v>
      </c>
      <c r="B275" t="s">
        <v>857</v>
      </c>
      <c r="D275" t="s">
        <v>1174</v>
      </c>
      <c r="F275" t="s">
        <v>1185</v>
      </c>
      <c r="G275" t="str">
        <f>+_xlfn.XLOOKUP(D275,'AREA Level 2'!C:C,'AREA Level 2'!B:B)</f>
        <v>CAM_LV2_42</v>
      </c>
    </row>
    <row r="276" spans="1:7">
      <c r="A276" t="s">
        <v>856</v>
      </c>
      <c r="B276" t="s">
        <v>857</v>
      </c>
      <c r="D276" t="s">
        <v>1186</v>
      </c>
      <c r="F276" t="s">
        <v>1187</v>
      </c>
      <c r="G276" t="str">
        <f>+_xlfn.XLOOKUP(D276,'AREA Level 2'!C:C,'AREA Level 2'!B:B)</f>
        <v>CAM_LV2_45</v>
      </c>
    </row>
    <row r="277" spans="1:7">
      <c r="A277" t="s">
        <v>856</v>
      </c>
      <c r="B277" t="s">
        <v>857</v>
      </c>
      <c r="D277" t="s">
        <v>1180</v>
      </c>
      <c r="F277" t="s">
        <v>1188</v>
      </c>
      <c r="G277" t="str">
        <f>+_xlfn.XLOOKUP(D277,'AREA Level 2'!C:C,'AREA Level 2'!B:B)</f>
        <v>CAM_LV2_44</v>
      </c>
    </row>
    <row r="278" spans="1:7">
      <c r="A278" t="s">
        <v>856</v>
      </c>
      <c r="B278" t="s">
        <v>857</v>
      </c>
      <c r="D278" t="s">
        <v>1189</v>
      </c>
      <c r="F278" t="s">
        <v>1190</v>
      </c>
      <c r="G278" t="str">
        <f>+_xlfn.XLOOKUP(D278,'AREA Level 2'!C:C,'AREA Level 2'!B:B)</f>
        <v>CAM_LV2_46</v>
      </c>
    </row>
    <row r="279" spans="1:7">
      <c r="A279" t="s">
        <v>856</v>
      </c>
      <c r="B279" t="s">
        <v>857</v>
      </c>
      <c r="D279" t="s">
        <v>1174</v>
      </c>
      <c r="F279" t="s">
        <v>1191</v>
      </c>
      <c r="G279" t="str">
        <f>+_xlfn.XLOOKUP(D279,'AREA Level 2'!C:C,'AREA Level 2'!B:B)</f>
        <v>CAM_LV2_42</v>
      </c>
    </row>
    <row r="280" spans="1:7">
      <c r="A280" t="s">
        <v>856</v>
      </c>
      <c r="B280" t="s">
        <v>857</v>
      </c>
      <c r="D280" t="s">
        <v>1174</v>
      </c>
      <c r="F280" t="s">
        <v>1192</v>
      </c>
      <c r="G280" t="str">
        <f>+_xlfn.XLOOKUP(D280,'AREA Level 2'!C:C,'AREA Level 2'!B:B)</f>
        <v>CAM_LV2_42</v>
      </c>
    </row>
    <row r="281" spans="1:7">
      <c r="A281" t="s">
        <v>856</v>
      </c>
      <c r="B281" t="s">
        <v>857</v>
      </c>
      <c r="D281" t="s">
        <v>1186</v>
      </c>
      <c r="F281" t="s">
        <v>1193</v>
      </c>
      <c r="G281" t="str">
        <f>+_xlfn.XLOOKUP(D281,'AREA Level 2'!C:C,'AREA Level 2'!B:B)</f>
        <v>CAM_LV2_45</v>
      </c>
    </row>
    <row r="282" spans="1:7">
      <c r="A282" t="s">
        <v>856</v>
      </c>
      <c r="B282" t="s">
        <v>857</v>
      </c>
      <c r="D282" t="s">
        <v>1172</v>
      </c>
      <c r="F282" t="s">
        <v>1194</v>
      </c>
      <c r="G282" t="str">
        <f>+_xlfn.XLOOKUP(D282,'AREA Level 2'!C:C,'AREA Level 2'!B:B)</f>
        <v>CAM_LV2_41</v>
      </c>
    </row>
    <row r="283" spans="1:7">
      <c r="A283" t="s">
        <v>856</v>
      </c>
      <c r="B283" t="s">
        <v>857</v>
      </c>
      <c r="D283" t="s">
        <v>1180</v>
      </c>
      <c r="F283" t="s">
        <v>1195</v>
      </c>
      <c r="G283" t="str">
        <f>+_xlfn.XLOOKUP(D283,'AREA Level 2'!C:C,'AREA Level 2'!B:B)</f>
        <v>CAM_LV2_44</v>
      </c>
    </row>
    <row r="284" spans="1:7">
      <c r="A284" t="s">
        <v>856</v>
      </c>
      <c r="B284" t="s">
        <v>857</v>
      </c>
      <c r="D284" t="s">
        <v>1196</v>
      </c>
      <c r="F284" t="s">
        <v>1197</v>
      </c>
      <c r="G284" t="str">
        <f>+_xlfn.XLOOKUP(D284,'AREA Level 2'!C:C,'AREA Level 2'!B:B)</f>
        <v>CAM_LV2_47</v>
      </c>
    </row>
    <row r="285" spans="1:7">
      <c r="A285" t="s">
        <v>856</v>
      </c>
      <c r="B285" t="s">
        <v>857</v>
      </c>
      <c r="D285" t="s">
        <v>1186</v>
      </c>
      <c r="F285" t="s">
        <v>1198</v>
      </c>
      <c r="G285" t="str">
        <f>+_xlfn.XLOOKUP(D285,'AREA Level 2'!C:C,'AREA Level 2'!B:B)</f>
        <v>CAM_LV2_45</v>
      </c>
    </row>
    <row r="286" spans="1:7">
      <c r="A286" t="s">
        <v>856</v>
      </c>
      <c r="B286" t="s">
        <v>857</v>
      </c>
      <c r="D286" t="s">
        <v>1196</v>
      </c>
      <c r="F286" t="s">
        <v>1199</v>
      </c>
      <c r="G286" t="str">
        <f>+_xlfn.XLOOKUP(D286,'AREA Level 2'!C:C,'AREA Level 2'!B:B)</f>
        <v>CAM_LV2_47</v>
      </c>
    </row>
    <row r="287" spans="1:7">
      <c r="A287" t="s">
        <v>856</v>
      </c>
      <c r="B287" t="s">
        <v>857</v>
      </c>
      <c r="D287" t="s">
        <v>1200</v>
      </c>
      <c r="F287" t="s">
        <v>1201</v>
      </c>
      <c r="G287" t="str">
        <f>+_xlfn.XLOOKUP(D287,'AREA Level 2'!C:C,'AREA Level 2'!B:B)</f>
        <v>CAM_LV2_48</v>
      </c>
    </row>
    <row r="288" spans="1:7">
      <c r="A288" t="s">
        <v>856</v>
      </c>
      <c r="B288" t="s">
        <v>857</v>
      </c>
      <c r="D288" t="s">
        <v>1200</v>
      </c>
      <c r="F288" t="s">
        <v>1202</v>
      </c>
      <c r="G288" t="str">
        <f>+_xlfn.XLOOKUP(D288,'AREA Level 2'!C:C,'AREA Level 2'!B:B)</f>
        <v>CAM_LV2_48</v>
      </c>
    </row>
    <row r="289" spans="1:7">
      <c r="A289" t="s">
        <v>856</v>
      </c>
      <c r="B289" t="s">
        <v>857</v>
      </c>
      <c r="D289" t="s">
        <v>1200</v>
      </c>
      <c r="F289" t="s">
        <v>1203</v>
      </c>
      <c r="G289" t="str">
        <f>+_xlfn.XLOOKUP(D289,'AREA Level 2'!C:C,'AREA Level 2'!B:B)</f>
        <v>CAM_LV2_48</v>
      </c>
    </row>
    <row r="290" spans="1:7">
      <c r="A290" t="s">
        <v>856</v>
      </c>
      <c r="B290" t="s">
        <v>857</v>
      </c>
      <c r="D290" t="s">
        <v>1189</v>
      </c>
      <c r="F290" t="s">
        <v>1204</v>
      </c>
      <c r="G290" t="str">
        <f>+_xlfn.XLOOKUP(D290,'AREA Level 2'!C:C,'AREA Level 2'!B:B)</f>
        <v>CAM_LV2_46</v>
      </c>
    </row>
    <row r="291" spans="1:7">
      <c r="A291" t="s">
        <v>856</v>
      </c>
      <c r="B291" t="s">
        <v>857</v>
      </c>
      <c r="D291" t="s">
        <v>1189</v>
      </c>
      <c r="F291" t="s">
        <v>1205</v>
      </c>
      <c r="G291" t="str">
        <f>+_xlfn.XLOOKUP(D291,'AREA Level 2'!C:C,'AREA Level 2'!B:B)</f>
        <v>CAM_LV2_46</v>
      </c>
    </row>
    <row r="292" spans="1:7">
      <c r="A292" t="s">
        <v>856</v>
      </c>
      <c r="B292" t="s">
        <v>857</v>
      </c>
      <c r="D292" t="s">
        <v>1172</v>
      </c>
      <c r="F292" t="s">
        <v>1206</v>
      </c>
      <c r="G292" t="str">
        <f>+_xlfn.XLOOKUP(D292,'AREA Level 2'!C:C,'AREA Level 2'!B:B)</f>
        <v>CAM_LV2_41</v>
      </c>
    </row>
    <row r="293" spans="1:7">
      <c r="A293" t="s">
        <v>856</v>
      </c>
      <c r="B293" t="s">
        <v>857</v>
      </c>
      <c r="D293" t="s">
        <v>1174</v>
      </c>
      <c r="F293" t="s">
        <v>1207</v>
      </c>
      <c r="G293" t="str">
        <f>+_xlfn.XLOOKUP(D293,'AREA Level 2'!C:C,'AREA Level 2'!B:B)</f>
        <v>CAM_LV2_42</v>
      </c>
    </row>
    <row r="294" spans="1:7">
      <c r="A294" t="s">
        <v>856</v>
      </c>
      <c r="B294" t="s">
        <v>857</v>
      </c>
      <c r="D294" t="s">
        <v>1189</v>
      </c>
      <c r="F294" t="s">
        <v>1208</v>
      </c>
      <c r="G294" t="str">
        <f>+_xlfn.XLOOKUP(D294,'AREA Level 2'!C:C,'AREA Level 2'!B:B)</f>
        <v>CAM_LV2_46</v>
      </c>
    </row>
    <row r="295" spans="1:7">
      <c r="A295" t="s">
        <v>856</v>
      </c>
      <c r="B295" t="s">
        <v>857</v>
      </c>
      <c r="D295" t="s">
        <v>1189</v>
      </c>
      <c r="F295" t="s">
        <v>1209</v>
      </c>
      <c r="G295" t="str">
        <f>+_xlfn.XLOOKUP(D295,'AREA Level 2'!C:C,'AREA Level 2'!B:B)</f>
        <v>CAM_LV2_46</v>
      </c>
    </row>
    <row r="296" spans="1:7">
      <c r="A296" t="s">
        <v>856</v>
      </c>
      <c r="B296" t="s">
        <v>857</v>
      </c>
      <c r="D296" t="s">
        <v>1189</v>
      </c>
      <c r="F296" t="s">
        <v>1210</v>
      </c>
      <c r="G296" t="str">
        <f>+_xlfn.XLOOKUP(D296,'AREA Level 2'!C:C,'AREA Level 2'!B:B)</f>
        <v>CAM_LV2_46</v>
      </c>
    </row>
    <row r="297" spans="1:7">
      <c r="A297" t="s">
        <v>856</v>
      </c>
      <c r="B297" t="s">
        <v>857</v>
      </c>
      <c r="D297" t="s">
        <v>1189</v>
      </c>
      <c r="F297" t="s">
        <v>1211</v>
      </c>
      <c r="G297" t="str">
        <f>+_xlfn.XLOOKUP(D297,'AREA Level 2'!C:C,'AREA Level 2'!B:B)</f>
        <v>CAM_LV2_46</v>
      </c>
    </row>
    <row r="298" spans="1:7">
      <c r="A298" t="s">
        <v>856</v>
      </c>
      <c r="B298" t="s">
        <v>857</v>
      </c>
      <c r="D298" t="s">
        <v>1189</v>
      </c>
      <c r="F298" t="s">
        <v>1212</v>
      </c>
      <c r="G298" t="str">
        <f>+_xlfn.XLOOKUP(D298,'AREA Level 2'!C:C,'AREA Level 2'!B:B)</f>
        <v>CAM_LV2_46</v>
      </c>
    </row>
    <row r="299" spans="1:7">
      <c r="A299" t="s">
        <v>856</v>
      </c>
      <c r="B299" t="s">
        <v>857</v>
      </c>
      <c r="D299" t="s">
        <v>1172</v>
      </c>
      <c r="F299" t="s">
        <v>1213</v>
      </c>
      <c r="G299" t="str">
        <f>+_xlfn.XLOOKUP(D299,'AREA Level 2'!C:C,'AREA Level 2'!B:B)</f>
        <v>CAM_LV2_41</v>
      </c>
    </row>
    <row r="300" spans="1:7">
      <c r="A300" t="s">
        <v>856</v>
      </c>
      <c r="B300" t="s">
        <v>857</v>
      </c>
      <c r="D300" t="s">
        <v>1189</v>
      </c>
      <c r="F300" t="s">
        <v>1214</v>
      </c>
      <c r="G300" t="str">
        <f>+_xlfn.XLOOKUP(D300,'AREA Level 2'!C:C,'AREA Level 2'!B:B)</f>
        <v>CAM_LV2_46</v>
      </c>
    </row>
    <row r="301" spans="1:7">
      <c r="A301" t="s">
        <v>856</v>
      </c>
      <c r="B301" t="s">
        <v>857</v>
      </c>
      <c r="D301" t="s">
        <v>1200</v>
      </c>
      <c r="F301" t="s">
        <v>1215</v>
      </c>
      <c r="G301" t="str">
        <f>+_xlfn.XLOOKUP(D301,'AREA Level 2'!C:C,'AREA Level 2'!B:B)</f>
        <v>CAM_LV2_48</v>
      </c>
    </row>
    <row r="302" spans="1:7">
      <c r="A302" t="s">
        <v>856</v>
      </c>
      <c r="B302" t="s">
        <v>857</v>
      </c>
      <c r="D302" t="s">
        <v>1200</v>
      </c>
      <c r="F302" t="s">
        <v>1216</v>
      </c>
      <c r="G302" t="str">
        <f>+_xlfn.XLOOKUP(D302,'AREA Level 2'!C:C,'AREA Level 2'!B:B)</f>
        <v>CAM_LV2_48</v>
      </c>
    </row>
    <row r="303" spans="1:7">
      <c r="A303" t="s">
        <v>856</v>
      </c>
      <c r="B303" t="s">
        <v>857</v>
      </c>
      <c r="D303" t="s">
        <v>1196</v>
      </c>
      <c r="F303" t="s">
        <v>1217</v>
      </c>
      <c r="G303" t="str">
        <f>+_xlfn.XLOOKUP(D303,'AREA Level 2'!C:C,'AREA Level 2'!B:B)</f>
        <v>CAM_LV2_47</v>
      </c>
    </row>
    <row r="304" spans="1:7">
      <c r="A304" t="s">
        <v>856</v>
      </c>
      <c r="B304" t="s">
        <v>857</v>
      </c>
      <c r="D304" t="s">
        <v>1200</v>
      </c>
      <c r="F304" t="s">
        <v>1218</v>
      </c>
      <c r="G304" t="str">
        <f>+_xlfn.XLOOKUP(D304,'AREA Level 2'!C:C,'AREA Level 2'!B:B)</f>
        <v>CAM_LV2_48</v>
      </c>
    </row>
    <row r="305" spans="1:7">
      <c r="A305" t="s">
        <v>856</v>
      </c>
      <c r="B305" t="s">
        <v>857</v>
      </c>
      <c r="D305" t="s">
        <v>1186</v>
      </c>
      <c r="F305" t="s">
        <v>1219</v>
      </c>
      <c r="G305" t="str">
        <f>+_xlfn.XLOOKUP(D305,'AREA Level 2'!C:C,'AREA Level 2'!B:B)</f>
        <v>CAM_LV2_45</v>
      </c>
    </row>
    <row r="306" spans="1:7">
      <c r="A306" t="s">
        <v>858</v>
      </c>
      <c r="B306" t="s">
        <v>859</v>
      </c>
      <c r="D306" t="s">
        <v>1220</v>
      </c>
      <c r="F306" t="s">
        <v>1221</v>
      </c>
      <c r="G306" t="str">
        <f>+_xlfn.XLOOKUP(D306,'AREA Level 2'!C:C,'AREA Level 2'!B:B)</f>
        <v>CAM_LV2_49</v>
      </c>
    </row>
    <row r="307" spans="1:7">
      <c r="A307" t="s">
        <v>858</v>
      </c>
      <c r="B307" t="s">
        <v>859</v>
      </c>
      <c r="D307" t="s">
        <v>1222</v>
      </c>
      <c r="F307" t="s">
        <v>1223</v>
      </c>
      <c r="G307" t="str">
        <f>+_xlfn.XLOOKUP(D307,'AREA Level 2'!C:C,'AREA Level 2'!B:B)</f>
        <v>CAM_LV2_50</v>
      </c>
    </row>
    <row r="308" spans="1:7">
      <c r="A308" t="s">
        <v>858</v>
      </c>
      <c r="B308" t="s">
        <v>859</v>
      </c>
      <c r="D308" t="s">
        <v>1224</v>
      </c>
      <c r="F308" t="s">
        <v>1225</v>
      </c>
      <c r="G308" t="str">
        <f>+_xlfn.XLOOKUP(D308,'AREA Level 2'!C:C,'AREA Level 2'!B:B)</f>
        <v>CAM_LV2_51</v>
      </c>
    </row>
    <row r="309" spans="1:7">
      <c r="A309" t="s">
        <v>858</v>
      </c>
      <c r="B309" t="s">
        <v>859</v>
      </c>
      <c r="D309" t="s">
        <v>1220</v>
      </c>
      <c r="F309" t="s">
        <v>1226</v>
      </c>
      <c r="G309" t="str">
        <f>+_xlfn.XLOOKUP(D309,'AREA Level 2'!C:C,'AREA Level 2'!B:B)</f>
        <v>CAM_LV2_49</v>
      </c>
    </row>
    <row r="310" spans="1:7">
      <c r="A310" t="s">
        <v>858</v>
      </c>
      <c r="B310" t="s">
        <v>859</v>
      </c>
      <c r="D310" t="s">
        <v>1227</v>
      </c>
      <c r="F310" t="s">
        <v>1228</v>
      </c>
      <c r="G310" t="str">
        <f>+_xlfn.XLOOKUP(D310,'AREA Level 2'!C:C,'AREA Level 2'!B:B)</f>
        <v>CAM_LV2_52</v>
      </c>
    </row>
    <row r="311" spans="1:7">
      <c r="A311" t="s">
        <v>858</v>
      </c>
      <c r="B311" t="s">
        <v>859</v>
      </c>
      <c r="D311" t="s">
        <v>1227</v>
      </c>
      <c r="F311" t="s">
        <v>1229</v>
      </c>
      <c r="G311" t="str">
        <f>+_xlfn.XLOOKUP(D311,'AREA Level 2'!C:C,'AREA Level 2'!B:B)</f>
        <v>CAM_LV2_52</v>
      </c>
    </row>
    <row r="312" spans="1:7">
      <c r="A312" t="s">
        <v>858</v>
      </c>
      <c r="B312" t="s">
        <v>859</v>
      </c>
      <c r="D312" t="s">
        <v>1220</v>
      </c>
      <c r="F312" t="s">
        <v>1230</v>
      </c>
      <c r="G312" t="str">
        <f>+_xlfn.XLOOKUP(D312,'AREA Level 2'!C:C,'AREA Level 2'!B:B)</f>
        <v>CAM_LV2_49</v>
      </c>
    </row>
    <row r="313" spans="1:7">
      <c r="A313" t="s">
        <v>858</v>
      </c>
      <c r="B313" t="s">
        <v>859</v>
      </c>
      <c r="D313" t="s">
        <v>1224</v>
      </c>
      <c r="F313" t="s">
        <v>1231</v>
      </c>
      <c r="G313" t="str">
        <f>+_xlfn.XLOOKUP(D313,'AREA Level 2'!C:C,'AREA Level 2'!B:B)</f>
        <v>CAM_LV2_51</v>
      </c>
    </row>
    <row r="314" spans="1:7">
      <c r="A314" t="s">
        <v>858</v>
      </c>
      <c r="B314" t="s">
        <v>859</v>
      </c>
      <c r="D314" t="s">
        <v>1227</v>
      </c>
      <c r="F314" t="s">
        <v>1232</v>
      </c>
      <c r="G314" t="str">
        <f>+_xlfn.XLOOKUP(D314,'AREA Level 2'!C:C,'AREA Level 2'!B:B)</f>
        <v>CAM_LV2_52</v>
      </c>
    </row>
    <row r="315" spans="1:7">
      <c r="A315" t="s">
        <v>858</v>
      </c>
      <c r="B315" t="s">
        <v>859</v>
      </c>
      <c r="D315" t="s">
        <v>1227</v>
      </c>
      <c r="F315" t="s">
        <v>1233</v>
      </c>
      <c r="G315" t="str">
        <f>+_xlfn.XLOOKUP(D315,'AREA Level 2'!C:C,'AREA Level 2'!B:B)</f>
        <v>CAM_LV2_52</v>
      </c>
    </row>
    <row r="316" spans="1:7">
      <c r="A316" t="s">
        <v>858</v>
      </c>
      <c r="B316" t="s">
        <v>859</v>
      </c>
      <c r="D316" t="s">
        <v>1227</v>
      </c>
      <c r="F316" t="s">
        <v>1234</v>
      </c>
      <c r="G316" t="str">
        <f>+_xlfn.XLOOKUP(D316,'AREA Level 2'!C:C,'AREA Level 2'!B:B)</f>
        <v>CAM_LV2_52</v>
      </c>
    </row>
    <row r="317" spans="1:7">
      <c r="A317" t="s">
        <v>858</v>
      </c>
      <c r="B317" t="s">
        <v>859</v>
      </c>
      <c r="D317" t="s">
        <v>1220</v>
      </c>
      <c r="F317" t="s">
        <v>1235</v>
      </c>
      <c r="G317" t="str">
        <f>+_xlfn.XLOOKUP(D317,'AREA Level 2'!C:C,'AREA Level 2'!B:B)</f>
        <v>CAM_LV2_49</v>
      </c>
    </row>
    <row r="318" spans="1:7">
      <c r="A318" t="s">
        <v>858</v>
      </c>
      <c r="B318" t="s">
        <v>859</v>
      </c>
      <c r="D318" t="s">
        <v>1220</v>
      </c>
      <c r="F318" t="s">
        <v>1236</v>
      </c>
      <c r="G318" t="str">
        <f>+_xlfn.XLOOKUP(D318,'AREA Level 2'!C:C,'AREA Level 2'!B:B)</f>
        <v>CAM_LV2_49</v>
      </c>
    </row>
    <row r="319" spans="1:7">
      <c r="A319" t="s">
        <v>858</v>
      </c>
      <c r="B319" t="s">
        <v>859</v>
      </c>
      <c r="D319" t="s">
        <v>1222</v>
      </c>
      <c r="F319" t="s">
        <v>1237</v>
      </c>
      <c r="G319" t="str">
        <f>+_xlfn.XLOOKUP(D319,'AREA Level 2'!C:C,'AREA Level 2'!B:B)</f>
        <v>CAM_LV2_50</v>
      </c>
    </row>
    <row r="320" spans="1:7">
      <c r="A320" t="s">
        <v>858</v>
      </c>
      <c r="B320" t="s">
        <v>859</v>
      </c>
      <c r="D320" t="s">
        <v>1220</v>
      </c>
      <c r="F320" t="s">
        <v>1238</v>
      </c>
      <c r="G320" t="str">
        <f>+_xlfn.XLOOKUP(D320,'AREA Level 2'!C:C,'AREA Level 2'!B:B)</f>
        <v>CAM_LV2_49</v>
      </c>
    </row>
    <row r="321" spans="1:7">
      <c r="A321" t="s">
        <v>858</v>
      </c>
      <c r="B321" t="s">
        <v>859</v>
      </c>
      <c r="D321" t="s">
        <v>1220</v>
      </c>
      <c r="F321" t="s">
        <v>1239</v>
      </c>
      <c r="G321" t="str">
        <f>+_xlfn.XLOOKUP(D321,'AREA Level 2'!C:C,'AREA Level 2'!B:B)</f>
        <v>CAM_LV2_49</v>
      </c>
    </row>
    <row r="322" spans="1:7">
      <c r="A322" t="s">
        <v>858</v>
      </c>
      <c r="B322" t="s">
        <v>859</v>
      </c>
      <c r="D322" t="s">
        <v>1222</v>
      </c>
      <c r="F322" t="s">
        <v>1240</v>
      </c>
      <c r="G322" t="str">
        <f>+_xlfn.XLOOKUP(D322,'AREA Level 2'!C:C,'AREA Level 2'!B:B)</f>
        <v>CAM_LV2_50</v>
      </c>
    </row>
    <row r="323" spans="1:7">
      <c r="A323" t="s">
        <v>858</v>
      </c>
      <c r="B323" t="s">
        <v>859</v>
      </c>
      <c r="D323" t="s">
        <v>1227</v>
      </c>
      <c r="F323" t="s">
        <v>1241</v>
      </c>
      <c r="G323" t="str">
        <f>+_xlfn.XLOOKUP(D323,'AREA Level 2'!C:C,'AREA Level 2'!B:B)</f>
        <v>CAM_LV2_52</v>
      </c>
    </row>
    <row r="324" spans="1:7">
      <c r="A324" t="s">
        <v>858</v>
      </c>
      <c r="B324" t="s">
        <v>859</v>
      </c>
      <c r="D324" t="s">
        <v>1224</v>
      </c>
      <c r="F324" t="s">
        <v>1242</v>
      </c>
      <c r="G324" t="str">
        <f>+_xlfn.XLOOKUP(D324,'AREA Level 2'!C:C,'AREA Level 2'!B:B)</f>
        <v>CAM_LV2_51</v>
      </c>
    </row>
    <row r="325" spans="1:7">
      <c r="A325" t="s">
        <v>858</v>
      </c>
      <c r="B325" t="s">
        <v>859</v>
      </c>
      <c r="D325" t="s">
        <v>1224</v>
      </c>
      <c r="F325" t="s">
        <v>1243</v>
      </c>
      <c r="G325" t="str">
        <f>+_xlfn.XLOOKUP(D325,'AREA Level 2'!C:C,'AREA Level 2'!B:B)</f>
        <v>CAM_LV2_51</v>
      </c>
    </row>
    <row r="326" spans="1:7">
      <c r="A326" t="s">
        <v>858</v>
      </c>
      <c r="B326" t="s">
        <v>859</v>
      </c>
      <c r="D326" t="s">
        <v>1224</v>
      </c>
      <c r="F326" t="s">
        <v>1244</v>
      </c>
      <c r="G326" t="str">
        <f>+_xlfn.XLOOKUP(D326,'AREA Level 2'!C:C,'AREA Level 2'!B:B)</f>
        <v>CAM_LV2_51</v>
      </c>
    </row>
    <row r="327" spans="1:7">
      <c r="A327" t="s">
        <v>858</v>
      </c>
      <c r="B327" t="s">
        <v>859</v>
      </c>
      <c r="D327" t="s">
        <v>1227</v>
      </c>
      <c r="F327" t="s">
        <v>1245</v>
      </c>
      <c r="G327" t="str">
        <f>+_xlfn.XLOOKUP(D327,'AREA Level 2'!C:C,'AREA Level 2'!B:B)</f>
        <v>CAM_LV2_52</v>
      </c>
    </row>
    <row r="328" spans="1:7">
      <c r="A328" t="s">
        <v>858</v>
      </c>
      <c r="B328" t="s">
        <v>859</v>
      </c>
      <c r="D328" t="s">
        <v>1220</v>
      </c>
      <c r="F328" t="s">
        <v>1246</v>
      </c>
      <c r="G328" t="str">
        <f>+_xlfn.XLOOKUP(D328,'AREA Level 2'!C:C,'AREA Level 2'!B:B)</f>
        <v>CAM_LV2_49</v>
      </c>
    </row>
    <row r="329" spans="1:7">
      <c r="A329" t="s">
        <v>858</v>
      </c>
      <c r="B329" t="s">
        <v>859</v>
      </c>
      <c r="D329" t="s">
        <v>1227</v>
      </c>
      <c r="F329" t="s">
        <v>1247</v>
      </c>
      <c r="G329" t="str">
        <f>+_xlfn.XLOOKUP(D329,'AREA Level 2'!C:C,'AREA Level 2'!B:B)</f>
        <v>CAM_LV2_52</v>
      </c>
    </row>
    <row r="330" spans="1:7">
      <c r="A330" t="s">
        <v>858</v>
      </c>
      <c r="B330" t="s">
        <v>859</v>
      </c>
      <c r="D330" t="s">
        <v>1220</v>
      </c>
      <c r="F330" t="s">
        <v>1248</v>
      </c>
      <c r="G330" t="str">
        <f>+_xlfn.XLOOKUP(D330,'AREA Level 2'!C:C,'AREA Level 2'!B:B)</f>
        <v>CAM_LV2_49</v>
      </c>
    </row>
    <row r="331" spans="1:7">
      <c r="A331" t="s">
        <v>858</v>
      </c>
      <c r="B331" t="s">
        <v>859</v>
      </c>
      <c r="D331" t="s">
        <v>1222</v>
      </c>
      <c r="F331" t="s">
        <v>1249</v>
      </c>
      <c r="G331" t="str">
        <f>+_xlfn.XLOOKUP(D331,'AREA Level 2'!C:C,'AREA Level 2'!B:B)</f>
        <v>CAM_LV2_50</v>
      </c>
    </row>
    <row r="332" spans="1:7">
      <c r="A332" t="s">
        <v>858</v>
      </c>
      <c r="B332" t="s">
        <v>859</v>
      </c>
      <c r="D332" t="s">
        <v>1224</v>
      </c>
      <c r="F332" t="s">
        <v>1250</v>
      </c>
      <c r="G332" t="str">
        <f>+_xlfn.XLOOKUP(D332,'AREA Level 2'!C:C,'AREA Level 2'!B:B)</f>
        <v>CAM_LV2_51</v>
      </c>
    </row>
    <row r="333" spans="1:7">
      <c r="A333" t="s">
        <v>858</v>
      </c>
      <c r="B333" t="s">
        <v>859</v>
      </c>
      <c r="D333" t="s">
        <v>1224</v>
      </c>
      <c r="F333" t="s">
        <v>1251</v>
      </c>
      <c r="G333" t="str">
        <f>+_xlfn.XLOOKUP(D333,'AREA Level 2'!C:C,'AREA Level 2'!B:B)</f>
        <v>CAM_LV2_51</v>
      </c>
    </row>
    <row r="334" spans="1:7">
      <c r="A334" t="s">
        <v>858</v>
      </c>
      <c r="B334" t="s">
        <v>859</v>
      </c>
      <c r="D334" t="s">
        <v>1224</v>
      </c>
      <c r="F334" t="s">
        <v>1252</v>
      </c>
      <c r="G334" t="str">
        <f>+_xlfn.XLOOKUP(D334,'AREA Level 2'!C:C,'AREA Level 2'!B:B)</f>
        <v>CAM_LV2_51</v>
      </c>
    </row>
    <row r="335" spans="1:7">
      <c r="A335" t="s">
        <v>860</v>
      </c>
      <c r="B335" t="s">
        <v>861</v>
      </c>
      <c r="D335" t="s">
        <v>1253</v>
      </c>
      <c r="F335" t="s">
        <v>1254</v>
      </c>
      <c r="G335" t="str">
        <f>+_xlfn.XLOOKUP(D335,'AREA Level 2'!C:C,'AREA Level 2'!B:B)</f>
        <v>CAM_LV2_53</v>
      </c>
    </row>
    <row r="336" spans="1:7">
      <c r="A336" t="s">
        <v>860</v>
      </c>
      <c r="B336" t="s">
        <v>861</v>
      </c>
      <c r="D336" t="s">
        <v>1255</v>
      </c>
      <c r="F336" t="s">
        <v>1256</v>
      </c>
      <c r="G336" t="str">
        <f>+_xlfn.XLOOKUP(D336,'AREA Level 2'!C:C,'AREA Level 2'!B:B)</f>
        <v>CAM_LV2_54</v>
      </c>
    </row>
    <row r="337" spans="1:7">
      <c r="A337" t="s">
        <v>860</v>
      </c>
      <c r="B337" t="s">
        <v>861</v>
      </c>
      <c r="D337" t="s">
        <v>1257</v>
      </c>
      <c r="F337" t="s">
        <v>1258</v>
      </c>
      <c r="G337" t="str">
        <f>+_xlfn.XLOOKUP(D337,'AREA Level 2'!C:C,'AREA Level 2'!B:B)</f>
        <v>CAM_LV2_55</v>
      </c>
    </row>
    <row r="338" spans="1:7">
      <c r="A338" t="s">
        <v>860</v>
      </c>
      <c r="B338" t="s">
        <v>861</v>
      </c>
      <c r="D338" t="s">
        <v>1259</v>
      </c>
      <c r="F338" t="s">
        <v>1260</v>
      </c>
      <c r="G338" t="str">
        <f>+_xlfn.XLOOKUP(D338,'AREA Level 2'!C:C,'AREA Level 2'!B:B)</f>
        <v>CAM_LV2_56</v>
      </c>
    </row>
    <row r="339" spans="1:7">
      <c r="A339" t="s">
        <v>860</v>
      </c>
      <c r="B339" t="s">
        <v>861</v>
      </c>
      <c r="D339" t="s">
        <v>1261</v>
      </c>
      <c r="F339" t="s">
        <v>1262</v>
      </c>
      <c r="G339" t="str">
        <f>+_xlfn.XLOOKUP(D339,'AREA Level 2'!C:C,'AREA Level 2'!B:B)</f>
        <v>CAM_LV2_57</v>
      </c>
    </row>
    <row r="340" spans="1:7">
      <c r="A340" t="s">
        <v>860</v>
      </c>
      <c r="B340" t="s">
        <v>861</v>
      </c>
      <c r="D340" t="s">
        <v>1257</v>
      </c>
      <c r="F340" t="s">
        <v>1263</v>
      </c>
      <c r="G340" t="str">
        <f>+_xlfn.XLOOKUP(D340,'AREA Level 2'!C:C,'AREA Level 2'!B:B)</f>
        <v>CAM_LV2_55</v>
      </c>
    </row>
    <row r="341" spans="1:7">
      <c r="A341" t="s">
        <v>860</v>
      </c>
      <c r="B341" t="s">
        <v>861</v>
      </c>
      <c r="D341" t="s">
        <v>1257</v>
      </c>
      <c r="F341" t="s">
        <v>1264</v>
      </c>
      <c r="G341" t="str">
        <f>+_xlfn.XLOOKUP(D341,'AREA Level 2'!C:C,'AREA Level 2'!B:B)</f>
        <v>CAM_LV2_55</v>
      </c>
    </row>
    <row r="342" spans="1:7">
      <c r="A342" t="s">
        <v>860</v>
      </c>
      <c r="B342" t="s">
        <v>861</v>
      </c>
      <c r="D342" t="s">
        <v>1253</v>
      </c>
      <c r="F342" t="s">
        <v>1265</v>
      </c>
      <c r="G342" t="str">
        <f>+_xlfn.XLOOKUP(D342,'AREA Level 2'!C:C,'AREA Level 2'!B:B)</f>
        <v>CAM_LV2_53</v>
      </c>
    </row>
    <row r="343" spans="1:7">
      <c r="A343" t="s">
        <v>860</v>
      </c>
      <c r="B343" t="s">
        <v>861</v>
      </c>
      <c r="D343" t="s">
        <v>1255</v>
      </c>
      <c r="F343" t="s">
        <v>1266</v>
      </c>
      <c r="G343" t="str">
        <f>+_xlfn.XLOOKUP(D343,'AREA Level 2'!C:C,'AREA Level 2'!B:B)</f>
        <v>CAM_LV2_54</v>
      </c>
    </row>
    <row r="344" spans="1:7">
      <c r="A344" t="s">
        <v>860</v>
      </c>
      <c r="B344" t="s">
        <v>861</v>
      </c>
      <c r="D344" t="s">
        <v>1257</v>
      </c>
      <c r="F344" t="s">
        <v>1267</v>
      </c>
      <c r="G344" t="str">
        <f>+_xlfn.XLOOKUP(D344,'AREA Level 2'!C:C,'AREA Level 2'!B:B)</f>
        <v>CAM_LV2_55</v>
      </c>
    </row>
    <row r="345" spans="1:7">
      <c r="A345" t="s">
        <v>860</v>
      </c>
      <c r="B345" t="s">
        <v>861</v>
      </c>
      <c r="D345" t="s">
        <v>1257</v>
      </c>
      <c r="F345" t="s">
        <v>1268</v>
      </c>
      <c r="G345" t="str">
        <f>+_xlfn.XLOOKUP(D345,'AREA Level 2'!C:C,'AREA Level 2'!B:B)</f>
        <v>CAM_LV2_55</v>
      </c>
    </row>
    <row r="346" spans="1:7">
      <c r="A346" t="s">
        <v>860</v>
      </c>
      <c r="B346" t="s">
        <v>861</v>
      </c>
      <c r="D346" t="s">
        <v>1257</v>
      </c>
      <c r="F346" t="s">
        <v>1269</v>
      </c>
      <c r="G346" t="str">
        <f>+_xlfn.XLOOKUP(D346,'AREA Level 2'!C:C,'AREA Level 2'!B:B)</f>
        <v>CAM_LV2_55</v>
      </c>
    </row>
    <row r="347" spans="1:7">
      <c r="A347" t="s">
        <v>860</v>
      </c>
      <c r="B347" t="s">
        <v>861</v>
      </c>
      <c r="D347" t="s">
        <v>1257</v>
      </c>
      <c r="F347" t="s">
        <v>1270</v>
      </c>
      <c r="G347" t="str">
        <f>+_xlfn.XLOOKUP(D347,'AREA Level 2'!C:C,'AREA Level 2'!B:B)</f>
        <v>CAM_LV2_55</v>
      </c>
    </row>
    <row r="348" spans="1:7">
      <c r="A348" t="s">
        <v>860</v>
      </c>
      <c r="B348" t="s">
        <v>861</v>
      </c>
      <c r="D348" t="s">
        <v>1271</v>
      </c>
      <c r="F348" t="s">
        <v>1272</v>
      </c>
      <c r="G348" t="str">
        <f>+_xlfn.XLOOKUP(D348,'AREA Level 2'!C:C,'AREA Level 2'!B:B)</f>
        <v>CAM_LV2_58</v>
      </c>
    </row>
    <row r="349" spans="1:7">
      <c r="A349" t="s">
        <v>860</v>
      </c>
      <c r="B349" t="s">
        <v>861</v>
      </c>
      <c r="D349" t="s">
        <v>1271</v>
      </c>
      <c r="F349" t="s">
        <v>1273</v>
      </c>
      <c r="G349" t="str">
        <f>+_xlfn.XLOOKUP(D349,'AREA Level 2'!C:C,'AREA Level 2'!B:B)</f>
        <v>CAM_LV2_58</v>
      </c>
    </row>
    <row r="350" spans="1:7">
      <c r="A350" t="s">
        <v>860</v>
      </c>
      <c r="B350" t="s">
        <v>861</v>
      </c>
      <c r="D350" t="s">
        <v>1271</v>
      </c>
      <c r="F350" t="s">
        <v>1274</v>
      </c>
      <c r="G350" t="str">
        <f>+_xlfn.XLOOKUP(D350,'AREA Level 2'!C:C,'AREA Level 2'!B:B)</f>
        <v>CAM_LV2_58</v>
      </c>
    </row>
    <row r="351" spans="1:7">
      <c r="A351" t="s">
        <v>860</v>
      </c>
      <c r="B351" t="s">
        <v>861</v>
      </c>
      <c r="D351" t="s">
        <v>1271</v>
      </c>
      <c r="F351" t="s">
        <v>1275</v>
      </c>
      <c r="G351" t="str">
        <f>+_xlfn.XLOOKUP(D351,'AREA Level 2'!C:C,'AREA Level 2'!B:B)</f>
        <v>CAM_LV2_58</v>
      </c>
    </row>
    <row r="352" spans="1:7">
      <c r="A352" t="s">
        <v>860</v>
      </c>
      <c r="B352" t="s">
        <v>861</v>
      </c>
      <c r="D352" t="s">
        <v>1261</v>
      </c>
      <c r="F352" t="s">
        <v>1276</v>
      </c>
      <c r="G352" t="str">
        <f>+_xlfn.XLOOKUP(D352,'AREA Level 2'!C:C,'AREA Level 2'!B:B)</f>
        <v>CAM_LV2_57</v>
      </c>
    </row>
    <row r="353" spans="1:7">
      <c r="A353" t="s">
        <v>860</v>
      </c>
      <c r="B353" t="s">
        <v>861</v>
      </c>
      <c r="D353" t="s">
        <v>1261</v>
      </c>
      <c r="F353" t="s">
        <v>1277</v>
      </c>
      <c r="G353" t="str">
        <f>+_xlfn.XLOOKUP(D353,'AREA Level 2'!C:C,'AREA Level 2'!B:B)</f>
        <v>CAM_LV2_57</v>
      </c>
    </row>
    <row r="354" spans="1:7">
      <c r="A354" t="s">
        <v>860</v>
      </c>
      <c r="B354" t="s">
        <v>861</v>
      </c>
      <c r="D354" t="s">
        <v>1261</v>
      </c>
      <c r="F354" t="s">
        <v>1278</v>
      </c>
      <c r="G354" t="str">
        <f>+_xlfn.XLOOKUP(D354,'AREA Level 2'!C:C,'AREA Level 2'!B:B)</f>
        <v>CAM_LV2_57</v>
      </c>
    </row>
    <row r="355" spans="1:7">
      <c r="A355" t="s">
        <v>860</v>
      </c>
      <c r="B355" t="s">
        <v>861</v>
      </c>
      <c r="D355" t="s">
        <v>1253</v>
      </c>
      <c r="F355" t="s">
        <v>1279</v>
      </c>
      <c r="G355" t="str">
        <f>+_xlfn.XLOOKUP(D355,'AREA Level 2'!C:C,'AREA Level 2'!B:B)</f>
        <v>CAM_LV2_53</v>
      </c>
    </row>
    <row r="356" spans="1:7">
      <c r="A356" t="s">
        <v>860</v>
      </c>
      <c r="B356" t="s">
        <v>861</v>
      </c>
      <c r="D356" t="s">
        <v>1271</v>
      </c>
      <c r="F356" t="s">
        <v>1280</v>
      </c>
      <c r="G356" t="str">
        <f>+_xlfn.XLOOKUP(D356,'AREA Level 2'!C:C,'AREA Level 2'!B:B)</f>
        <v>CAM_LV2_58</v>
      </c>
    </row>
    <row r="357" spans="1:7">
      <c r="A357" t="s">
        <v>860</v>
      </c>
      <c r="B357" t="s">
        <v>861</v>
      </c>
      <c r="D357" t="s">
        <v>1257</v>
      </c>
      <c r="F357" t="s">
        <v>1281</v>
      </c>
      <c r="G357" t="str">
        <f>+_xlfn.XLOOKUP(D357,'AREA Level 2'!C:C,'AREA Level 2'!B:B)</f>
        <v>CAM_LV2_55</v>
      </c>
    </row>
    <row r="358" spans="1:7">
      <c r="A358" t="s">
        <v>860</v>
      </c>
      <c r="B358" t="s">
        <v>861</v>
      </c>
      <c r="D358" t="s">
        <v>1261</v>
      </c>
      <c r="F358" t="s">
        <v>1282</v>
      </c>
      <c r="G358" t="str">
        <f>+_xlfn.XLOOKUP(D358,'AREA Level 2'!C:C,'AREA Level 2'!B:B)</f>
        <v>CAM_LV2_57</v>
      </c>
    </row>
    <row r="359" spans="1:7">
      <c r="A359" t="s">
        <v>860</v>
      </c>
      <c r="B359" t="s">
        <v>861</v>
      </c>
      <c r="D359" t="s">
        <v>1259</v>
      </c>
      <c r="F359" t="s">
        <v>1283</v>
      </c>
      <c r="G359" t="str">
        <f>+_xlfn.XLOOKUP(D359,'AREA Level 2'!C:C,'AREA Level 2'!B:B)</f>
        <v>CAM_LV2_56</v>
      </c>
    </row>
    <row r="360" spans="1:7">
      <c r="A360" t="s">
        <v>860</v>
      </c>
      <c r="B360" t="s">
        <v>861</v>
      </c>
      <c r="D360" t="s">
        <v>1261</v>
      </c>
      <c r="F360" t="s">
        <v>1284</v>
      </c>
      <c r="G360" t="str">
        <f>+_xlfn.XLOOKUP(D360,'AREA Level 2'!C:C,'AREA Level 2'!B:B)</f>
        <v>CAM_LV2_57</v>
      </c>
    </row>
    <row r="361" spans="1:7">
      <c r="A361" t="s">
        <v>860</v>
      </c>
      <c r="B361" t="s">
        <v>861</v>
      </c>
      <c r="D361" t="s">
        <v>1257</v>
      </c>
      <c r="F361" t="s">
        <v>1285</v>
      </c>
      <c r="G361" t="str">
        <f>+_xlfn.XLOOKUP(D361,'AREA Level 2'!C:C,'AREA Level 2'!B:B)</f>
        <v>CAM_LV2_55</v>
      </c>
    </row>
    <row r="362" spans="1:7">
      <c r="A362" t="s">
        <v>860</v>
      </c>
      <c r="B362" t="s">
        <v>861</v>
      </c>
      <c r="D362" t="s">
        <v>1259</v>
      </c>
      <c r="F362" t="s">
        <v>1286</v>
      </c>
      <c r="G362" t="str">
        <f>+_xlfn.XLOOKUP(D362,'AREA Level 2'!C:C,'AREA Level 2'!B:B)</f>
        <v>CAM_LV2_56</v>
      </c>
    </row>
    <row r="363" spans="1:7">
      <c r="A363" t="s">
        <v>860</v>
      </c>
      <c r="B363" t="s">
        <v>861</v>
      </c>
      <c r="D363" t="s">
        <v>1253</v>
      </c>
      <c r="F363" t="s">
        <v>1287</v>
      </c>
      <c r="G363" t="str">
        <f>+_xlfn.XLOOKUP(D363,'AREA Level 2'!C:C,'AREA Level 2'!B:B)</f>
        <v>CAM_LV2_53</v>
      </c>
    </row>
    <row r="364" spans="1:7">
      <c r="A364" t="s">
        <v>860</v>
      </c>
      <c r="B364" t="s">
        <v>861</v>
      </c>
      <c r="D364" t="s">
        <v>1255</v>
      </c>
      <c r="F364" t="s">
        <v>1288</v>
      </c>
      <c r="G364" t="str">
        <f>+_xlfn.XLOOKUP(D364,'AREA Level 2'!C:C,'AREA Level 2'!B:B)</f>
        <v>CAM_LV2_54</v>
      </c>
    </row>
    <row r="365" spans="1:7">
      <c r="A365" t="s">
        <v>860</v>
      </c>
      <c r="B365" t="s">
        <v>861</v>
      </c>
      <c r="D365" t="s">
        <v>1261</v>
      </c>
      <c r="F365" t="s">
        <v>1289</v>
      </c>
      <c r="G365" t="str">
        <f>+_xlfn.XLOOKUP(D365,'AREA Level 2'!C:C,'AREA Level 2'!B:B)</f>
        <v>CAM_LV2_57</v>
      </c>
    </row>
    <row r="366" spans="1:7">
      <c r="A366">
        <v>0</v>
      </c>
      <c r="G366">
        <f>+_xlfn.XLOOKUP(D366,'AREA Level 2'!C:C,'AREA Level 2'!B:B)</f>
        <v>0</v>
      </c>
    </row>
    <row r="367" spans="1:7">
      <c r="A367">
        <v>0</v>
      </c>
      <c r="G367">
        <f>+_xlfn.XLOOKUP(D367,'AREA Level 2'!C:C,'AREA Level 2'!B:B)</f>
        <v>0</v>
      </c>
    </row>
  </sheetData>
  <autoFilter ref="A2:G367" xr:uid="{24BA633E-519B-4F0D-985D-CD45028FEF86}"/>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44E72-207D-4643-BE5F-A8FF335649DB}">
  <sheetPr>
    <tabColor rgb="FFFF0000"/>
  </sheetPr>
  <dimension ref="A2:E67"/>
  <sheetViews>
    <sheetView workbookViewId="0">
      <selection activeCell="G46" sqref="G46"/>
    </sheetView>
  </sheetViews>
  <sheetFormatPr defaultRowHeight="14.45"/>
  <cols>
    <col min="2" max="2" width="16.5703125" customWidth="1"/>
    <col min="3" max="3" width="28.85546875" customWidth="1"/>
    <col min="4" max="4" width="29.5703125" customWidth="1"/>
    <col min="5" max="5" width="16.5703125" customWidth="1"/>
  </cols>
  <sheetData>
    <row r="2" spans="1:5">
      <c r="A2" t="s">
        <v>839</v>
      </c>
      <c r="B2" s="353" t="s">
        <v>20</v>
      </c>
      <c r="C2" s="353" t="s">
        <v>840</v>
      </c>
      <c r="D2" s="353" t="s">
        <v>841</v>
      </c>
      <c r="E2" s="353" t="s">
        <v>1290</v>
      </c>
    </row>
    <row r="3" spans="1:5">
      <c r="A3">
        <v>1</v>
      </c>
      <c r="B3" t="str">
        <f>_xlfn.CONCAT("CAM_LV2_",A3)</f>
        <v>CAM_LV2_1</v>
      </c>
      <c r="C3" t="s">
        <v>869</v>
      </c>
      <c r="D3" t="s">
        <v>869</v>
      </c>
      <c r="E3" t="str">
        <f>+_xlfn.XLOOKUP(D3,Sheet4!D:D,Sheet4!A:A)</f>
        <v>CAM1</v>
      </c>
    </row>
    <row r="4" spans="1:5">
      <c r="A4">
        <v>2</v>
      </c>
      <c r="B4" t="str">
        <f t="shared" ref="B4:B60" si="0">_xlfn.CONCAT("CAM_LV2_",A4)</f>
        <v>CAM_LV2_2</v>
      </c>
      <c r="C4" t="s">
        <v>872</v>
      </c>
      <c r="D4" t="s">
        <v>872</v>
      </c>
      <c r="E4" t="str">
        <f>+_xlfn.XLOOKUP(D4,Sheet4!D:D,Sheet4!A:A)</f>
        <v>CAM1</v>
      </c>
    </row>
    <row r="5" spans="1:5">
      <c r="A5">
        <v>3</v>
      </c>
      <c r="B5" t="str">
        <f t="shared" si="0"/>
        <v>CAM_LV2_3</v>
      </c>
      <c r="C5" t="s">
        <v>874</v>
      </c>
      <c r="D5" t="s">
        <v>874</v>
      </c>
      <c r="E5" t="str">
        <f>+_xlfn.XLOOKUP(D5,Sheet4!D:D,Sheet4!A:A)</f>
        <v>CAM1</v>
      </c>
    </row>
    <row r="6" spans="1:5">
      <c r="A6">
        <v>4</v>
      </c>
      <c r="B6" t="str">
        <f t="shared" si="0"/>
        <v>CAM_LV2_4</v>
      </c>
      <c r="C6" t="s">
        <v>877</v>
      </c>
      <c r="D6" t="s">
        <v>877</v>
      </c>
      <c r="E6" t="str">
        <f>+_xlfn.XLOOKUP(D6,Sheet4!D:D,Sheet4!A:A)</f>
        <v>CAM1</v>
      </c>
    </row>
    <row r="7" spans="1:5">
      <c r="A7">
        <v>5</v>
      </c>
      <c r="B7" t="str">
        <f t="shared" si="0"/>
        <v>CAM_LV2_5</v>
      </c>
      <c r="C7" t="s">
        <v>887</v>
      </c>
      <c r="D7" t="s">
        <v>887</v>
      </c>
      <c r="E7" t="str">
        <f>+_xlfn.XLOOKUP(D7,Sheet4!D:D,Sheet4!A:A)</f>
        <v>CAM1</v>
      </c>
    </row>
    <row r="8" spans="1:5">
      <c r="A8">
        <v>6</v>
      </c>
      <c r="B8" t="str">
        <f t="shared" si="0"/>
        <v>CAM_LV2_6</v>
      </c>
      <c r="C8" t="s">
        <v>895</v>
      </c>
      <c r="D8" t="s">
        <v>895</v>
      </c>
      <c r="E8" t="str">
        <f>+_xlfn.XLOOKUP(D8,Sheet4!D:D,Sheet4!A:A)</f>
        <v>CAM2</v>
      </c>
    </row>
    <row r="9" spans="1:5">
      <c r="A9">
        <v>7</v>
      </c>
      <c r="B9" t="str">
        <f t="shared" si="0"/>
        <v>CAM_LV2_7</v>
      </c>
      <c r="C9" t="s">
        <v>897</v>
      </c>
      <c r="D9" t="s">
        <v>897</v>
      </c>
      <c r="E9" t="str">
        <f>+_xlfn.XLOOKUP(D9,Sheet4!D:D,Sheet4!A:A)</f>
        <v>CAM2</v>
      </c>
    </row>
    <row r="10" spans="1:5">
      <c r="A10">
        <v>8</v>
      </c>
      <c r="B10" t="str">
        <f t="shared" si="0"/>
        <v>CAM_LV2_8</v>
      </c>
      <c r="C10" t="s">
        <v>899</v>
      </c>
      <c r="D10" t="s">
        <v>899</v>
      </c>
      <c r="E10" t="str">
        <f>+_xlfn.XLOOKUP(D10,Sheet4!D:D,Sheet4!A:A)</f>
        <v>CAM2</v>
      </c>
    </row>
    <row r="11" spans="1:5">
      <c r="A11">
        <v>9</v>
      </c>
      <c r="B11" t="str">
        <f t="shared" si="0"/>
        <v>CAM_LV2_9</v>
      </c>
      <c r="C11" t="s">
        <v>901</v>
      </c>
      <c r="D11" t="s">
        <v>901</v>
      </c>
      <c r="E11" t="str">
        <f>+_xlfn.XLOOKUP(D11,Sheet4!D:D,Sheet4!A:A)</f>
        <v>CAM2</v>
      </c>
    </row>
    <row r="12" spans="1:5">
      <c r="A12">
        <v>10</v>
      </c>
      <c r="B12" t="str">
        <f t="shared" si="0"/>
        <v>CAM_LV2_10</v>
      </c>
      <c r="C12" t="s">
        <v>906</v>
      </c>
      <c r="D12" t="s">
        <v>906</v>
      </c>
      <c r="E12" t="str">
        <f>+_xlfn.XLOOKUP(D12,Sheet4!D:D,Sheet4!A:A)</f>
        <v>CAM2</v>
      </c>
    </row>
    <row r="13" spans="1:5">
      <c r="A13">
        <v>11</v>
      </c>
      <c r="B13" t="str">
        <f t="shared" si="0"/>
        <v>CAM_LV2_11</v>
      </c>
      <c r="C13" t="s">
        <v>908</v>
      </c>
      <c r="D13" t="s">
        <v>908</v>
      </c>
      <c r="E13" t="str">
        <f>+_xlfn.XLOOKUP(D13,Sheet4!D:D,Sheet4!A:A)</f>
        <v>CAM2</v>
      </c>
    </row>
    <row r="14" spans="1:5">
      <c r="A14">
        <v>12</v>
      </c>
      <c r="B14" t="str">
        <f t="shared" si="0"/>
        <v>CAM_LV2_12</v>
      </c>
      <c r="C14" t="s">
        <v>910</v>
      </c>
      <c r="D14" t="s">
        <v>910</v>
      </c>
      <c r="E14" t="str">
        <f>+_xlfn.XLOOKUP(D14,Sheet4!D:D,Sheet4!A:A)</f>
        <v>CAM2</v>
      </c>
    </row>
    <row r="15" spans="1:5">
      <c r="A15">
        <v>13</v>
      </c>
      <c r="B15" t="str">
        <f t="shared" si="0"/>
        <v>CAM_LV2_13</v>
      </c>
      <c r="C15" t="s">
        <v>913</v>
      </c>
      <c r="D15" t="s">
        <v>913</v>
      </c>
      <c r="E15" t="str">
        <f>+_xlfn.XLOOKUP(D15,Sheet4!D:D,Sheet4!A:A)</f>
        <v>CAM2</v>
      </c>
    </row>
    <row r="16" spans="1:5">
      <c r="A16">
        <v>14</v>
      </c>
      <c r="B16" t="str">
        <f t="shared" si="0"/>
        <v>CAM_LV2_14</v>
      </c>
      <c r="C16" t="s">
        <v>937</v>
      </c>
      <c r="D16" t="s">
        <v>937</v>
      </c>
      <c r="E16" t="str">
        <f>+_xlfn.XLOOKUP(D16,Sheet4!D:D,Sheet4!A:A)</f>
        <v>CAM2</v>
      </c>
    </row>
    <row r="17" spans="1:5">
      <c r="A17">
        <v>15</v>
      </c>
      <c r="B17" t="str">
        <f t="shared" si="0"/>
        <v>CAM_LV2_15</v>
      </c>
      <c r="C17" t="s">
        <v>966</v>
      </c>
      <c r="D17" t="s">
        <v>966</v>
      </c>
      <c r="E17" t="str">
        <f>+_xlfn.XLOOKUP(D17,Sheet4!D:D,Sheet4!A:A)</f>
        <v>CAM2</v>
      </c>
    </row>
    <row r="18" spans="1:5">
      <c r="A18">
        <v>16</v>
      </c>
      <c r="B18" t="str">
        <f t="shared" si="0"/>
        <v>CAM_LV2_16</v>
      </c>
      <c r="C18" t="s">
        <v>975</v>
      </c>
      <c r="D18" t="s">
        <v>975</v>
      </c>
      <c r="E18" t="str">
        <f>+_xlfn.XLOOKUP(D18,Sheet4!D:D,Sheet4!A:A)</f>
        <v>CAM3</v>
      </c>
    </row>
    <row r="19" spans="1:5">
      <c r="A19">
        <v>17</v>
      </c>
      <c r="B19" t="str">
        <f t="shared" si="0"/>
        <v>CAM_LV2_17</v>
      </c>
      <c r="C19" t="s">
        <v>977</v>
      </c>
      <c r="D19" t="s">
        <v>977</v>
      </c>
      <c r="E19" t="str">
        <f>+_xlfn.XLOOKUP(D19,Sheet4!D:D,Sheet4!A:A)</f>
        <v>CAM3</v>
      </c>
    </row>
    <row r="20" spans="1:5">
      <c r="A20">
        <v>18</v>
      </c>
      <c r="B20" t="str">
        <f t="shared" si="0"/>
        <v>CAM_LV2_18</v>
      </c>
      <c r="C20" t="s">
        <v>982</v>
      </c>
      <c r="D20" t="s">
        <v>982</v>
      </c>
      <c r="E20" t="str">
        <f>+_xlfn.XLOOKUP(D20,Sheet4!D:D,Sheet4!A:A)</f>
        <v>CAM3</v>
      </c>
    </row>
    <row r="21" spans="1:5">
      <c r="A21">
        <v>19</v>
      </c>
      <c r="B21" t="str">
        <f t="shared" si="0"/>
        <v>CAM_LV2_19</v>
      </c>
      <c r="C21" t="s">
        <v>992</v>
      </c>
      <c r="D21" t="s">
        <v>992</v>
      </c>
      <c r="E21" t="str">
        <f>+_xlfn.XLOOKUP(D21,Sheet4!D:D,Sheet4!A:A)</f>
        <v>CAM3</v>
      </c>
    </row>
    <row r="22" spans="1:5">
      <c r="A22">
        <v>20</v>
      </c>
      <c r="B22" t="str">
        <f t="shared" si="0"/>
        <v>CAM_LV2_20</v>
      </c>
      <c r="C22" t="s">
        <v>1013</v>
      </c>
      <c r="D22" t="s">
        <v>1013</v>
      </c>
      <c r="E22" t="str">
        <f>+_xlfn.XLOOKUP(D22,Sheet4!D:D,Sheet4!A:A)</f>
        <v>CAM4</v>
      </c>
    </row>
    <row r="23" spans="1:5">
      <c r="A23">
        <v>21</v>
      </c>
      <c r="B23" t="str">
        <f t="shared" si="0"/>
        <v>CAM_LV2_21</v>
      </c>
      <c r="C23" t="s">
        <v>1018</v>
      </c>
      <c r="D23" t="s">
        <v>1018</v>
      </c>
      <c r="E23" t="str">
        <f>+_xlfn.XLOOKUP(D23,Sheet4!D:D,Sheet4!A:A)</f>
        <v>CAM4</v>
      </c>
    </row>
    <row r="24" spans="1:5">
      <c r="A24">
        <v>22</v>
      </c>
      <c r="B24" t="str">
        <f t="shared" si="0"/>
        <v>CAM_LV2_22</v>
      </c>
      <c r="C24" t="s">
        <v>1020</v>
      </c>
      <c r="D24" t="s">
        <v>1020</v>
      </c>
      <c r="E24" t="str">
        <f>+_xlfn.XLOOKUP(D24,Sheet4!D:D,Sheet4!A:A)</f>
        <v>CAM4</v>
      </c>
    </row>
    <row r="25" spans="1:5">
      <c r="A25">
        <v>23</v>
      </c>
      <c r="B25" t="str">
        <f t="shared" si="0"/>
        <v>CAM_LV2_23</v>
      </c>
      <c r="C25" t="s">
        <v>1022</v>
      </c>
      <c r="D25" t="s">
        <v>1022</v>
      </c>
      <c r="E25" t="str">
        <f>+_xlfn.XLOOKUP(D25,Sheet4!D:D,Sheet4!A:A)</f>
        <v>CAM4</v>
      </c>
    </row>
    <row r="26" spans="1:5">
      <c r="A26">
        <v>24</v>
      </c>
      <c r="B26" t="str">
        <f t="shared" si="0"/>
        <v>CAM_LV2_24</v>
      </c>
      <c r="C26" t="s">
        <v>1026</v>
      </c>
      <c r="D26" t="s">
        <v>1026</v>
      </c>
      <c r="E26" t="str">
        <f>+_xlfn.XLOOKUP(D26,Sheet4!D:D,Sheet4!A:A)</f>
        <v>CAM4</v>
      </c>
    </row>
    <row r="27" spans="1:5">
      <c r="A27">
        <v>25</v>
      </c>
      <c r="B27" t="str">
        <f t="shared" si="0"/>
        <v>CAM_LV2_25</v>
      </c>
      <c r="C27" t="s">
        <v>1042</v>
      </c>
      <c r="D27" t="s">
        <v>1042</v>
      </c>
      <c r="E27" t="str">
        <f>+_xlfn.XLOOKUP(D27,Sheet4!D:D,Sheet4!A:A)</f>
        <v>CAM4</v>
      </c>
    </row>
    <row r="28" spans="1:5">
      <c r="A28">
        <v>26</v>
      </c>
      <c r="B28" t="str">
        <f t="shared" si="0"/>
        <v>CAM_LV2_26</v>
      </c>
      <c r="C28" t="s">
        <v>1067</v>
      </c>
      <c r="D28" t="s">
        <v>1067</v>
      </c>
      <c r="E28" t="str">
        <f>+_xlfn.XLOOKUP(D28,Sheet4!D:D,Sheet4!A:A)</f>
        <v>CAM5</v>
      </c>
    </row>
    <row r="29" spans="1:5">
      <c r="A29">
        <v>27</v>
      </c>
      <c r="B29" t="str">
        <f t="shared" si="0"/>
        <v>CAM_LV2_27</v>
      </c>
      <c r="C29" t="s">
        <v>1070</v>
      </c>
      <c r="D29" t="s">
        <v>1070</v>
      </c>
      <c r="E29" t="str">
        <f>+_xlfn.XLOOKUP(D29,Sheet4!D:D,Sheet4!A:A)</f>
        <v>CAM5</v>
      </c>
    </row>
    <row r="30" spans="1:5">
      <c r="A30">
        <v>28</v>
      </c>
      <c r="B30" t="str">
        <f t="shared" si="0"/>
        <v>CAM_LV2_28</v>
      </c>
      <c r="C30" t="s">
        <v>1074</v>
      </c>
      <c r="D30" t="s">
        <v>1074</v>
      </c>
      <c r="E30" t="str">
        <f>+_xlfn.XLOOKUP(D30,Sheet4!D:D,Sheet4!A:A)</f>
        <v>CAM5</v>
      </c>
    </row>
    <row r="31" spans="1:5">
      <c r="A31">
        <v>29</v>
      </c>
      <c r="B31" t="str">
        <f t="shared" si="0"/>
        <v>CAM_LV2_29</v>
      </c>
      <c r="C31" t="s">
        <v>1095</v>
      </c>
      <c r="D31" t="s">
        <v>1095</v>
      </c>
      <c r="E31" t="str">
        <f>+_xlfn.XLOOKUP(D31,Sheet4!D:D,Sheet4!A:A)</f>
        <v>CAM5</v>
      </c>
    </row>
    <row r="32" spans="1:5">
      <c r="A32">
        <v>30</v>
      </c>
      <c r="B32" t="str">
        <f t="shared" si="0"/>
        <v>CAM_LV2_30</v>
      </c>
      <c r="C32" t="s">
        <v>1105</v>
      </c>
      <c r="D32" t="s">
        <v>1105</v>
      </c>
      <c r="E32" t="str">
        <f>+_xlfn.XLOOKUP(D32,Sheet4!D:D,Sheet4!A:A)</f>
        <v>CAM6</v>
      </c>
    </row>
    <row r="33" spans="1:5">
      <c r="A33">
        <v>31</v>
      </c>
      <c r="B33" t="str">
        <f t="shared" si="0"/>
        <v>CAM_LV2_31</v>
      </c>
      <c r="C33" t="s">
        <v>1107</v>
      </c>
      <c r="D33" t="s">
        <v>1107</v>
      </c>
      <c r="E33" t="str">
        <f>+_xlfn.XLOOKUP(D33,Sheet4!D:D,Sheet4!A:A)</f>
        <v>CAM6</v>
      </c>
    </row>
    <row r="34" spans="1:5">
      <c r="A34">
        <v>32</v>
      </c>
      <c r="B34" t="str">
        <f t="shared" si="0"/>
        <v>CAM_LV2_32</v>
      </c>
      <c r="C34" t="s">
        <v>1112</v>
      </c>
      <c r="D34" t="s">
        <v>1112</v>
      </c>
      <c r="E34" t="str">
        <f>+_xlfn.XLOOKUP(D34,Sheet4!D:D,Sheet4!A:A)</f>
        <v>CAM6</v>
      </c>
    </row>
    <row r="35" spans="1:5">
      <c r="A35">
        <v>33</v>
      </c>
      <c r="B35" t="str">
        <f t="shared" si="0"/>
        <v>CAM_LV2_33</v>
      </c>
      <c r="C35" t="s">
        <v>1119</v>
      </c>
      <c r="D35" t="s">
        <v>1119</v>
      </c>
      <c r="E35" t="str">
        <f>+_xlfn.XLOOKUP(D35,Sheet4!D:D,Sheet4!A:A)</f>
        <v>CAM6</v>
      </c>
    </row>
    <row r="36" spans="1:5">
      <c r="A36">
        <v>34</v>
      </c>
      <c r="B36" t="str">
        <f t="shared" si="0"/>
        <v>CAM_LV2_34</v>
      </c>
      <c r="C36" t="s">
        <v>1130</v>
      </c>
      <c r="D36" t="s">
        <v>1130</v>
      </c>
      <c r="E36" t="str">
        <f>+_xlfn.XLOOKUP(D36,Sheet4!D:D,Sheet4!A:A)</f>
        <v>CAM7</v>
      </c>
    </row>
    <row r="37" spans="1:5">
      <c r="A37">
        <v>35</v>
      </c>
      <c r="B37" t="str">
        <f t="shared" si="0"/>
        <v>CAM_LV2_35</v>
      </c>
      <c r="C37" t="s">
        <v>1132</v>
      </c>
      <c r="D37" t="s">
        <v>1132</v>
      </c>
      <c r="E37" t="str">
        <f>+_xlfn.XLOOKUP(D37,Sheet4!D:D,Sheet4!A:A)</f>
        <v>CAM7</v>
      </c>
    </row>
    <row r="38" spans="1:5">
      <c r="A38">
        <v>36</v>
      </c>
      <c r="B38" t="str">
        <f t="shared" si="0"/>
        <v>CAM_LV2_36</v>
      </c>
      <c r="C38" t="s">
        <v>1134</v>
      </c>
      <c r="D38" t="s">
        <v>1134</v>
      </c>
      <c r="E38" t="str">
        <f>+_xlfn.XLOOKUP(D38,Sheet4!D:D,Sheet4!A:A)</f>
        <v>CAM7</v>
      </c>
    </row>
    <row r="39" spans="1:5">
      <c r="A39">
        <v>37</v>
      </c>
      <c r="B39" t="str">
        <f t="shared" si="0"/>
        <v>CAM_LV2_37</v>
      </c>
      <c r="C39" t="s">
        <v>1136</v>
      </c>
      <c r="D39" t="s">
        <v>1136</v>
      </c>
      <c r="E39" t="str">
        <f>+_xlfn.XLOOKUP(D39,Sheet4!D:D,Sheet4!A:A)</f>
        <v>CAM7</v>
      </c>
    </row>
    <row r="40" spans="1:5">
      <c r="A40">
        <v>38</v>
      </c>
      <c r="B40" t="str">
        <f t="shared" si="0"/>
        <v>CAM_LV2_38</v>
      </c>
      <c r="C40" t="s">
        <v>1145</v>
      </c>
      <c r="D40" t="s">
        <v>1145</v>
      </c>
      <c r="E40" t="str">
        <f>+_xlfn.XLOOKUP(D40,Sheet4!D:D,Sheet4!A:A)</f>
        <v>CAM7</v>
      </c>
    </row>
    <row r="41" spans="1:5">
      <c r="A41">
        <v>39</v>
      </c>
      <c r="B41" t="str">
        <f t="shared" si="0"/>
        <v>CAM_LV2_39</v>
      </c>
      <c r="C41" t="s">
        <v>1149</v>
      </c>
      <c r="D41" t="s">
        <v>1149</v>
      </c>
      <c r="E41" t="str">
        <f>+_xlfn.XLOOKUP(D41,Sheet4!D:D,Sheet4!A:A)</f>
        <v>CAM7</v>
      </c>
    </row>
    <row r="42" spans="1:5">
      <c r="A42">
        <v>40</v>
      </c>
      <c r="B42" t="str">
        <f t="shared" si="0"/>
        <v>CAM_LV2_40</v>
      </c>
      <c r="C42" t="s">
        <v>1152</v>
      </c>
      <c r="D42" t="s">
        <v>1152</v>
      </c>
      <c r="E42" t="str">
        <f>+_xlfn.XLOOKUP(D42,Sheet4!D:D,Sheet4!A:A)</f>
        <v>CAM7</v>
      </c>
    </row>
    <row r="43" spans="1:5">
      <c r="A43">
        <v>41</v>
      </c>
      <c r="B43" t="str">
        <f t="shared" si="0"/>
        <v>CAM_LV2_41</v>
      </c>
      <c r="C43" t="s">
        <v>1172</v>
      </c>
      <c r="D43" t="s">
        <v>1172</v>
      </c>
      <c r="E43" t="str">
        <f>+_xlfn.XLOOKUP(D43,Sheet4!D:D,Sheet4!A:A)</f>
        <v>CAM8</v>
      </c>
    </row>
    <row r="44" spans="1:5">
      <c r="A44">
        <v>42</v>
      </c>
      <c r="B44" t="str">
        <f t="shared" si="0"/>
        <v>CAM_LV2_42</v>
      </c>
      <c r="C44" t="s">
        <v>1174</v>
      </c>
      <c r="D44" t="s">
        <v>1174</v>
      </c>
      <c r="E44" t="str">
        <f>+_xlfn.XLOOKUP(D44,Sheet4!D:D,Sheet4!A:A)</f>
        <v>CAM8</v>
      </c>
    </row>
    <row r="45" spans="1:5">
      <c r="A45">
        <v>43</v>
      </c>
      <c r="B45" t="str">
        <f t="shared" si="0"/>
        <v>CAM_LV2_43</v>
      </c>
      <c r="C45" t="s">
        <v>1176</v>
      </c>
      <c r="D45" t="s">
        <v>1176</v>
      </c>
      <c r="E45" t="str">
        <f>+_xlfn.XLOOKUP(D45,Sheet4!D:D,Sheet4!A:A)</f>
        <v>CAM8</v>
      </c>
    </row>
    <row r="46" spans="1:5">
      <c r="A46">
        <v>44</v>
      </c>
      <c r="B46" t="str">
        <f t="shared" si="0"/>
        <v>CAM_LV2_44</v>
      </c>
      <c r="C46" t="s">
        <v>1180</v>
      </c>
      <c r="D46" t="s">
        <v>1180</v>
      </c>
      <c r="E46" t="str">
        <f>+_xlfn.XLOOKUP(D46,Sheet4!D:D,Sheet4!A:A)</f>
        <v>CAM8</v>
      </c>
    </row>
    <row r="47" spans="1:5">
      <c r="A47">
        <v>45</v>
      </c>
      <c r="B47" t="str">
        <f t="shared" si="0"/>
        <v>CAM_LV2_45</v>
      </c>
      <c r="C47" t="s">
        <v>1186</v>
      </c>
      <c r="D47" t="s">
        <v>1186</v>
      </c>
      <c r="E47" t="str">
        <f>+_xlfn.XLOOKUP(D47,Sheet4!D:D,Sheet4!A:A)</f>
        <v>CAM8</v>
      </c>
    </row>
    <row r="48" spans="1:5">
      <c r="A48">
        <v>46</v>
      </c>
      <c r="B48" t="str">
        <f t="shared" si="0"/>
        <v>CAM_LV2_46</v>
      </c>
      <c r="C48" t="s">
        <v>1189</v>
      </c>
      <c r="D48" t="s">
        <v>1189</v>
      </c>
      <c r="E48" t="str">
        <f>+_xlfn.XLOOKUP(D48,Sheet4!D:D,Sheet4!A:A)</f>
        <v>CAM8</v>
      </c>
    </row>
    <row r="49" spans="1:5">
      <c r="A49">
        <v>47</v>
      </c>
      <c r="B49" t="str">
        <f t="shared" si="0"/>
        <v>CAM_LV2_47</v>
      </c>
      <c r="C49" t="s">
        <v>1196</v>
      </c>
      <c r="D49" t="s">
        <v>1196</v>
      </c>
      <c r="E49" t="str">
        <f>+_xlfn.XLOOKUP(D49,Sheet4!D:D,Sheet4!A:A)</f>
        <v>CAM8</v>
      </c>
    </row>
    <row r="50" spans="1:5">
      <c r="A50">
        <v>48</v>
      </c>
      <c r="B50" t="str">
        <f t="shared" si="0"/>
        <v>CAM_LV2_48</v>
      </c>
      <c r="C50" t="s">
        <v>1200</v>
      </c>
      <c r="D50" t="s">
        <v>1200</v>
      </c>
      <c r="E50" t="str">
        <f>+_xlfn.XLOOKUP(D50,Sheet4!D:D,Sheet4!A:A)</f>
        <v>CAM8</v>
      </c>
    </row>
    <row r="51" spans="1:5">
      <c r="A51">
        <v>49</v>
      </c>
      <c r="B51" t="str">
        <f t="shared" si="0"/>
        <v>CAM_LV2_49</v>
      </c>
      <c r="C51" t="s">
        <v>1220</v>
      </c>
      <c r="D51" t="s">
        <v>1220</v>
      </c>
      <c r="E51" t="str">
        <f>+_xlfn.XLOOKUP(D51,Sheet4!D:D,Sheet4!A:A)</f>
        <v>CAM9</v>
      </c>
    </row>
    <row r="52" spans="1:5">
      <c r="A52">
        <v>50</v>
      </c>
      <c r="B52" t="str">
        <f t="shared" si="0"/>
        <v>CAM_LV2_50</v>
      </c>
      <c r="C52" t="s">
        <v>1222</v>
      </c>
      <c r="D52" t="s">
        <v>1222</v>
      </c>
      <c r="E52" t="str">
        <f>+_xlfn.XLOOKUP(D52,Sheet4!D:D,Sheet4!A:A)</f>
        <v>CAM9</v>
      </c>
    </row>
    <row r="53" spans="1:5">
      <c r="A53">
        <v>51</v>
      </c>
      <c r="B53" t="str">
        <f t="shared" si="0"/>
        <v>CAM_LV2_51</v>
      </c>
      <c r="C53" t="s">
        <v>1224</v>
      </c>
      <c r="D53" t="s">
        <v>1224</v>
      </c>
      <c r="E53" t="str">
        <f>+_xlfn.XLOOKUP(D53,Sheet4!D:D,Sheet4!A:A)</f>
        <v>CAM9</v>
      </c>
    </row>
    <row r="54" spans="1:5">
      <c r="A54">
        <v>52</v>
      </c>
      <c r="B54" t="str">
        <f t="shared" si="0"/>
        <v>CAM_LV2_52</v>
      </c>
      <c r="C54" t="s">
        <v>1227</v>
      </c>
      <c r="D54" t="s">
        <v>1227</v>
      </c>
      <c r="E54" t="str">
        <f>+_xlfn.XLOOKUP(D54,Sheet4!D:D,Sheet4!A:A)</f>
        <v>CAM9</v>
      </c>
    </row>
    <row r="55" spans="1:5">
      <c r="A55">
        <v>53</v>
      </c>
      <c r="B55" t="str">
        <f t="shared" si="0"/>
        <v>CAM_LV2_53</v>
      </c>
      <c r="C55" t="s">
        <v>1253</v>
      </c>
      <c r="D55" t="s">
        <v>1253</v>
      </c>
      <c r="E55" t="str">
        <f>+_xlfn.XLOOKUP(D55,Sheet4!D:D,Sheet4!A:A)</f>
        <v>CAM10</v>
      </c>
    </row>
    <row r="56" spans="1:5">
      <c r="A56">
        <v>54</v>
      </c>
      <c r="B56" t="str">
        <f t="shared" si="0"/>
        <v>CAM_LV2_54</v>
      </c>
      <c r="C56" t="s">
        <v>1255</v>
      </c>
      <c r="D56" t="s">
        <v>1255</v>
      </c>
      <c r="E56" t="str">
        <f>+_xlfn.XLOOKUP(D56,Sheet4!D:D,Sheet4!A:A)</f>
        <v>CAM10</v>
      </c>
    </row>
    <row r="57" spans="1:5">
      <c r="A57">
        <v>55</v>
      </c>
      <c r="B57" t="str">
        <f t="shared" si="0"/>
        <v>CAM_LV2_55</v>
      </c>
      <c r="C57" t="s">
        <v>1257</v>
      </c>
      <c r="D57" t="s">
        <v>1257</v>
      </c>
      <c r="E57" t="str">
        <f>+_xlfn.XLOOKUP(D57,Sheet4!D:D,Sheet4!A:A)</f>
        <v>CAM10</v>
      </c>
    </row>
    <row r="58" spans="1:5">
      <c r="A58">
        <v>56</v>
      </c>
      <c r="B58" t="str">
        <f t="shared" si="0"/>
        <v>CAM_LV2_56</v>
      </c>
      <c r="C58" t="s">
        <v>1259</v>
      </c>
      <c r="D58" t="s">
        <v>1259</v>
      </c>
      <c r="E58" t="str">
        <f>+_xlfn.XLOOKUP(D58,Sheet4!D:D,Sheet4!A:A)</f>
        <v>CAM10</v>
      </c>
    </row>
    <row r="59" spans="1:5">
      <c r="A59">
        <v>57</v>
      </c>
      <c r="B59" t="str">
        <f t="shared" si="0"/>
        <v>CAM_LV2_57</v>
      </c>
      <c r="C59" t="s">
        <v>1261</v>
      </c>
      <c r="D59" t="s">
        <v>1261</v>
      </c>
      <c r="E59" t="str">
        <f>+_xlfn.XLOOKUP(D59,Sheet4!D:D,Sheet4!A:A)</f>
        <v>CAM10</v>
      </c>
    </row>
    <row r="60" spans="1:5">
      <c r="A60">
        <v>58</v>
      </c>
      <c r="B60" t="str">
        <f t="shared" si="0"/>
        <v>CAM_LV2_58</v>
      </c>
      <c r="C60" t="s">
        <v>1271</v>
      </c>
      <c r="D60" t="s">
        <v>1271</v>
      </c>
      <c r="E60" t="str">
        <f>+_xlfn.XLOOKUP(D60,Sheet4!D:D,Sheet4!A:A)</f>
        <v>CAM10</v>
      </c>
    </row>
    <row r="61" spans="1:5">
      <c r="A61">
        <v>59</v>
      </c>
    </row>
    <row r="62" spans="1:5">
      <c r="A62">
        <v>60</v>
      </c>
    </row>
    <row r="63" spans="1:5">
      <c r="A63">
        <v>61</v>
      </c>
    </row>
    <row r="64" spans="1:5">
      <c r="A64">
        <v>62</v>
      </c>
    </row>
    <row r="65" spans="1:1">
      <c r="A65">
        <v>63</v>
      </c>
    </row>
    <row r="66" spans="1:1">
      <c r="A66">
        <v>64</v>
      </c>
    </row>
    <row r="67" spans="1:1">
      <c r="A67">
        <v>65</v>
      </c>
    </row>
  </sheetData>
  <autoFilter ref="A2:E60" xr:uid="{98B44E72-207D-4643-BE5F-A8FF335649DB}"/>
  <conditionalFormatting sqref="B2">
    <cfRule type="duplicateValues" dxfId="34" priority="1"/>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09C9A-1CEA-449E-AACB-68A5FA4640D3}">
  <sheetPr codeName="Sheet24">
    <tabColor rgb="FFFF0000"/>
  </sheetPr>
  <dimension ref="A1:AD175"/>
  <sheetViews>
    <sheetView zoomScale="85" zoomScaleNormal="85" workbookViewId="0">
      <selection activeCell="J13" sqref="J13"/>
    </sheetView>
  </sheetViews>
  <sheetFormatPr defaultColWidth="8.7109375" defaultRowHeight="14.45"/>
  <cols>
    <col min="1" max="1" width="8.5703125" customWidth="1"/>
    <col min="2" max="3" width="12.5703125" style="73" customWidth="1"/>
    <col min="4" max="4" width="43.5703125" style="73" customWidth="1"/>
    <col min="5" max="5" width="42" bestFit="1" customWidth="1"/>
    <col min="6" max="6" width="7.42578125" customWidth="1"/>
    <col min="7" max="7" width="42" bestFit="1" customWidth="1"/>
    <col min="8" max="8" width="5.5703125" customWidth="1"/>
    <col min="9" max="19" width="8.5703125" customWidth="1"/>
    <col min="20" max="30" width="8.7109375" customWidth="1"/>
  </cols>
  <sheetData>
    <row r="1" spans="2:7" ht="15">
      <c r="B1" s="226" t="s">
        <v>16</v>
      </c>
      <c r="C1" s="226" t="s">
        <v>1291</v>
      </c>
      <c r="D1" s="226" t="s">
        <v>1292</v>
      </c>
      <c r="E1" s="226" t="s">
        <v>1293</v>
      </c>
      <c r="F1" s="226"/>
      <c r="G1" s="226" t="s">
        <v>1294</v>
      </c>
    </row>
    <row r="2" spans="2:7" ht="15">
      <c r="B2" s="115" t="s">
        <v>279</v>
      </c>
      <c r="C2" s="225" t="s">
        <v>1295</v>
      </c>
      <c r="D2" s="362" t="s">
        <v>1296</v>
      </c>
      <c r="E2" s="32" t="s">
        <v>283</v>
      </c>
      <c r="F2" s="211"/>
      <c r="G2" s="32"/>
    </row>
    <row r="3" spans="2:7">
      <c r="B3" s="121">
        <v>1</v>
      </c>
      <c r="C3" s="213" t="str">
        <f>CONCATENATE($C$2,"-",B3)</f>
        <v>IR-1</v>
      </c>
      <c r="D3" s="211"/>
      <c r="E3" s="8" t="s">
        <v>1297</v>
      </c>
      <c r="F3" s="211"/>
      <c r="G3" s="8" t="s">
        <v>1298</v>
      </c>
    </row>
    <row r="4" spans="2:7">
      <c r="B4" s="121">
        <v>2</v>
      </c>
      <c r="C4" s="213" t="str">
        <f t="shared" ref="C4:C5" si="0">CONCATENATE($C$2,"-",B4)</f>
        <v>IR-2</v>
      </c>
      <c r="D4" s="211"/>
      <c r="E4" s="8" t="s">
        <v>1299</v>
      </c>
      <c r="F4" s="211"/>
      <c r="G4" s="8" t="s">
        <v>1300</v>
      </c>
    </row>
    <row r="5" spans="2:7">
      <c r="B5" s="121">
        <v>3</v>
      </c>
      <c r="C5" s="213" t="str">
        <f t="shared" si="0"/>
        <v>IR-3</v>
      </c>
      <c r="D5" s="211"/>
      <c r="E5" s="8" t="s">
        <v>731</v>
      </c>
      <c r="F5" s="211"/>
      <c r="G5" s="8" t="s">
        <v>1301</v>
      </c>
    </row>
    <row r="6" spans="2:7">
      <c r="D6" s="211"/>
      <c r="F6" s="211"/>
    </row>
    <row r="7" spans="2:7">
      <c r="D7" s="211"/>
      <c r="F7" s="211"/>
    </row>
    <row r="8" spans="2:7" ht="15">
      <c r="B8" s="115" t="s">
        <v>292</v>
      </c>
      <c r="C8" s="115" t="s">
        <v>1302</v>
      </c>
      <c r="D8" s="362" t="s">
        <v>1303</v>
      </c>
      <c r="E8" s="32" t="s">
        <v>296</v>
      </c>
      <c r="F8" s="211"/>
      <c r="G8" s="32"/>
    </row>
    <row r="9" spans="2:7">
      <c r="B9" s="121">
        <v>1</v>
      </c>
      <c r="C9" s="213" t="str">
        <f>CONCATENATE($C$8,"-",B9)</f>
        <v>CO-1</v>
      </c>
      <c r="D9" s="211"/>
      <c r="E9" s="72" t="s">
        <v>1304</v>
      </c>
      <c r="F9" s="211"/>
      <c r="G9" s="72" t="s">
        <v>1305</v>
      </c>
    </row>
    <row r="10" spans="2:7">
      <c r="B10" s="121">
        <v>2</v>
      </c>
      <c r="C10" s="213" t="str">
        <f t="shared" ref="C10:C12" si="1">CONCATENATE($C$8,"-",B10)</f>
        <v>CO-2</v>
      </c>
      <c r="D10" s="211"/>
      <c r="E10" s="8" t="s">
        <v>1306</v>
      </c>
      <c r="F10" s="211"/>
      <c r="G10" s="8" t="s">
        <v>1307</v>
      </c>
    </row>
    <row r="11" spans="2:7">
      <c r="B11" s="121">
        <v>3</v>
      </c>
      <c r="C11" s="213" t="str">
        <f t="shared" si="1"/>
        <v>CO-3</v>
      </c>
      <c r="D11" s="211"/>
      <c r="E11" s="8" t="s">
        <v>1308</v>
      </c>
      <c r="F11" s="211"/>
      <c r="G11" s="8" t="s">
        <v>1309</v>
      </c>
    </row>
    <row r="12" spans="2:7">
      <c r="B12" s="121">
        <v>4</v>
      </c>
      <c r="C12" s="213" t="str">
        <f t="shared" si="1"/>
        <v>CO-4</v>
      </c>
      <c r="D12" s="211"/>
      <c r="E12" s="8" t="s">
        <v>1310</v>
      </c>
      <c r="F12" s="211"/>
      <c r="G12" s="8" t="s">
        <v>1311</v>
      </c>
    </row>
    <row r="13" spans="2:7">
      <c r="D13" s="211"/>
      <c r="F13" s="211"/>
    </row>
    <row r="14" spans="2:7">
      <c r="D14" s="211"/>
      <c r="F14" s="211"/>
    </row>
    <row r="15" spans="2:7" ht="15">
      <c r="B15" s="115" t="s">
        <v>110</v>
      </c>
      <c r="C15" s="225" t="s">
        <v>1312</v>
      </c>
      <c r="D15" s="362" t="s">
        <v>1313</v>
      </c>
      <c r="E15" s="32" t="s">
        <v>301</v>
      </c>
      <c r="F15" s="211"/>
      <c r="G15" s="32" t="s">
        <v>301</v>
      </c>
    </row>
    <row r="16" spans="2:7">
      <c r="B16" s="121">
        <v>1</v>
      </c>
      <c r="C16" s="213" t="str">
        <f>CONCATENATE($C$15,"-",B16)</f>
        <v>SEG-1</v>
      </c>
      <c r="D16" s="211"/>
      <c r="E16" s="72" t="s">
        <v>1314</v>
      </c>
      <c r="F16" s="211"/>
      <c r="G16" s="72" t="s">
        <v>1315</v>
      </c>
    </row>
    <row r="17" spans="2:7">
      <c r="B17" s="121">
        <v>2</v>
      </c>
      <c r="C17" s="213" t="str">
        <f>CONCATENATE($C$15,"-",B17)</f>
        <v>SEG-2</v>
      </c>
      <c r="D17" s="211"/>
      <c r="E17" s="72" t="s">
        <v>1316</v>
      </c>
      <c r="F17" s="211"/>
      <c r="G17" s="72" t="s">
        <v>1317</v>
      </c>
    </row>
    <row r="18" spans="2:7">
      <c r="B18" s="121"/>
      <c r="C18" s="121"/>
      <c r="D18" s="211"/>
      <c r="E18" s="72"/>
      <c r="F18" s="211"/>
      <c r="G18" s="72"/>
    </row>
    <row r="19" spans="2:7">
      <c r="D19" s="211"/>
      <c r="F19" s="211"/>
    </row>
    <row r="20" spans="2:7" ht="15">
      <c r="B20" s="210" t="s">
        <v>332</v>
      </c>
      <c r="C20" s="210" t="s">
        <v>1318</v>
      </c>
      <c r="D20" s="362" t="s">
        <v>1319</v>
      </c>
      <c r="E20" s="212" t="s">
        <v>1320</v>
      </c>
      <c r="F20" s="211"/>
      <c r="G20" s="212"/>
    </row>
    <row r="21" spans="2:7">
      <c r="B21" s="213">
        <v>1</v>
      </c>
      <c r="C21" s="213" t="str">
        <f>CONCATENATE($C$20,"-",B21)</f>
        <v>DIS-1</v>
      </c>
      <c r="D21" s="211"/>
      <c r="E21" s="214" t="s">
        <v>1321</v>
      </c>
      <c r="F21" s="211"/>
      <c r="G21" s="232" t="s">
        <v>1322</v>
      </c>
    </row>
    <row r="22" spans="2:7">
      <c r="B22" s="213">
        <v>2</v>
      </c>
      <c r="C22" s="213" t="str">
        <f>CONCATENATE($C$20,"-",B22)</f>
        <v>DIS-2</v>
      </c>
      <c r="D22" s="211"/>
      <c r="E22" s="214" t="s">
        <v>1323</v>
      </c>
      <c r="F22" s="211"/>
      <c r="G22" s="214" t="s">
        <v>1324</v>
      </c>
    </row>
    <row r="23" spans="2:7">
      <c r="B23" s="213">
        <v>3</v>
      </c>
      <c r="C23" s="213" t="str">
        <f t="shared" ref="C23:C25" si="2">CONCATENATE($C$20,"-",B23)</f>
        <v>DIS-3</v>
      </c>
      <c r="D23" s="211"/>
      <c r="E23" s="214" t="s">
        <v>1325</v>
      </c>
      <c r="F23" s="211"/>
      <c r="G23" s="214" t="s">
        <v>1326</v>
      </c>
    </row>
    <row r="24" spans="2:7">
      <c r="B24" s="213">
        <v>4</v>
      </c>
      <c r="C24" s="213" t="str">
        <f t="shared" si="2"/>
        <v>DIS-4</v>
      </c>
      <c r="D24" s="211"/>
      <c r="E24" s="214" t="s">
        <v>1327</v>
      </c>
      <c r="F24" s="211"/>
      <c r="G24" s="214" t="s">
        <v>1328</v>
      </c>
    </row>
    <row r="25" spans="2:7">
      <c r="B25" s="213">
        <v>5</v>
      </c>
      <c r="C25" s="213" t="str">
        <f t="shared" si="2"/>
        <v>DIS-5</v>
      </c>
      <c r="D25" s="211"/>
      <c r="E25" s="214" t="s">
        <v>1329</v>
      </c>
      <c r="F25" s="211"/>
      <c r="G25" s="214" t="s">
        <v>1330</v>
      </c>
    </row>
    <row r="26" spans="2:7">
      <c r="D26" s="211"/>
      <c r="F26" s="211"/>
    </row>
    <row r="27" spans="2:7" ht="15">
      <c r="B27" s="117" t="s">
        <v>517</v>
      </c>
      <c r="C27" s="117" t="s">
        <v>1331</v>
      </c>
      <c r="D27" s="362" t="s">
        <v>1332</v>
      </c>
      <c r="E27" s="32" t="s">
        <v>521</v>
      </c>
      <c r="F27" s="211"/>
      <c r="G27" s="32"/>
    </row>
    <row r="28" spans="2:7">
      <c r="B28" s="121">
        <v>1</v>
      </c>
      <c r="C28" s="213" t="str">
        <f t="shared" ref="C28:C37" si="3">CONCATENATE($C$27,"-",B28)</f>
        <v>SUS-1</v>
      </c>
      <c r="D28" s="211"/>
      <c r="E28" s="8" t="s">
        <v>1333</v>
      </c>
      <c r="F28" s="211"/>
      <c r="G28" s="8" t="s">
        <v>1334</v>
      </c>
    </row>
    <row r="29" spans="2:7">
      <c r="B29" s="121">
        <v>2</v>
      </c>
      <c r="C29" s="213" t="str">
        <f t="shared" si="3"/>
        <v>SUS-2</v>
      </c>
      <c r="D29" s="211"/>
      <c r="E29" s="8" t="s">
        <v>1335</v>
      </c>
      <c r="F29" s="211"/>
      <c r="G29" s="8" t="s">
        <v>1335</v>
      </c>
    </row>
    <row r="30" spans="2:7">
      <c r="B30" s="121">
        <v>3</v>
      </c>
      <c r="C30" s="213" t="str">
        <f t="shared" si="3"/>
        <v>SUS-3</v>
      </c>
      <c r="D30" s="211"/>
      <c r="E30" s="8" t="s">
        <v>1336</v>
      </c>
      <c r="F30" s="211"/>
      <c r="G30" s="8" t="s">
        <v>1337</v>
      </c>
    </row>
    <row r="31" spans="2:7">
      <c r="B31" s="121">
        <v>4</v>
      </c>
      <c r="C31" s="213" t="str">
        <f t="shared" si="3"/>
        <v>SUS-4</v>
      </c>
      <c r="D31" s="211"/>
      <c r="E31" s="236" t="s">
        <v>1338</v>
      </c>
      <c r="F31" s="233"/>
      <c r="G31" s="236" t="s">
        <v>1339</v>
      </c>
    </row>
    <row r="32" spans="2:7">
      <c r="B32" s="121">
        <v>5</v>
      </c>
      <c r="C32" s="213" t="str">
        <f t="shared" si="3"/>
        <v>SUS-5</v>
      </c>
      <c r="D32" s="211"/>
      <c r="E32" s="236" t="s">
        <v>1340</v>
      </c>
      <c r="F32" s="233"/>
      <c r="G32" s="236" t="s">
        <v>1341</v>
      </c>
    </row>
    <row r="33" spans="2:7">
      <c r="B33" s="121">
        <v>6</v>
      </c>
      <c r="C33" s="213" t="str">
        <f t="shared" si="3"/>
        <v>SUS-6</v>
      </c>
      <c r="D33" s="211"/>
      <c r="E33" s="236" t="s">
        <v>1342</v>
      </c>
      <c r="F33" s="233"/>
      <c r="G33" s="236" t="s">
        <v>1343</v>
      </c>
    </row>
    <row r="34" spans="2:7">
      <c r="B34" s="121">
        <v>7</v>
      </c>
      <c r="C34" s="213" t="str">
        <f t="shared" si="3"/>
        <v>SUS-7</v>
      </c>
      <c r="D34" s="211"/>
      <c r="E34" s="236" t="s">
        <v>1344</v>
      </c>
      <c r="F34" s="233"/>
      <c r="G34" s="236" t="s">
        <v>1344</v>
      </c>
    </row>
    <row r="35" spans="2:7">
      <c r="B35" s="121">
        <v>8</v>
      </c>
      <c r="C35" s="213" t="str">
        <f t="shared" si="3"/>
        <v>SUS-8</v>
      </c>
      <c r="D35" s="211"/>
      <c r="E35" s="236" t="s">
        <v>1345</v>
      </c>
      <c r="F35" s="233"/>
      <c r="G35" s="236" t="s">
        <v>1346</v>
      </c>
    </row>
    <row r="36" spans="2:7">
      <c r="B36" s="121">
        <v>9</v>
      </c>
      <c r="C36" s="213" t="str">
        <f t="shared" si="3"/>
        <v>SUS-9</v>
      </c>
      <c r="D36" s="211"/>
      <c r="E36" s="236" t="s">
        <v>1347</v>
      </c>
      <c r="F36" s="233"/>
      <c r="G36" s="236" t="s">
        <v>1348</v>
      </c>
    </row>
    <row r="37" spans="2:7">
      <c r="B37" s="121">
        <v>10</v>
      </c>
      <c r="C37" s="213" t="str">
        <f t="shared" si="3"/>
        <v>SUS-10</v>
      </c>
      <c r="D37" s="211"/>
      <c r="E37" s="236" t="s">
        <v>1349</v>
      </c>
      <c r="F37" s="233"/>
      <c r="G37" s="236" t="s">
        <v>1350</v>
      </c>
    </row>
    <row r="38" spans="2:7">
      <c r="D38" s="211"/>
      <c r="F38" s="211"/>
    </row>
    <row r="39" spans="2:7" ht="15">
      <c r="B39" s="117" t="s">
        <v>1351</v>
      </c>
      <c r="C39" s="117" t="s">
        <v>1352</v>
      </c>
      <c r="D39" s="362" t="s">
        <v>1353</v>
      </c>
      <c r="E39" s="32" t="s">
        <v>549</v>
      </c>
      <c r="F39" s="211"/>
      <c r="G39" s="32"/>
    </row>
    <row r="40" spans="2:7">
      <c r="B40" s="121">
        <v>2</v>
      </c>
      <c r="C40" s="213" t="str">
        <f>CONCATENATE($C$39,"-",B40)</f>
        <v>SUP-2</v>
      </c>
      <c r="D40" s="211"/>
      <c r="E40" s="359" t="s">
        <v>721</v>
      </c>
      <c r="F40" s="211"/>
      <c r="G40" s="8" t="s">
        <v>721</v>
      </c>
    </row>
    <row r="41" spans="2:7">
      <c r="B41" s="121">
        <v>3</v>
      </c>
      <c r="C41" s="213" t="str">
        <f t="shared" ref="C41:C48" si="4">CONCATENATE($C$39,"-",B41)</f>
        <v>SUP-3</v>
      </c>
      <c r="D41" s="211"/>
      <c r="E41" s="359" t="s">
        <v>723</v>
      </c>
      <c r="F41" s="211"/>
      <c r="G41" s="8" t="s">
        <v>723</v>
      </c>
    </row>
    <row r="42" spans="2:7">
      <c r="B42" s="121">
        <v>4</v>
      </c>
      <c r="C42" s="213" t="str">
        <f t="shared" si="4"/>
        <v>SUP-4</v>
      </c>
      <c r="D42" s="211"/>
      <c r="E42" s="359" t="s">
        <v>725</v>
      </c>
      <c r="F42" s="211"/>
      <c r="G42" s="8" t="s">
        <v>725</v>
      </c>
    </row>
    <row r="43" spans="2:7">
      <c r="B43" s="121">
        <v>5</v>
      </c>
      <c r="C43" s="213" t="str">
        <f t="shared" si="4"/>
        <v>SUP-5</v>
      </c>
      <c r="D43" s="211"/>
      <c r="E43" s="359" t="s">
        <v>727</v>
      </c>
      <c r="F43" s="211"/>
      <c r="G43" s="8" t="s">
        <v>1354</v>
      </c>
    </row>
    <row r="44" spans="2:7">
      <c r="B44" s="121">
        <v>6</v>
      </c>
      <c r="C44" s="213" t="str">
        <f t="shared" si="4"/>
        <v>SUP-6</v>
      </c>
      <c r="D44" s="211"/>
      <c r="E44" s="359" t="s">
        <v>729</v>
      </c>
      <c r="F44" s="211"/>
      <c r="G44" s="8" t="s">
        <v>1355</v>
      </c>
    </row>
    <row r="45" spans="2:7">
      <c r="B45" s="121">
        <v>7</v>
      </c>
      <c r="C45" s="213" t="str">
        <f t="shared" si="4"/>
        <v>SUP-7</v>
      </c>
      <c r="D45" s="211"/>
      <c r="E45" s="359" t="s">
        <v>731</v>
      </c>
      <c r="F45" s="211"/>
      <c r="G45" s="8" t="s">
        <v>1356</v>
      </c>
    </row>
    <row r="46" spans="2:7">
      <c r="B46" s="121">
        <v>8</v>
      </c>
      <c r="C46" s="213" t="str">
        <f t="shared" si="4"/>
        <v>SUP-8</v>
      </c>
      <c r="D46" s="211"/>
      <c r="E46" s="8"/>
      <c r="F46" s="211"/>
      <c r="G46" s="8"/>
    </row>
    <row r="47" spans="2:7">
      <c r="B47" s="121">
        <v>9</v>
      </c>
      <c r="C47" s="213" t="str">
        <f t="shared" si="4"/>
        <v>SUP-9</v>
      </c>
      <c r="D47" s="211"/>
      <c r="E47" s="8"/>
      <c r="F47" s="211"/>
      <c r="G47" s="8"/>
    </row>
    <row r="48" spans="2:7">
      <c r="B48" s="121">
        <v>10</v>
      </c>
      <c r="C48" s="213" t="str">
        <f t="shared" si="4"/>
        <v>SUP-10</v>
      </c>
      <c r="D48" s="211"/>
      <c r="E48" s="8"/>
      <c r="F48" s="211"/>
      <c r="G48" s="8"/>
    </row>
    <row r="49" spans="2:7">
      <c r="D49" s="211"/>
      <c r="F49" s="211"/>
    </row>
    <row r="50" spans="2:7">
      <c r="D50" s="211"/>
      <c r="F50" s="211"/>
    </row>
    <row r="51" spans="2:7">
      <c r="B51" s="115" t="s">
        <v>1357</v>
      </c>
      <c r="C51" s="115"/>
      <c r="D51" s="211"/>
      <c r="E51" s="32" t="s">
        <v>1358</v>
      </c>
      <c r="F51" s="211"/>
      <c r="G51" s="32"/>
    </row>
    <row r="52" spans="2:7">
      <c r="B52" s="121">
        <v>1</v>
      </c>
      <c r="C52" s="121"/>
      <c r="D52" s="211"/>
      <c r="E52" s="97"/>
      <c r="F52" s="211"/>
      <c r="G52" s="97"/>
    </row>
    <row r="53" spans="2:7">
      <c r="B53" s="121">
        <v>2</v>
      </c>
      <c r="C53" s="121"/>
      <c r="D53" s="211"/>
      <c r="E53" s="97"/>
      <c r="F53" s="211"/>
      <c r="G53" s="97"/>
    </row>
    <row r="54" spans="2:7">
      <c r="B54" s="121">
        <v>3</v>
      </c>
      <c r="C54" s="121"/>
      <c r="D54" s="211"/>
      <c r="E54" s="97"/>
      <c r="F54" s="211"/>
      <c r="G54" s="97"/>
    </row>
    <row r="55" spans="2:7">
      <c r="B55" s="121">
        <v>4</v>
      </c>
      <c r="C55" s="121"/>
      <c r="D55" s="211"/>
      <c r="E55" s="97"/>
      <c r="F55" s="211"/>
      <c r="G55" s="97"/>
    </row>
    <row r="56" spans="2:7">
      <c r="B56" s="121">
        <v>5</v>
      </c>
      <c r="C56" s="121"/>
      <c r="D56" s="211"/>
      <c r="E56" s="97"/>
      <c r="F56" s="211"/>
      <c r="G56" s="97"/>
    </row>
    <row r="57" spans="2:7">
      <c r="B57" s="121">
        <v>6</v>
      </c>
      <c r="C57" s="121"/>
      <c r="D57" s="211"/>
      <c r="E57" s="97"/>
      <c r="F57" s="211"/>
      <c r="G57" s="97"/>
    </row>
    <row r="58" spans="2:7">
      <c r="D58" s="211"/>
      <c r="F58" s="211"/>
    </row>
    <row r="59" spans="2:7">
      <c r="D59" s="211"/>
      <c r="F59" s="211"/>
    </row>
    <row r="60" spans="2:7" ht="15">
      <c r="B60" s="115" t="s">
        <v>1359</v>
      </c>
      <c r="C60" s="115" t="s">
        <v>1360</v>
      </c>
      <c r="D60" s="362" t="s">
        <v>1361</v>
      </c>
      <c r="E60" s="32" t="s">
        <v>1362</v>
      </c>
      <c r="F60" s="211"/>
      <c r="G60" s="32"/>
    </row>
    <row r="61" spans="2:7">
      <c r="B61" s="121">
        <v>1</v>
      </c>
      <c r="C61" s="213" t="str">
        <f>CONCATENATE($C$60,"-",B61)</f>
        <v>SOUR-1</v>
      </c>
      <c r="D61" s="211"/>
      <c r="E61" s="8" t="s">
        <v>1363</v>
      </c>
      <c r="F61" s="211"/>
      <c r="G61" s="8" t="s">
        <v>1364</v>
      </c>
    </row>
    <row r="62" spans="2:7">
      <c r="B62" s="121">
        <v>2</v>
      </c>
      <c r="C62" s="213" t="str">
        <f t="shared" ref="C62:C69" si="5">CONCATENATE($C$60,"-",B62)</f>
        <v>SOUR-2</v>
      </c>
      <c r="D62" s="211"/>
      <c r="E62" s="8" t="s">
        <v>1365</v>
      </c>
      <c r="F62" s="211"/>
      <c r="G62" s="8" t="s">
        <v>1366</v>
      </c>
    </row>
    <row r="63" spans="2:7">
      <c r="B63" s="121">
        <v>3</v>
      </c>
      <c r="C63" s="213" t="str">
        <f t="shared" si="5"/>
        <v>SOUR-3</v>
      </c>
      <c r="D63" s="211"/>
      <c r="E63" s="8" t="s">
        <v>1367</v>
      </c>
      <c r="F63" s="211"/>
      <c r="G63" s="8" t="s">
        <v>1368</v>
      </c>
    </row>
    <row r="64" spans="2:7">
      <c r="B64" s="121">
        <v>4</v>
      </c>
      <c r="C64" s="213" t="str">
        <f t="shared" si="5"/>
        <v>SOUR-4</v>
      </c>
      <c r="D64" s="211"/>
      <c r="E64" s="8" t="s">
        <v>1369</v>
      </c>
      <c r="F64" s="214"/>
      <c r="G64" s="8" t="s">
        <v>1370</v>
      </c>
    </row>
    <row r="65" spans="1:9">
      <c r="B65" s="121">
        <v>5</v>
      </c>
      <c r="C65" s="213" t="str">
        <f t="shared" si="5"/>
        <v>SOUR-5</v>
      </c>
      <c r="D65" s="211"/>
      <c r="E65" s="8" t="s">
        <v>1371</v>
      </c>
      <c r="F65" s="214"/>
      <c r="G65" s="8" t="s">
        <v>1372</v>
      </c>
    </row>
    <row r="66" spans="1:9">
      <c r="B66" s="121">
        <v>6</v>
      </c>
      <c r="C66" s="213" t="str">
        <f t="shared" si="5"/>
        <v>SOUR-6</v>
      </c>
      <c r="D66" s="211"/>
      <c r="E66" s="8" t="s">
        <v>1373</v>
      </c>
      <c r="F66" s="214"/>
      <c r="G66" s="8" t="s">
        <v>1374</v>
      </c>
    </row>
    <row r="67" spans="1:9">
      <c r="B67" s="121">
        <v>7</v>
      </c>
      <c r="C67" s="213" t="str">
        <f t="shared" si="5"/>
        <v>SOUR-7</v>
      </c>
      <c r="D67" s="211"/>
      <c r="E67" s="8" t="s">
        <v>1375</v>
      </c>
      <c r="F67" s="211"/>
      <c r="G67" s="8" t="s">
        <v>1376</v>
      </c>
    </row>
    <row r="68" spans="1:9">
      <c r="B68" s="121">
        <v>8</v>
      </c>
      <c r="C68" s="213" t="str">
        <f t="shared" si="5"/>
        <v>SOUR-8</v>
      </c>
      <c r="D68" s="211"/>
      <c r="E68" s="72" t="s">
        <v>1377</v>
      </c>
      <c r="F68" s="211"/>
      <c r="G68" s="72" t="s">
        <v>1378</v>
      </c>
    </row>
    <row r="69" spans="1:9">
      <c r="B69" s="121">
        <v>9</v>
      </c>
      <c r="C69" s="213" t="str">
        <f t="shared" si="5"/>
        <v>SOUR-9</v>
      </c>
      <c r="D69" s="211"/>
      <c r="E69" s="72" t="s">
        <v>1379</v>
      </c>
      <c r="F69" s="211"/>
      <c r="G69" s="72" t="s">
        <v>1380</v>
      </c>
    </row>
    <row r="70" spans="1:9" s="84" customFormat="1">
      <c r="A70"/>
      <c r="B70" s="73"/>
      <c r="C70" s="73"/>
      <c r="D70" s="211"/>
      <c r="F70" s="211"/>
      <c r="H70"/>
      <c r="I70"/>
    </row>
    <row r="71" spans="1:9" s="84" customFormat="1" ht="15">
      <c r="A71"/>
      <c r="B71" s="117" t="s">
        <v>1381</v>
      </c>
      <c r="C71" s="117" t="s">
        <v>1382</v>
      </c>
      <c r="D71" s="362" t="s">
        <v>1383</v>
      </c>
      <c r="E71" s="223" t="s">
        <v>619</v>
      </c>
      <c r="F71" s="211"/>
      <c r="G71" s="223"/>
      <c r="H71"/>
      <c r="I71"/>
    </row>
    <row r="72" spans="1:9" s="84" customFormat="1">
      <c r="A72"/>
      <c r="B72" s="121">
        <v>1</v>
      </c>
      <c r="C72" s="121" t="str">
        <f>CONCATENATE($C$71,"-",B61)</f>
        <v>TYPE-1</v>
      </c>
      <c r="D72" s="211"/>
      <c r="E72" s="235" t="s">
        <v>1384</v>
      </c>
      <c r="F72" s="211"/>
      <c r="G72" s="224" t="s">
        <v>1385</v>
      </c>
      <c r="H72"/>
      <c r="I72"/>
    </row>
    <row r="73" spans="1:9" s="84" customFormat="1">
      <c r="A73"/>
      <c r="B73" s="121">
        <v>2</v>
      </c>
      <c r="C73" s="121" t="str">
        <f t="shared" ref="C73:C75" si="6">CONCATENATE($C$71,"-",B62)</f>
        <v>TYPE-2</v>
      </c>
      <c r="D73" s="211"/>
      <c r="E73" s="235" t="s">
        <v>1386</v>
      </c>
      <c r="F73" s="211"/>
      <c r="G73" s="224" t="s">
        <v>1387</v>
      </c>
      <c r="H73"/>
      <c r="I73"/>
    </row>
    <row r="74" spans="1:9" s="84" customFormat="1">
      <c r="A74"/>
      <c r="B74" s="121">
        <v>3</v>
      </c>
      <c r="C74" s="121" t="str">
        <f t="shared" si="6"/>
        <v>TYPE-3</v>
      </c>
      <c r="D74" s="211"/>
      <c r="E74" s="235" t="s">
        <v>1388</v>
      </c>
      <c r="F74" s="211"/>
      <c r="G74" s="224" t="s">
        <v>1389</v>
      </c>
      <c r="H74"/>
      <c r="I74"/>
    </row>
    <row r="75" spans="1:9" s="84" customFormat="1">
      <c r="A75"/>
      <c r="B75" s="121">
        <v>4</v>
      </c>
      <c r="C75" s="121" t="str">
        <f t="shared" si="6"/>
        <v>TYPE-4</v>
      </c>
      <c r="D75" s="211"/>
      <c r="E75" s="333" t="s">
        <v>1390</v>
      </c>
      <c r="F75" s="211"/>
      <c r="G75" s="332" t="s">
        <v>1391</v>
      </c>
      <c r="H75"/>
      <c r="I75"/>
    </row>
    <row r="76" spans="1:9" s="84" customFormat="1">
      <c r="A76"/>
      <c r="B76" s="73"/>
      <c r="C76" s="73"/>
      <c r="D76" s="211"/>
      <c r="F76" s="211"/>
      <c r="H76"/>
      <c r="I76"/>
    </row>
    <row r="77" spans="1:9">
      <c r="B77" s="115" t="s">
        <v>636</v>
      </c>
      <c r="C77" s="115"/>
      <c r="D77" s="361"/>
      <c r="E77" s="32" t="s">
        <v>657</v>
      </c>
      <c r="F77" s="211"/>
      <c r="G77" s="32"/>
    </row>
    <row r="78" spans="1:9">
      <c r="B78" s="121">
        <v>1</v>
      </c>
      <c r="C78" s="121"/>
      <c r="D78" s="211"/>
      <c r="E78" s="309" t="s">
        <v>1392</v>
      </c>
      <c r="F78" s="211"/>
      <c r="G78" s="70"/>
    </row>
    <row r="79" spans="1:9">
      <c r="B79" s="121">
        <v>2</v>
      </c>
      <c r="C79" s="121"/>
      <c r="D79" s="211"/>
      <c r="E79" s="309" t="s">
        <v>1393</v>
      </c>
      <c r="F79" s="211"/>
      <c r="G79" s="70"/>
    </row>
    <row r="80" spans="1:9">
      <c r="B80" s="121">
        <v>3</v>
      </c>
      <c r="C80" s="121"/>
      <c r="D80" s="211"/>
      <c r="E80" s="310" t="s">
        <v>1394</v>
      </c>
      <c r="F80" s="211"/>
      <c r="G80" s="71"/>
    </row>
    <row r="81" spans="2:7">
      <c r="B81" s="121">
        <v>4</v>
      </c>
      <c r="C81" s="121"/>
      <c r="D81" s="211"/>
      <c r="E81" s="309" t="s">
        <v>1395</v>
      </c>
      <c r="F81" s="211"/>
      <c r="G81" s="70"/>
    </row>
    <row r="82" spans="2:7">
      <c r="D82" s="211"/>
      <c r="F82" s="211"/>
    </row>
    <row r="83" spans="2:7" ht="15">
      <c r="B83" s="115" t="s">
        <v>184</v>
      </c>
      <c r="C83" s="115" t="s">
        <v>1396</v>
      </c>
      <c r="D83" s="362" t="s">
        <v>1397</v>
      </c>
      <c r="E83" s="32" t="s">
        <v>1398</v>
      </c>
      <c r="F83" s="211"/>
      <c r="G83" s="32"/>
    </row>
    <row r="84" spans="2:7">
      <c r="B84" s="121">
        <v>1</v>
      </c>
      <c r="C84" s="213" t="str">
        <f>CONCATENATE($C$83,"-",B84)</f>
        <v>SR-1</v>
      </c>
      <c r="D84" s="211"/>
      <c r="E84" s="359" t="s">
        <v>1399</v>
      </c>
      <c r="F84" s="211"/>
      <c r="G84" s="300" t="s">
        <v>1399</v>
      </c>
    </row>
    <row r="85" spans="2:7">
      <c r="B85" s="121">
        <v>2</v>
      </c>
      <c r="C85" s="213" t="str">
        <f t="shared" ref="C85:C89" si="7">CONCATENATE($C$83,"-",B85)</f>
        <v>SR-2</v>
      </c>
      <c r="D85" s="211"/>
      <c r="E85" s="359" t="s">
        <v>1400</v>
      </c>
      <c r="F85" s="211"/>
      <c r="G85" s="300" t="s">
        <v>1400</v>
      </c>
    </row>
    <row r="86" spans="2:7">
      <c r="B86" s="121">
        <v>3</v>
      </c>
      <c r="C86" s="213" t="str">
        <f t="shared" si="7"/>
        <v>SR-3</v>
      </c>
      <c r="D86" s="211"/>
      <c r="E86" s="359" t="s">
        <v>1401</v>
      </c>
      <c r="F86" s="211"/>
      <c r="G86" s="300" t="s">
        <v>1401</v>
      </c>
    </row>
    <row r="87" spans="2:7">
      <c r="B87" s="121">
        <v>4</v>
      </c>
      <c r="C87" s="213" t="str">
        <f t="shared" si="7"/>
        <v>SR-4</v>
      </c>
      <c r="D87" s="211"/>
      <c r="E87" s="359" t="s">
        <v>1402</v>
      </c>
      <c r="F87" s="211"/>
      <c r="G87" s="300" t="s">
        <v>1403</v>
      </c>
    </row>
    <row r="88" spans="2:7">
      <c r="B88" s="121">
        <v>5</v>
      </c>
      <c r="C88" s="213" t="str">
        <f t="shared" si="7"/>
        <v>SR-5</v>
      </c>
      <c r="D88" s="211"/>
      <c r="E88" s="359" t="s">
        <v>1404</v>
      </c>
      <c r="F88" s="211"/>
      <c r="G88" s="300" t="s">
        <v>1404</v>
      </c>
    </row>
    <row r="89" spans="2:7">
      <c r="B89" s="121">
        <v>6</v>
      </c>
      <c r="C89" s="213" t="str">
        <f t="shared" si="7"/>
        <v>SR-6</v>
      </c>
      <c r="D89" s="211"/>
      <c r="E89" s="359" t="s">
        <v>1405</v>
      </c>
      <c r="F89" s="211"/>
      <c r="G89" s="300" t="s">
        <v>731</v>
      </c>
    </row>
    <row r="90" spans="2:7">
      <c r="B90" s="121">
        <v>7</v>
      </c>
      <c r="C90" s="121"/>
      <c r="D90" s="211"/>
      <c r="E90" s="8"/>
      <c r="F90" s="211"/>
      <c r="G90" s="8"/>
    </row>
    <row r="91" spans="2:7">
      <c r="B91" s="121">
        <v>8</v>
      </c>
      <c r="C91" s="121"/>
      <c r="D91" s="211"/>
      <c r="E91" s="8"/>
      <c r="F91" s="211"/>
      <c r="G91" s="8"/>
    </row>
    <row r="92" spans="2:7">
      <c r="B92" s="121">
        <v>9</v>
      </c>
      <c r="C92" s="121"/>
      <c r="D92" s="211"/>
      <c r="E92" s="8"/>
      <c r="F92" s="211"/>
      <c r="G92" s="8"/>
    </row>
    <row r="93" spans="2:7">
      <c r="B93" s="121">
        <v>10</v>
      </c>
      <c r="C93" s="121"/>
      <c r="D93" s="211"/>
      <c r="E93" s="8"/>
      <c r="F93" s="211"/>
      <c r="G93" s="8"/>
    </row>
    <row r="94" spans="2:7">
      <c r="D94" s="211"/>
      <c r="F94" s="211"/>
    </row>
    <row r="95" spans="2:7" ht="13.5" customHeight="1">
      <c r="D95" s="211"/>
      <c r="F95" s="211"/>
    </row>
    <row r="96" spans="2:7" ht="13.5" customHeight="1">
      <c r="B96" s="117" t="s">
        <v>1406</v>
      </c>
      <c r="C96" s="117" t="s">
        <v>1407</v>
      </c>
      <c r="D96" s="362" t="s">
        <v>1408</v>
      </c>
      <c r="E96" s="32" t="s">
        <v>750</v>
      </c>
      <c r="F96" s="211"/>
      <c r="G96" s="341"/>
    </row>
    <row r="97" spans="2:7" ht="13.5" customHeight="1">
      <c r="B97" s="121">
        <v>1</v>
      </c>
      <c r="C97" s="213" t="str">
        <f>CONCATENATE($C$96,"-",B97)</f>
        <v>VF-1</v>
      </c>
      <c r="D97" s="211"/>
      <c r="E97" s="8" t="s">
        <v>1409</v>
      </c>
      <c r="F97" s="211"/>
      <c r="G97" s="292" t="s">
        <v>1410</v>
      </c>
    </row>
    <row r="98" spans="2:7" ht="13.5" customHeight="1">
      <c r="B98" s="121">
        <v>2</v>
      </c>
      <c r="C98" s="213" t="str">
        <f t="shared" ref="C98:C100" si="8">CONCATENATE($C$96,"-",B98)</f>
        <v>VF-2</v>
      </c>
      <c r="D98" s="211"/>
      <c r="E98" s="8" t="s">
        <v>1411</v>
      </c>
      <c r="F98" s="211"/>
      <c r="G98" s="292" t="s">
        <v>1412</v>
      </c>
    </row>
    <row r="99" spans="2:7" ht="13.5" customHeight="1">
      <c r="B99" s="121">
        <v>3</v>
      </c>
      <c r="C99" s="213" t="str">
        <f t="shared" si="8"/>
        <v>VF-3</v>
      </c>
      <c r="D99" s="211"/>
      <c r="E99" s="8" t="s">
        <v>1413</v>
      </c>
      <c r="F99" s="211"/>
      <c r="G99" s="292" t="s">
        <v>1414</v>
      </c>
    </row>
    <row r="100" spans="2:7" ht="13.5" customHeight="1">
      <c r="B100" s="121">
        <v>4</v>
      </c>
      <c r="C100" s="213" t="str">
        <f t="shared" si="8"/>
        <v>VF-4</v>
      </c>
      <c r="D100" s="211"/>
      <c r="E100" s="8" t="s">
        <v>1415</v>
      </c>
      <c r="F100" s="211"/>
      <c r="G100" s="292" t="s">
        <v>1416</v>
      </c>
    </row>
    <row r="101" spans="2:7" ht="13.5" customHeight="1">
      <c r="D101" s="211"/>
      <c r="F101" s="211"/>
    </row>
    <row r="102" spans="2:7">
      <c r="D102" s="211"/>
      <c r="F102" s="211"/>
    </row>
    <row r="103" spans="2:7" ht="15">
      <c r="B103" s="115" t="s">
        <v>1417</v>
      </c>
      <c r="C103" s="115"/>
      <c r="D103" s="362" t="s">
        <v>1418</v>
      </c>
      <c r="E103" s="32" t="s">
        <v>1419</v>
      </c>
      <c r="F103" s="211"/>
      <c r="G103" s="32"/>
    </row>
    <row r="104" spans="2:7">
      <c r="B104" s="121">
        <v>1</v>
      </c>
      <c r="C104" s="213" t="str">
        <f>CONCATENATE($C$110,"-",B104)</f>
        <v>REG-1</v>
      </c>
      <c r="D104" s="211"/>
      <c r="E104" s="302" t="s">
        <v>1420</v>
      </c>
      <c r="F104" s="211"/>
      <c r="G104" s="97" t="s">
        <v>1421</v>
      </c>
    </row>
    <row r="105" spans="2:7">
      <c r="B105" s="121">
        <v>2</v>
      </c>
      <c r="C105" s="213" t="str">
        <f t="shared" ref="C105:C107" si="9">CONCATENATE($C$110,"-",B105)</f>
        <v>REG-2</v>
      </c>
      <c r="D105" s="211"/>
      <c r="E105" s="302" t="s">
        <v>1422</v>
      </c>
      <c r="F105" s="211"/>
      <c r="G105" s="97" t="s">
        <v>1423</v>
      </c>
    </row>
    <row r="106" spans="2:7">
      <c r="B106" s="121">
        <v>3</v>
      </c>
      <c r="C106" s="213" t="str">
        <f t="shared" si="9"/>
        <v>REG-3</v>
      </c>
      <c r="D106" s="211"/>
      <c r="E106" s="302" t="s">
        <v>1424</v>
      </c>
      <c r="F106" s="211"/>
      <c r="G106" s="97" t="s">
        <v>1425</v>
      </c>
    </row>
    <row r="107" spans="2:7">
      <c r="B107" s="121"/>
      <c r="C107" s="213"/>
      <c r="D107" s="211"/>
      <c r="E107" s="302"/>
      <c r="F107" s="211"/>
      <c r="G107" s="97"/>
    </row>
    <row r="108" spans="2:7">
      <c r="F108" s="211"/>
    </row>
    <row r="109" spans="2:7">
      <c r="F109" s="211"/>
    </row>
    <row r="110" spans="2:7" ht="15">
      <c r="B110" s="115" t="s">
        <v>1417</v>
      </c>
      <c r="C110" s="115" t="s">
        <v>1426</v>
      </c>
      <c r="D110" s="362" t="s">
        <v>1427</v>
      </c>
      <c r="E110" s="32" t="s">
        <v>217</v>
      </c>
      <c r="F110" s="211"/>
      <c r="G110" s="32"/>
    </row>
    <row r="111" spans="2:7">
      <c r="B111" s="121">
        <v>1</v>
      </c>
      <c r="C111" s="213" t="str">
        <f>CONCATENATE($C$110,"-",B111)</f>
        <v>REG-1</v>
      </c>
      <c r="D111" s="211"/>
      <c r="E111" s="302" t="s">
        <v>1428</v>
      </c>
      <c r="F111" s="211"/>
      <c r="G111" s="97" t="s">
        <v>1429</v>
      </c>
    </row>
    <row r="112" spans="2:7">
      <c r="B112" s="121">
        <v>2</v>
      </c>
      <c r="C112" s="213" t="str">
        <f>CONCATENATE($C$110,"-",B112)</f>
        <v>REG-2</v>
      </c>
      <c r="D112" s="211"/>
      <c r="E112" s="302" t="s">
        <v>847</v>
      </c>
      <c r="F112" s="211"/>
      <c r="G112" s="97" t="s">
        <v>847</v>
      </c>
    </row>
    <row r="113" spans="2:30">
      <c r="B113" s="121">
        <v>3</v>
      </c>
      <c r="C113" s="213" t="str">
        <f t="shared" ref="C112:C113" si="10">CONCATENATE($C$110,"-",B113)</f>
        <v>REG-3</v>
      </c>
      <c r="D113" s="211"/>
      <c r="E113" s="302" t="s">
        <v>857</v>
      </c>
      <c r="F113" s="211"/>
      <c r="G113" s="97" t="s">
        <v>857</v>
      </c>
    </row>
    <row r="114" spans="2:30">
      <c r="B114" s="121"/>
      <c r="C114" s="121"/>
      <c r="D114" s="211"/>
      <c r="E114" s="302"/>
      <c r="F114" s="211"/>
      <c r="G114" s="97"/>
    </row>
    <row r="115" spans="2:30">
      <c r="F115" s="211"/>
    </row>
    <row r="116" spans="2:30">
      <c r="F116" s="211"/>
      <c r="AC116" s="210"/>
      <c r="AD116" s="212"/>
    </row>
    <row r="117" spans="2:30" ht="15">
      <c r="B117" s="115" t="s">
        <v>1417</v>
      </c>
      <c r="C117" s="115" t="s">
        <v>1430</v>
      </c>
      <c r="D117" s="362" t="s">
        <v>1431</v>
      </c>
      <c r="E117" s="32" t="s">
        <v>1432</v>
      </c>
      <c r="F117" s="211"/>
      <c r="G117" s="32"/>
      <c r="AC117" s="213"/>
      <c r="AD117" s="214"/>
    </row>
    <row r="118" spans="2:30">
      <c r="B118" s="121">
        <v>1</v>
      </c>
      <c r="C118" s="213" t="str">
        <f>CONCATENATE($C$117,"-",B118)</f>
        <v>CAT-1</v>
      </c>
      <c r="D118" s="211"/>
      <c r="E118" s="234" t="s">
        <v>1433</v>
      </c>
      <c r="F118" s="211"/>
      <c r="G118" s="97" t="s">
        <v>1434</v>
      </c>
    </row>
    <row r="119" spans="2:30">
      <c r="B119" s="121">
        <v>2</v>
      </c>
      <c r="C119" s="213" t="str">
        <f t="shared" ref="C119:C123" si="11">CONCATENATE($C$117,"-",B119)</f>
        <v>CAT-2</v>
      </c>
      <c r="D119" s="211"/>
      <c r="E119" s="234" t="s">
        <v>1435</v>
      </c>
      <c r="F119" s="211"/>
      <c r="G119" s="97" t="s">
        <v>1436</v>
      </c>
    </row>
    <row r="120" spans="2:30" ht="12" customHeight="1">
      <c r="B120" s="121">
        <v>3</v>
      </c>
      <c r="C120" s="213" t="str">
        <f t="shared" si="11"/>
        <v>CAT-3</v>
      </c>
      <c r="D120" s="211"/>
      <c r="E120" s="234" t="s">
        <v>1437</v>
      </c>
      <c r="F120" s="211"/>
      <c r="G120" s="97" t="s">
        <v>1438</v>
      </c>
    </row>
    <row r="121" spans="2:30">
      <c r="B121" s="121">
        <v>4</v>
      </c>
      <c r="C121" s="213" t="str">
        <f t="shared" si="11"/>
        <v>CAT-4</v>
      </c>
      <c r="D121" s="211"/>
      <c r="E121" s="303" t="s">
        <v>1439</v>
      </c>
      <c r="F121" s="211"/>
      <c r="G121" s="97" t="s">
        <v>1440</v>
      </c>
    </row>
    <row r="122" spans="2:30">
      <c r="B122" s="121">
        <v>5</v>
      </c>
      <c r="C122" s="213" t="str">
        <f t="shared" si="11"/>
        <v>CAT-5</v>
      </c>
      <c r="D122" s="211"/>
      <c r="E122" s="304" t="s">
        <v>1441</v>
      </c>
      <c r="F122" s="211"/>
      <c r="G122" s="97" t="s">
        <v>1442</v>
      </c>
    </row>
    <row r="123" spans="2:30">
      <c r="B123" s="121">
        <v>6</v>
      </c>
      <c r="C123" s="213" t="str">
        <f t="shared" si="11"/>
        <v>CAT-6</v>
      </c>
      <c r="D123" s="211"/>
      <c r="E123" s="304" t="s">
        <v>1443</v>
      </c>
      <c r="F123" s="211"/>
      <c r="G123" s="97" t="s">
        <v>1444</v>
      </c>
    </row>
    <row r="124" spans="2:30">
      <c r="F124" s="211"/>
    </row>
    <row r="125" spans="2:30">
      <c r="F125" s="211"/>
    </row>
    <row r="126" spans="2:30" ht="15">
      <c r="B126" s="115" t="s">
        <v>1417</v>
      </c>
      <c r="C126" s="115" t="s">
        <v>1430</v>
      </c>
      <c r="D126" s="362" t="s">
        <v>1445</v>
      </c>
      <c r="E126" s="32" t="s">
        <v>1446</v>
      </c>
      <c r="F126" s="211"/>
      <c r="G126" s="32"/>
    </row>
    <row r="127" spans="2:30">
      <c r="B127" s="121">
        <v>1</v>
      </c>
      <c r="C127" s="213" t="str">
        <f>CONCATENATE($C$117,"-",B127)</f>
        <v>CAT-1</v>
      </c>
      <c r="D127" s="211"/>
      <c r="E127" s="234" t="s">
        <v>1447</v>
      </c>
      <c r="F127" s="211"/>
      <c r="G127" s="306" t="s">
        <v>1448</v>
      </c>
    </row>
    <row r="128" spans="2:30">
      <c r="B128" s="121">
        <v>2</v>
      </c>
      <c r="C128" s="213" t="str">
        <f>CONCATENATE($C$117,"-",B128)</f>
        <v>CAT-2</v>
      </c>
      <c r="D128" s="211"/>
      <c r="E128" s="234" t="s">
        <v>1449</v>
      </c>
      <c r="F128" s="211"/>
      <c r="G128" s="306" t="s">
        <v>1450</v>
      </c>
    </row>
    <row r="129" spans="2:7">
      <c r="B129" s="121">
        <v>3</v>
      </c>
      <c r="C129" s="213" t="str">
        <f>CONCATENATE($C$117,"-",B129)</f>
        <v>CAT-3</v>
      </c>
      <c r="D129" s="211"/>
      <c r="E129" s="274" t="s">
        <v>1451</v>
      </c>
      <c r="F129" s="211"/>
      <c r="G129" s="305" t="s">
        <v>1452</v>
      </c>
    </row>
    <row r="130" spans="2:7">
      <c r="E130" t="s">
        <v>1453</v>
      </c>
      <c r="F130" s="211"/>
      <c r="G130" s="58" t="s">
        <v>1454</v>
      </c>
    </row>
    <row r="131" spans="2:7">
      <c r="F131" s="211"/>
    </row>
    <row r="132" spans="2:7" ht="15">
      <c r="B132" s="115" t="s">
        <v>1417</v>
      </c>
      <c r="C132" s="115" t="s">
        <v>1455</v>
      </c>
      <c r="D132" s="362" t="s">
        <v>1456</v>
      </c>
      <c r="E132" s="32" t="s">
        <v>1457</v>
      </c>
      <c r="F132" s="211"/>
      <c r="G132" s="32"/>
    </row>
    <row r="133" spans="2:7">
      <c r="B133" s="121">
        <v>1</v>
      </c>
      <c r="C133" s="213" t="str">
        <f>CONCATENATE($C$132,"-",B133)</f>
        <v>RUR-1</v>
      </c>
      <c r="D133" s="211"/>
      <c r="E133" s="234" t="s">
        <v>1458</v>
      </c>
      <c r="F133" s="211"/>
      <c r="G133" s="234" t="s">
        <v>1458</v>
      </c>
    </row>
    <row r="134" spans="2:7">
      <c r="B134" s="121">
        <v>2</v>
      </c>
      <c r="C134" s="213" t="str">
        <f>CONCATENATE($C$132,"-",B134)</f>
        <v>RUR-2</v>
      </c>
      <c r="D134" s="211"/>
      <c r="E134" s="234" t="s">
        <v>1459</v>
      </c>
      <c r="F134" s="211"/>
      <c r="G134" s="234" t="s">
        <v>1460</v>
      </c>
    </row>
    <row r="137" spans="2:7" ht="15">
      <c r="B137" s="115" t="s">
        <v>111</v>
      </c>
      <c r="C137" s="115" t="s">
        <v>1461</v>
      </c>
      <c r="D137" s="362" t="s">
        <v>1462</v>
      </c>
      <c r="E137" s="32" t="s">
        <v>1463</v>
      </c>
      <c r="F137" s="211"/>
      <c r="G137" s="32" t="s">
        <v>1463</v>
      </c>
    </row>
    <row r="138" spans="2:7">
      <c r="B138" s="121">
        <v>1</v>
      </c>
      <c r="C138" s="213" t="str">
        <f>CONCATENATE($C$137,"-",B138)</f>
        <v>RET-1</v>
      </c>
      <c r="D138" s="211"/>
      <c r="E138" s="234" t="s">
        <v>1464</v>
      </c>
      <c r="F138" s="211"/>
      <c r="G138" s="234" t="s">
        <v>1465</v>
      </c>
    </row>
    <row r="139" spans="2:7">
      <c r="B139" s="121">
        <v>2</v>
      </c>
      <c r="C139" s="213" t="str">
        <f>CONCATENATE($C$137,"-",B139)</f>
        <v>RET-2</v>
      </c>
      <c r="D139" s="211"/>
      <c r="E139" s="234" t="s">
        <v>1466</v>
      </c>
      <c r="F139" s="211"/>
      <c r="G139" s="234" t="s">
        <v>1467</v>
      </c>
    </row>
    <row r="140" spans="2:7">
      <c r="B140" s="121">
        <v>3</v>
      </c>
      <c r="C140" s="213" t="str">
        <f t="shared" ref="C140:C146" si="12">CONCATENATE($C$137,"-",B140)</f>
        <v>RET-3</v>
      </c>
      <c r="D140" s="211"/>
      <c r="E140" s="234" t="s">
        <v>1468</v>
      </c>
      <c r="F140" s="211"/>
      <c r="G140" s="234" t="s">
        <v>1469</v>
      </c>
    </row>
    <row r="141" spans="2:7">
      <c r="B141" s="121">
        <v>4</v>
      </c>
      <c r="C141" s="213" t="str">
        <f t="shared" si="12"/>
        <v>RET-4</v>
      </c>
      <c r="D141" s="211"/>
      <c r="E141" s="234" t="s">
        <v>1470</v>
      </c>
      <c r="F141" s="211"/>
      <c r="G141" s="234" t="s">
        <v>1471</v>
      </c>
    </row>
    <row r="142" spans="2:7">
      <c r="B142" s="121">
        <v>5</v>
      </c>
      <c r="C142" s="213" t="str">
        <f t="shared" si="12"/>
        <v>RET-5</v>
      </c>
      <c r="D142" s="211"/>
      <c r="E142" s="234" t="s">
        <v>1472</v>
      </c>
      <c r="F142" s="211"/>
      <c r="G142" s="234" t="s">
        <v>1473</v>
      </c>
    </row>
    <row r="143" spans="2:7">
      <c r="B143" s="121">
        <v>6</v>
      </c>
      <c r="C143" s="213" t="str">
        <f t="shared" si="12"/>
        <v>RET-6</v>
      </c>
      <c r="D143" s="211"/>
      <c r="E143" s="234" t="s">
        <v>1474</v>
      </c>
      <c r="F143" s="211"/>
      <c r="G143" s="234" t="s">
        <v>1474</v>
      </c>
    </row>
    <row r="144" spans="2:7">
      <c r="B144" s="121">
        <v>7</v>
      </c>
      <c r="C144" s="213" t="str">
        <f t="shared" si="12"/>
        <v>RET-7</v>
      </c>
      <c r="D144" s="211"/>
      <c r="E144" s="234" t="s">
        <v>1475</v>
      </c>
      <c r="F144" s="211"/>
      <c r="G144" s="234" t="s">
        <v>1475</v>
      </c>
    </row>
    <row r="145" spans="2:7">
      <c r="B145" s="121">
        <v>8</v>
      </c>
      <c r="C145" s="213" t="str">
        <f t="shared" si="12"/>
        <v>RET-8</v>
      </c>
      <c r="D145" s="211"/>
      <c r="E145" s="234" t="s">
        <v>1476</v>
      </c>
      <c r="F145" s="211"/>
      <c r="G145" s="234" t="s">
        <v>1477</v>
      </c>
    </row>
    <row r="146" spans="2:7">
      <c r="B146" s="121">
        <v>9</v>
      </c>
      <c r="C146" s="213" t="str">
        <f t="shared" si="12"/>
        <v>RET-9</v>
      </c>
      <c r="D146" s="211"/>
      <c r="E146" s="234" t="s">
        <v>1478</v>
      </c>
      <c r="F146" s="211"/>
      <c r="G146" s="234" t="s">
        <v>1478</v>
      </c>
    </row>
    <row r="147" spans="2:7">
      <c r="C147" s="354"/>
      <c r="D147" s="211"/>
      <c r="E147" s="355"/>
      <c r="F147" s="211"/>
      <c r="G147" s="355"/>
    </row>
    <row r="149" spans="2:7" ht="15">
      <c r="B149" s="115" t="s">
        <v>111</v>
      </c>
      <c r="C149" s="115" t="s">
        <v>1479</v>
      </c>
      <c r="D149" s="362" t="s">
        <v>1480</v>
      </c>
      <c r="E149" s="32" t="s">
        <v>1481</v>
      </c>
      <c r="F149" s="211"/>
      <c r="G149" s="32" t="s">
        <v>1481</v>
      </c>
    </row>
    <row r="150" spans="2:7">
      <c r="B150" s="121">
        <v>1</v>
      </c>
      <c r="C150" s="213" t="str">
        <f>CONCATENATE($C$149,"-",B150)</f>
        <v>WHO-1</v>
      </c>
      <c r="D150" s="211"/>
      <c r="E150" s="234" t="s">
        <v>1482</v>
      </c>
      <c r="F150" s="211"/>
      <c r="G150" s="234" t="s">
        <v>1483</v>
      </c>
    </row>
    <row r="151" spans="2:7">
      <c r="B151" s="121">
        <v>2</v>
      </c>
      <c r="C151" s="213" t="str">
        <f>CONCATENATE($C$149,"-",B151)</f>
        <v>WHO-2</v>
      </c>
      <c r="D151" s="211"/>
      <c r="E151" s="234" t="s">
        <v>1484</v>
      </c>
      <c r="F151" s="211"/>
      <c r="G151" s="234" t="s">
        <v>1485</v>
      </c>
    </row>
    <row r="153" spans="2:7" ht="15">
      <c r="B153" s="115" t="s">
        <v>401</v>
      </c>
      <c r="C153" s="115" t="s">
        <v>1486</v>
      </c>
      <c r="D153" s="362" t="s">
        <v>1487</v>
      </c>
      <c r="E153" s="32" t="s">
        <v>1488</v>
      </c>
      <c r="F153" s="211"/>
      <c r="G153" s="32" t="s">
        <v>1488</v>
      </c>
    </row>
    <row r="154" spans="2:7">
      <c r="B154" s="121">
        <v>1</v>
      </c>
      <c r="C154" s="213" t="str">
        <f>CONCATENATE($C$153,"-",B154)</f>
        <v>WCU-1</v>
      </c>
      <c r="D154" s="211"/>
      <c r="E154" s="234" t="s">
        <v>1464</v>
      </c>
      <c r="F154" s="211"/>
      <c r="G154" s="234" t="s">
        <v>1465</v>
      </c>
    </row>
    <row r="155" spans="2:7" ht="15" customHeight="1">
      <c r="B155" s="121">
        <v>2</v>
      </c>
      <c r="C155" s="213" t="str">
        <f>CONCATENATE($C$153,"-",B155)</f>
        <v>WCU-2</v>
      </c>
      <c r="D155" s="211"/>
      <c r="E155" s="234" t="s">
        <v>1466</v>
      </c>
      <c r="F155" s="211"/>
      <c r="G155" s="234" t="s">
        <v>1467</v>
      </c>
    </row>
    <row r="156" spans="2:7" ht="15" customHeight="1">
      <c r="B156" s="121">
        <v>3</v>
      </c>
      <c r="C156" s="213" t="str">
        <f t="shared" ref="C156:C159" si="13">CONCATENATE($C$153,"-",B156)</f>
        <v>WCU-3</v>
      </c>
      <c r="D156" s="211"/>
      <c r="E156" s="234" t="s">
        <v>1468</v>
      </c>
      <c r="F156" s="211"/>
      <c r="G156" s="234" t="s">
        <v>1469</v>
      </c>
    </row>
    <row r="157" spans="2:7" ht="15" customHeight="1">
      <c r="B157" s="121">
        <v>4</v>
      </c>
      <c r="C157" s="213" t="str">
        <f t="shared" si="13"/>
        <v>WCU-4</v>
      </c>
      <c r="D157" s="211"/>
      <c r="E157" s="234" t="s">
        <v>1470</v>
      </c>
      <c r="F157" s="211"/>
      <c r="G157" s="234" t="s">
        <v>1471</v>
      </c>
    </row>
    <row r="158" spans="2:7" ht="15" customHeight="1">
      <c r="B158" s="121">
        <v>5</v>
      </c>
      <c r="C158" s="213" t="str">
        <f t="shared" si="13"/>
        <v>WCU-5</v>
      </c>
      <c r="D158" s="211"/>
      <c r="E158" s="234" t="s">
        <v>1472</v>
      </c>
      <c r="F158" s="211"/>
      <c r="G158" s="234" t="s">
        <v>1473</v>
      </c>
    </row>
    <row r="159" spans="2:7">
      <c r="B159" s="121">
        <v>6</v>
      </c>
      <c r="C159" s="213" t="str">
        <f t="shared" si="13"/>
        <v>WCU-6</v>
      </c>
      <c r="D159" s="211"/>
      <c r="E159" s="234" t="s">
        <v>1485</v>
      </c>
      <c r="F159" s="211"/>
      <c r="G159" s="234" t="s">
        <v>1485</v>
      </c>
    </row>
    <row r="161" spans="2:7" ht="15">
      <c r="B161" s="115" t="s">
        <v>545</v>
      </c>
      <c r="C161" s="115" t="s">
        <v>1489</v>
      </c>
      <c r="D161" s="362" t="s">
        <v>1490</v>
      </c>
      <c r="E161" s="32" t="s">
        <v>1491</v>
      </c>
      <c r="F161" s="211"/>
      <c r="G161" s="32" t="s">
        <v>1491</v>
      </c>
    </row>
    <row r="162" spans="2:7">
      <c r="B162" s="121">
        <v>1</v>
      </c>
      <c r="C162" s="213" t="str">
        <f>CONCATENATE($C$161,"-",B162)</f>
        <v>VBR-1</v>
      </c>
      <c r="D162" s="211"/>
      <c r="E162" s="298" t="s">
        <v>1492</v>
      </c>
      <c r="F162" s="211"/>
      <c r="G162" s="298" t="s">
        <v>1492</v>
      </c>
    </row>
    <row r="163" spans="2:7">
      <c r="B163" s="121">
        <v>2</v>
      </c>
      <c r="C163" s="213" t="str">
        <f>CONCATENATE($C$161,"-",B163)</f>
        <v>VBR-2</v>
      </c>
      <c r="D163" s="211"/>
      <c r="E163" s="298" t="s">
        <v>1493</v>
      </c>
      <c r="F163" s="211"/>
      <c r="G163" s="298" t="s">
        <v>1493</v>
      </c>
    </row>
    <row r="164" spans="2:7">
      <c r="B164" s="121">
        <v>3</v>
      </c>
      <c r="C164" s="213" t="str">
        <f t="shared" ref="C164:C174" si="14">CONCATENATE($C$161,"-",B164)</f>
        <v>VBR-3</v>
      </c>
      <c r="D164" s="211"/>
      <c r="E164" s="298" t="s">
        <v>1494</v>
      </c>
      <c r="F164" s="211"/>
      <c r="G164" s="298" t="s">
        <v>1494</v>
      </c>
    </row>
    <row r="165" spans="2:7">
      <c r="B165" s="121">
        <v>4</v>
      </c>
      <c r="C165" s="213" t="str">
        <f t="shared" si="14"/>
        <v>VBR-4</v>
      </c>
      <c r="D165" s="211"/>
      <c r="E165" s="298" t="s">
        <v>1495</v>
      </c>
      <c r="F165" s="211"/>
      <c r="G165" s="298" t="s">
        <v>1495</v>
      </c>
    </row>
    <row r="166" spans="2:7">
      <c r="B166" s="121">
        <v>5</v>
      </c>
      <c r="C166" s="213" t="str">
        <f t="shared" si="14"/>
        <v>VBR-5</v>
      </c>
      <c r="D166" s="211"/>
      <c r="E166" s="298" t="s">
        <v>1496</v>
      </c>
      <c r="F166" s="211"/>
      <c r="G166" s="298" t="s">
        <v>1496</v>
      </c>
    </row>
    <row r="167" spans="2:7">
      <c r="B167" s="121">
        <v>6</v>
      </c>
      <c r="C167" s="213" t="str">
        <f t="shared" si="14"/>
        <v>VBR-6</v>
      </c>
      <c r="D167" s="211"/>
      <c r="E167" s="298" t="s">
        <v>1497</v>
      </c>
      <c r="F167" s="211"/>
      <c r="G167" s="298" t="s">
        <v>1497</v>
      </c>
    </row>
    <row r="168" spans="2:7">
      <c r="B168" s="121">
        <v>7</v>
      </c>
      <c r="C168" s="213" t="str">
        <f t="shared" si="14"/>
        <v>VBR-7</v>
      </c>
      <c r="D168" s="211"/>
      <c r="E168" s="298" t="s">
        <v>1498</v>
      </c>
      <c r="F168" s="211"/>
      <c r="G168" s="298" t="s">
        <v>1498</v>
      </c>
    </row>
    <row r="169" spans="2:7">
      <c r="B169" s="121">
        <v>8</v>
      </c>
      <c r="C169" s="213" t="str">
        <f t="shared" si="14"/>
        <v>VBR-8</v>
      </c>
      <c r="D169" s="211"/>
      <c r="E169" s="298" t="s">
        <v>1499</v>
      </c>
      <c r="F169" s="211"/>
      <c r="G169" s="298" t="s">
        <v>1499</v>
      </c>
    </row>
    <row r="170" spans="2:7">
      <c r="B170" s="121">
        <v>9</v>
      </c>
      <c r="C170" s="213" t="str">
        <f t="shared" si="14"/>
        <v>VBR-9</v>
      </c>
      <c r="D170" s="211"/>
      <c r="E170" s="298" t="s">
        <v>1500</v>
      </c>
      <c r="F170" s="211"/>
      <c r="G170" s="298" t="s">
        <v>1500</v>
      </c>
    </row>
    <row r="171" spans="2:7">
      <c r="B171" s="121">
        <v>10</v>
      </c>
      <c r="C171" s="213" t="str">
        <f t="shared" si="14"/>
        <v>VBR-10</v>
      </c>
      <c r="D171" s="211"/>
      <c r="E171" s="298" t="s">
        <v>1501</v>
      </c>
      <c r="F171" s="211"/>
      <c r="G171" s="298" t="s">
        <v>1501</v>
      </c>
    </row>
    <row r="172" spans="2:7">
      <c r="B172" s="121">
        <v>11</v>
      </c>
      <c r="C172" s="213" t="str">
        <f t="shared" si="14"/>
        <v>VBR-11</v>
      </c>
      <c r="D172" s="211"/>
      <c r="E172" s="298" t="s">
        <v>926</v>
      </c>
      <c r="F172" s="211"/>
      <c r="G172" s="298" t="s">
        <v>926</v>
      </c>
    </row>
    <row r="173" spans="2:7">
      <c r="B173" s="121">
        <v>12</v>
      </c>
      <c r="C173" s="213" t="str">
        <f t="shared" si="14"/>
        <v>VBR-12</v>
      </c>
      <c r="D173" s="211"/>
      <c r="E173" s="298" t="s">
        <v>1502</v>
      </c>
      <c r="F173" s="211"/>
      <c r="G173" s="298" t="s">
        <v>1502</v>
      </c>
    </row>
    <row r="174" spans="2:7">
      <c r="B174" s="121">
        <v>13</v>
      </c>
      <c r="C174" s="213" t="str">
        <f t="shared" si="14"/>
        <v>VBR-13</v>
      </c>
      <c r="D174" s="211"/>
      <c r="E174" s="298" t="s">
        <v>1503</v>
      </c>
      <c r="F174" s="211"/>
      <c r="G174" s="298" t="s">
        <v>1503</v>
      </c>
    </row>
    <row r="175" spans="2:7">
      <c r="E175" s="298" t="s">
        <v>1504</v>
      </c>
    </row>
  </sheetData>
  <protectedRanges>
    <protectedRange algorithmName="SHA-512" hashValue="ZguYlAdyb71IMfth0JhjlmtxX14hVx5omQi5ApBlH1eRzvDoMKrcH/U5ix8udScoKrPOyilweqooMB5Tej6y8g==" saltValue="7zSaR8crDg3BlTT9T4K2tg==" spinCount="100000" sqref="E9 G9" name="Interview"/>
    <protectedRange algorithmName="SHA-512" hashValue="ZguYlAdyb71IMfth0JhjlmtxX14hVx5omQi5ApBlH1eRzvDoMKrcH/U5ix8udScoKrPOyilweqooMB5Tej6y8g==" saltValue="7zSaR8crDg3BlTT9T4K2tg==" spinCount="100000" sqref="E16 G16" name="Interview_2"/>
  </protectedRanges>
  <pageMargins left="0.7" right="0.7" top="0.75" bottom="0.75" header="0.3" footer="0.3"/>
  <pageSetup paperSize="9" orientation="portrait" horizontalDpi="4294967293" verticalDpi="4294967293"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AE2E4-3845-487D-BA9B-4D737D39805A}">
  <sheetPr codeName="Sheet7"/>
  <dimension ref="A1:A16"/>
  <sheetViews>
    <sheetView workbookViewId="0">
      <selection activeCell="A17" sqref="A17"/>
    </sheetView>
  </sheetViews>
  <sheetFormatPr defaultRowHeight="14.45"/>
  <cols>
    <col min="1" max="1" width="43.28515625" bestFit="1" customWidth="1"/>
  </cols>
  <sheetData>
    <row r="1" spans="1:1">
      <c r="A1" s="136" t="s">
        <v>1505</v>
      </c>
    </row>
    <row r="2" spans="1:1">
      <c r="A2" s="133" t="s">
        <v>33</v>
      </c>
    </row>
    <row r="3" spans="1:1">
      <c r="A3" s="133" t="s">
        <v>246</v>
      </c>
    </row>
    <row r="4" spans="1:1">
      <c r="A4" s="133" t="s">
        <v>277</v>
      </c>
    </row>
    <row r="5" spans="1:1">
      <c r="A5" s="133" t="s">
        <v>838</v>
      </c>
    </row>
    <row r="6" spans="1:1">
      <c r="A6" s="134" t="s">
        <v>796</v>
      </c>
    </row>
    <row r="7" spans="1:1">
      <c r="A7" s="133" t="s">
        <v>215</v>
      </c>
    </row>
    <row r="8" spans="1:1">
      <c r="A8" s="133" t="s">
        <v>405</v>
      </c>
    </row>
    <row r="9" spans="1:1">
      <c r="A9" s="133" t="s">
        <v>1506</v>
      </c>
    </row>
    <row r="10" spans="1:1">
      <c r="A10" s="133" t="s">
        <v>1507</v>
      </c>
    </row>
    <row r="11" spans="1:1">
      <c r="A11" s="135" t="s">
        <v>591</v>
      </c>
    </row>
    <row r="12" spans="1:1">
      <c r="A12" s="135" t="s">
        <v>427</v>
      </c>
    </row>
    <row r="13" spans="1:1">
      <c r="A13" s="133" t="s">
        <v>525</v>
      </c>
    </row>
    <row r="14" spans="1:1">
      <c r="A14" s="133" t="s">
        <v>543</v>
      </c>
    </row>
    <row r="15" spans="1:1">
      <c r="A15" s="137" t="s">
        <v>373</v>
      </c>
    </row>
    <row r="16" spans="1:1">
      <c r="A16" s="137" t="s">
        <v>1508</v>
      </c>
    </row>
  </sheetData>
  <protectedRanges>
    <protectedRange algorithmName="SHA-512" hashValue="Z9ycIa4oHidBQMiAt2AX+gEEC8jqt1cFsinus+ISfocoorFUftCWJCXseWx0PHeGIDpFuelXNgjA0mo9HX1gdw==" saltValue="XRg85kHByHmpaZ1VL1h73w==" spinCount="100000" sqref="A2" name="Outlet Details_3_1"/>
    <protectedRange algorithmName="SHA-512" hashValue="iHBnd05iYpG1+tnWmFRUb1VQfbe80GZa6LODTIcXJBT6t50yyUwGjmaoQtayVaOjabnOjEBtxJb57EHDRou0xA==" saltValue="/YIOpUEHl96pmnrCwbESWw==" spinCount="100000" sqref="A6 B4:XFC4" name="End"/>
  </protectedRanges>
  <sortState xmlns:xlrd2="http://schemas.microsoft.com/office/spreadsheetml/2017/richdata2" ref="A1:A8">
    <sortCondition ref="A1:A8"/>
  </sortState>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1CA84-C6CF-4DE0-9545-06542D4E84E9}">
  <sheetPr codeName="Sheet22">
    <tabColor rgb="FFFF3399"/>
  </sheetPr>
  <dimension ref="A1:C347"/>
  <sheetViews>
    <sheetView topLeftCell="A18" zoomScale="70" zoomScaleNormal="70" workbookViewId="0">
      <selection activeCell="A18" sqref="A18"/>
    </sheetView>
  </sheetViews>
  <sheetFormatPr defaultColWidth="0" defaultRowHeight="14.45"/>
  <cols>
    <col min="1" max="1" width="11.7109375" style="73" customWidth="1"/>
    <col min="2" max="2" width="25.7109375" style="147" bestFit="1" customWidth="1"/>
    <col min="3" max="3" width="9.28515625" style="84" customWidth="1"/>
    <col min="4" max="16384" width="8.7109375" style="84" hidden="1"/>
  </cols>
  <sheetData>
    <row r="1" spans="1:2">
      <c r="A1" s="115" t="s">
        <v>1509</v>
      </c>
      <c r="B1" s="145" t="s">
        <v>1510</v>
      </c>
    </row>
    <row r="2" spans="1:2">
      <c r="A2" s="121">
        <v>1</v>
      </c>
      <c r="B2" s="146" t="s">
        <v>1511</v>
      </c>
    </row>
    <row r="3" spans="1:2">
      <c r="A3" s="121">
        <v>2</v>
      </c>
      <c r="B3" s="146" t="s">
        <v>1512</v>
      </c>
    </row>
    <row r="4" spans="1:2">
      <c r="A4" s="121">
        <v>3</v>
      </c>
      <c r="B4" s="146" t="s">
        <v>1513</v>
      </c>
    </row>
    <row r="6" spans="1:2">
      <c r="A6" s="115" t="s">
        <v>1514</v>
      </c>
      <c r="B6" s="145" t="s">
        <v>1515</v>
      </c>
    </row>
    <row r="7" spans="1:2">
      <c r="A7" s="121">
        <v>1</v>
      </c>
      <c r="B7" s="146" t="s">
        <v>1297</v>
      </c>
    </row>
    <row r="8" spans="1:2">
      <c r="A8" s="121">
        <v>2</v>
      </c>
      <c r="B8" s="146" t="s">
        <v>1299</v>
      </c>
    </row>
    <row r="9" spans="1:2">
      <c r="A9" s="121">
        <v>3</v>
      </c>
      <c r="B9" s="146" t="s">
        <v>1516</v>
      </c>
    </row>
    <row r="10" spans="1:2">
      <c r="A10" s="121">
        <v>4</v>
      </c>
      <c r="B10" s="146" t="s">
        <v>1517</v>
      </c>
    </row>
    <row r="12" spans="1:2">
      <c r="A12" s="115" t="s">
        <v>1518</v>
      </c>
      <c r="B12" s="145" t="s">
        <v>296</v>
      </c>
    </row>
    <row r="13" spans="1:2">
      <c r="A13" s="121">
        <v>1</v>
      </c>
      <c r="B13" s="146" t="s">
        <v>1304</v>
      </c>
    </row>
    <row r="14" spans="1:2">
      <c r="A14" s="121">
        <v>2</v>
      </c>
      <c r="B14" s="146" t="s">
        <v>1306</v>
      </c>
    </row>
    <row r="15" spans="1:2">
      <c r="A15" s="121">
        <v>3</v>
      </c>
      <c r="B15" s="146" t="s">
        <v>1308</v>
      </c>
    </row>
    <row r="16" spans="1:2">
      <c r="A16" s="121"/>
      <c r="B16" s="146"/>
    </row>
    <row r="18" spans="1:2">
      <c r="A18" s="115" t="s">
        <v>1519</v>
      </c>
      <c r="B18" s="145" t="s">
        <v>1520</v>
      </c>
    </row>
    <row r="19" spans="1:2">
      <c r="A19" s="121">
        <v>1</v>
      </c>
      <c r="B19" s="146" t="s">
        <v>1521</v>
      </c>
    </row>
    <row r="20" spans="1:2">
      <c r="A20" s="121">
        <v>2</v>
      </c>
      <c r="B20" s="146" t="s">
        <v>1522</v>
      </c>
    </row>
    <row r="22" spans="1:2">
      <c r="A22" s="115" t="s">
        <v>1523</v>
      </c>
      <c r="B22" s="145" t="s">
        <v>1524</v>
      </c>
    </row>
    <row r="23" spans="1:2">
      <c r="A23" s="121">
        <v>1</v>
      </c>
      <c r="B23" s="146" t="s">
        <v>1525</v>
      </c>
    </row>
    <row r="24" spans="1:2">
      <c r="A24" s="121">
        <v>2</v>
      </c>
      <c r="B24" s="146" t="s">
        <v>1526</v>
      </c>
    </row>
    <row r="25" spans="1:2">
      <c r="A25" s="121">
        <v>3</v>
      </c>
      <c r="B25" s="146" t="s">
        <v>1527</v>
      </c>
    </row>
    <row r="26" spans="1:2">
      <c r="A26" s="121">
        <v>4</v>
      </c>
      <c r="B26" s="146" t="s">
        <v>1528</v>
      </c>
    </row>
    <row r="28" spans="1:2">
      <c r="A28" s="115" t="s">
        <v>1529</v>
      </c>
      <c r="B28" s="145" t="s">
        <v>1530</v>
      </c>
    </row>
    <row r="29" spans="1:2">
      <c r="A29" s="121">
        <v>1</v>
      </c>
      <c r="B29" s="146" t="s">
        <v>1531</v>
      </c>
    </row>
    <row r="30" spans="1:2">
      <c r="A30" s="121">
        <v>2</v>
      </c>
      <c r="B30" s="146" t="s">
        <v>1532</v>
      </c>
    </row>
    <row r="31" spans="1:2">
      <c r="A31" s="121">
        <v>3</v>
      </c>
      <c r="B31" s="146" t="s">
        <v>1533</v>
      </c>
    </row>
    <row r="32" spans="1:2">
      <c r="A32" s="121">
        <v>4</v>
      </c>
      <c r="B32" s="146" t="s">
        <v>1534</v>
      </c>
    </row>
    <row r="33" spans="1:2">
      <c r="A33" s="121">
        <v>5</v>
      </c>
      <c r="B33" s="146" t="s">
        <v>1535</v>
      </c>
    </row>
    <row r="35" spans="1:2">
      <c r="A35" s="115" t="s">
        <v>1536</v>
      </c>
      <c r="B35" s="145" t="s">
        <v>1537</v>
      </c>
    </row>
    <row r="36" spans="1:2">
      <c r="A36" s="121">
        <v>1</v>
      </c>
      <c r="B36" s="146" t="s">
        <v>1538</v>
      </c>
    </row>
    <row r="37" spans="1:2">
      <c r="A37" s="121">
        <v>2</v>
      </c>
      <c r="B37" s="146" t="s">
        <v>1539</v>
      </c>
    </row>
    <row r="38" spans="1:2">
      <c r="A38" s="121">
        <v>3</v>
      </c>
      <c r="B38" s="146" t="s">
        <v>1540</v>
      </c>
    </row>
    <row r="40" spans="1:2">
      <c r="A40" s="115" t="s">
        <v>1541</v>
      </c>
      <c r="B40" s="145" t="s">
        <v>1542</v>
      </c>
    </row>
    <row r="41" spans="1:2">
      <c r="A41" s="121">
        <v>1</v>
      </c>
      <c r="B41" s="146" t="s">
        <v>1543</v>
      </c>
    </row>
    <row r="42" spans="1:2">
      <c r="A42" s="121">
        <v>2</v>
      </c>
      <c r="B42" s="146" t="s">
        <v>1544</v>
      </c>
    </row>
    <row r="43" spans="1:2">
      <c r="A43" s="121">
        <v>3</v>
      </c>
      <c r="B43" s="146" t="s">
        <v>1545</v>
      </c>
    </row>
    <row r="45" spans="1:2">
      <c r="A45" s="115" t="s">
        <v>1546</v>
      </c>
      <c r="B45" s="145" t="s">
        <v>1547</v>
      </c>
    </row>
    <row r="46" spans="1:2">
      <c r="A46" s="121">
        <v>1</v>
      </c>
      <c r="B46" s="146" t="s">
        <v>1548</v>
      </c>
    </row>
    <row r="47" spans="1:2">
      <c r="A47" s="121">
        <v>2</v>
      </c>
      <c r="B47" s="146" t="s">
        <v>1549</v>
      </c>
    </row>
    <row r="48" spans="1:2">
      <c r="A48" s="121">
        <v>3</v>
      </c>
      <c r="B48" s="146" t="s">
        <v>1550</v>
      </c>
    </row>
    <row r="49" spans="1:2">
      <c r="A49" s="121">
        <v>4</v>
      </c>
      <c r="B49" s="146" t="s">
        <v>1551</v>
      </c>
    </row>
    <row r="50" spans="1:2">
      <c r="A50" s="121">
        <v>5</v>
      </c>
      <c r="B50" s="146" t="s">
        <v>1552</v>
      </c>
    </row>
    <row r="52" spans="1:2" ht="28.9">
      <c r="A52" s="138" t="s">
        <v>1553</v>
      </c>
      <c r="B52" s="148" t="s">
        <v>1554</v>
      </c>
    </row>
    <row r="53" spans="1:2">
      <c r="A53" s="121">
        <v>1</v>
      </c>
      <c r="B53" s="146" t="s">
        <v>1555</v>
      </c>
    </row>
    <row r="54" spans="1:2">
      <c r="A54" s="121">
        <v>2</v>
      </c>
      <c r="B54" s="146" t="s">
        <v>1556</v>
      </c>
    </row>
    <row r="55" spans="1:2">
      <c r="A55" s="121">
        <v>3</v>
      </c>
      <c r="B55" s="146" t="s">
        <v>1557</v>
      </c>
    </row>
    <row r="56" spans="1:2">
      <c r="A56" s="121">
        <v>4</v>
      </c>
      <c r="B56" s="146" t="s">
        <v>1558</v>
      </c>
    </row>
    <row r="57" spans="1:2">
      <c r="A57" s="121">
        <v>5</v>
      </c>
      <c r="B57" s="146" t="s">
        <v>1559</v>
      </c>
    </row>
    <row r="58" spans="1:2">
      <c r="A58" s="121">
        <v>6</v>
      </c>
      <c r="B58" s="146" t="s">
        <v>1560</v>
      </c>
    </row>
    <row r="59" spans="1:2">
      <c r="A59" s="121">
        <v>7</v>
      </c>
      <c r="B59" s="146" t="s">
        <v>1561</v>
      </c>
    </row>
    <row r="61" spans="1:2">
      <c r="A61" s="138" t="s">
        <v>1562</v>
      </c>
      <c r="B61" s="148" t="s">
        <v>1563</v>
      </c>
    </row>
    <row r="62" spans="1:2">
      <c r="A62" s="121">
        <v>1</v>
      </c>
      <c r="B62" s="146" t="s">
        <v>1564</v>
      </c>
    </row>
    <row r="63" spans="1:2">
      <c r="A63" s="121">
        <v>2</v>
      </c>
      <c r="B63" s="146" t="s">
        <v>1565</v>
      </c>
    </row>
    <row r="64" spans="1:2">
      <c r="A64" s="121">
        <v>3</v>
      </c>
      <c r="B64" s="146" t="s">
        <v>1566</v>
      </c>
    </row>
    <row r="65" spans="1:2">
      <c r="A65" s="121">
        <v>4</v>
      </c>
      <c r="B65" s="146" t="s">
        <v>1567</v>
      </c>
    </row>
    <row r="66" spans="1:2">
      <c r="A66" s="121">
        <v>5</v>
      </c>
      <c r="B66" s="146" t="s">
        <v>1568</v>
      </c>
    </row>
    <row r="67" spans="1:2">
      <c r="A67" s="121">
        <v>6</v>
      </c>
      <c r="B67" s="146" t="s">
        <v>1569</v>
      </c>
    </row>
    <row r="68" spans="1:2">
      <c r="A68" s="121">
        <v>7</v>
      </c>
      <c r="B68" s="146" t="s">
        <v>1570</v>
      </c>
    </row>
    <row r="69" spans="1:2">
      <c r="A69" s="121">
        <v>8</v>
      </c>
      <c r="B69" s="146" t="s">
        <v>1571</v>
      </c>
    </row>
    <row r="70" spans="1:2">
      <c r="A70" s="121">
        <v>9</v>
      </c>
      <c r="B70" s="146" t="s">
        <v>1572</v>
      </c>
    </row>
    <row r="71" spans="1:2">
      <c r="A71" s="121">
        <v>10</v>
      </c>
      <c r="B71" s="146" t="s">
        <v>1573</v>
      </c>
    </row>
    <row r="72" spans="1:2">
      <c r="A72" s="121">
        <v>11</v>
      </c>
      <c r="B72" s="146" t="s">
        <v>1574</v>
      </c>
    </row>
    <row r="73" spans="1:2">
      <c r="A73" s="121">
        <v>12</v>
      </c>
      <c r="B73" s="146" t="s">
        <v>1575</v>
      </c>
    </row>
    <row r="75" spans="1:2">
      <c r="A75" s="138" t="s">
        <v>1576</v>
      </c>
      <c r="B75" s="148" t="s">
        <v>1577</v>
      </c>
    </row>
    <row r="76" spans="1:2">
      <c r="A76" s="121">
        <v>1</v>
      </c>
      <c r="B76" s="146" t="s">
        <v>1578</v>
      </c>
    </row>
    <row r="77" spans="1:2">
      <c r="A77" s="121">
        <v>2</v>
      </c>
      <c r="B77" s="146" t="s">
        <v>1579</v>
      </c>
    </row>
    <row r="78" spans="1:2">
      <c r="A78" s="121">
        <v>3</v>
      </c>
      <c r="B78" s="146" t="s">
        <v>1580</v>
      </c>
    </row>
    <row r="79" spans="1:2">
      <c r="A79" s="121">
        <v>4</v>
      </c>
      <c r="B79" s="146" t="s">
        <v>1581</v>
      </c>
    </row>
    <row r="80" spans="1:2">
      <c r="A80" s="121">
        <v>5</v>
      </c>
      <c r="B80" s="146" t="s">
        <v>1582</v>
      </c>
    </row>
    <row r="81" spans="1:2">
      <c r="A81" s="121">
        <v>6</v>
      </c>
      <c r="B81" s="146" t="s">
        <v>1583</v>
      </c>
    </row>
    <row r="83" spans="1:2">
      <c r="A83" s="138" t="s">
        <v>1584</v>
      </c>
      <c r="B83" s="148" t="s">
        <v>1585</v>
      </c>
    </row>
    <row r="84" spans="1:2">
      <c r="A84" s="121">
        <v>1</v>
      </c>
      <c r="B84" s="146" t="s">
        <v>1586</v>
      </c>
    </row>
    <row r="85" spans="1:2">
      <c r="A85" s="121">
        <v>2</v>
      </c>
      <c r="B85" s="146" t="s">
        <v>1587</v>
      </c>
    </row>
    <row r="86" spans="1:2">
      <c r="A86" s="121">
        <v>3</v>
      </c>
      <c r="B86" s="146" t="s">
        <v>1588</v>
      </c>
    </row>
    <row r="87" spans="1:2">
      <c r="A87" s="121">
        <v>4</v>
      </c>
      <c r="B87" s="146" t="s">
        <v>1589</v>
      </c>
    </row>
    <row r="89" spans="1:2">
      <c r="A89" s="138" t="s">
        <v>1590</v>
      </c>
      <c r="B89" s="148" t="s">
        <v>750</v>
      </c>
    </row>
    <row r="90" spans="1:2">
      <c r="A90" s="121">
        <v>1</v>
      </c>
      <c r="B90" s="146" t="s">
        <v>1591</v>
      </c>
    </row>
    <row r="91" spans="1:2">
      <c r="A91" s="121">
        <v>2</v>
      </c>
      <c r="B91" s="146" t="s">
        <v>1592</v>
      </c>
    </row>
    <row r="92" spans="1:2">
      <c r="A92" s="121">
        <v>3</v>
      </c>
      <c r="B92" s="146" t="s">
        <v>1593</v>
      </c>
    </row>
    <row r="93" spans="1:2">
      <c r="A93" s="121">
        <v>4</v>
      </c>
      <c r="B93" s="146" t="s">
        <v>1594</v>
      </c>
    </row>
    <row r="94" spans="1:2">
      <c r="A94" s="121">
        <v>5</v>
      </c>
      <c r="B94" s="146" t="s">
        <v>1595</v>
      </c>
    </row>
    <row r="95" spans="1:2">
      <c r="A95" s="121">
        <v>6</v>
      </c>
      <c r="B95" s="146" t="s">
        <v>1596</v>
      </c>
    </row>
    <row r="97" spans="1:2">
      <c r="A97" s="138" t="s">
        <v>1597</v>
      </c>
      <c r="B97" s="148" t="s">
        <v>1598</v>
      </c>
    </row>
    <row r="98" spans="1:2">
      <c r="A98" s="121">
        <v>1</v>
      </c>
      <c r="B98" s="146" t="s">
        <v>1599</v>
      </c>
    </row>
    <row r="99" spans="1:2">
      <c r="A99" s="121">
        <v>2</v>
      </c>
      <c r="B99" s="146" t="s">
        <v>1600</v>
      </c>
    </row>
    <row r="100" spans="1:2">
      <c r="A100" s="121">
        <v>3</v>
      </c>
      <c r="B100" s="146" t="s">
        <v>1601</v>
      </c>
    </row>
    <row r="101" spans="1:2">
      <c r="A101" s="121">
        <v>4</v>
      </c>
      <c r="B101" s="146" t="s">
        <v>1602</v>
      </c>
    </row>
    <row r="103" spans="1:2">
      <c r="A103" s="138" t="s">
        <v>1603</v>
      </c>
      <c r="B103" s="148" t="s">
        <v>1604</v>
      </c>
    </row>
    <row r="104" spans="1:2">
      <c r="A104" s="121">
        <v>1</v>
      </c>
      <c r="B104" s="146" t="s">
        <v>1605</v>
      </c>
    </row>
    <row r="105" spans="1:2">
      <c r="A105" s="121">
        <v>2</v>
      </c>
      <c r="B105" s="146" t="s">
        <v>1606</v>
      </c>
    </row>
    <row r="106" spans="1:2">
      <c r="A106" s="121">
        <v>3</v>
      </c>
      <c r="B106" s="146" t="s">
        <v>1607</v>
      </c>
    </row>
    <row r="107" spans="1:2">
      <c r="A107" s="121">
        <v>4</v>
      </c>
      <c r="B107" s="146" t="s">
        <v>1608</v>
      </c>
    </row>
    <row r="108" spans="1:2">
      <c r="A108" s="121">
        <v>5</v>
      </c>
      <c r="B108" s="146" t="s">
        <v>1609</v>
      </c>
    </row>
    <row r="110" spans="1:2">
      <c r="A110" s="138" t="s">
        <v>1610</v>
      </c>
      <c r="B110" s="148" t="s">
        <v>1611</v>
      </c>
    </row>
    <row r="111" spans="1:2">
      <c r="A111" s="121">
        <v>1</v>
      </c>
      <c r="B111" s="146" t="s">
        <v>1612</v>
      </c>
    </row>
    <row r="112" spans="1:2">
      <c r="A112" s="121">
        <v>2</v>
      </c>
      <c r="B112" s="146" t="s">
        <v>1613</v>
      </c>
    </row>
    <row r="113" spans="1:2">
      <c r="A113" s="121">
        <v>3</v>
      </c>
      <c r="B113" s="146" t="s">
        <v>1614</v>
      </c>
    </row>
    <row r="114" spans="1:2">
      <c r="A114" s="121">
        <v>4</v>
      </c>
      <c r="B114" s="146" t="s">
        <v>1615</v>
      </c>
    </row>
    <row r="116" spans="1:2">
      <c r="A116" s="138" t="s">
        <v>1616</v>
      </c>
      <c r="B116" s="148" t="s">
        <v>1617</v>
      </c>
    </row>
    <row r="117" spans="1:2">
      <c r="A117" s="121">
        <v>1</v>
      </c>
      <c r="B117" s="146" t="s">
        <v>1618</v>
      </c>
    </row>
    <row r="118" spans="1:2">
      <c r="A118" s="121">
        <v>2</v>
      </c>
      <c r="B118" s="146" t="s">
        <v>1345</v>
      </c>
    </row>
    <row r="119" spans="1:2">
      <c r="A119" s="121">
        <v>3</v>
      </c>
      <c r="B119" s="146" t="s">
        <v>1619</v>
      </c>
    </row>
    <row r="120" spans="1:2">
      <c r="A120" s="121">
        <v>4</v>
      </c>
      <c r="B120" s="146" t="s">
        <v>1620</v>
      </c>
    </row>
    <row r="121" spans="1:2">
      <c r="A121" s="121">
        <v>5</v>
      </c>
      <c r="B121" s="146" t="s">
        <v>1333</v>
      </c>
    </row>
    <row r="122" spans="1:2">
      <c r="A122" s="121">
        <v>6</v>
      </c>
      <c r="B122" s="146" t="s">
        <v>1621</v>
      </c>
    </row>
    <row r="123" spans="1:2">
      <c r="A123" s="121">
        <v>7</v>
      </c>
      <c r="B123" s="146" t="s">
        <v>1607</v>
      </c>
    </row>
    <row r="124" spans="1:2">
      <c r="A124" s="121">
        <v>8</v>
      </c>
      <c r="B124" s="146" t="s">
        <v>1622</v>
      </c>
    </row>
    <row r="125" spans="1:2">
      <c r="A125" s="121">
        <v>9</v>
      </c>
      <c r="B125" s="146" t="s">
        <v>1623</v>
      </c>
    </row>
    <row r="126" spans="1:2">
      <c r="A126" s="121">
        <v>10</v>
      </c>
      <c r="B126" s="146" t="s">
        <v>1624</v>
      </c>
    </row>
    <row r="127" spans="1:2">
      <c r="A127" s="121">
        <v>11</v>
      </c>
      <c r="B127" s="146" t="s">
        <v>1625</v>
      </c>
    </row>
    <row r="128" spans="1:2">
      <c r="A128" s="121">
        <v>12</v>
      </c>
      <c r="B128" s="146" t="s">
        <v>1626</v>
      </c>
    </row>
    <row r="130" spans="1:2">
      <c r="A130" s="138" t="s">
        <v>1627</v>
      </c>
      <c r="B130" s="148" t="s">
        <v>1628</v>
      </c>
    </row>
    <row r="131" spans="1:2">
      <c r="A131" s="121">
        <v>1</v>
      </c>
      <c r="B131" s="146" t="s">
        <v>1629</v>
      </c>
    </row>
    <row r="132" spans="1:2">
      <c r="A132" s="121">
        <v>2</v>
      </c>
      <c r="B132" s="146" t="s">
        <v>1630</v>
      </c>
    </row>
    <row r="134" spans="1:2">
      <c r="A134" s="138" t="s">
        <v>1631</v>
      </c>
      <c r="B134" s="148" t="s">
        <v>1632</v>
      </c>
    </row>
    <row r="135" spans="1:2">
      <c r="A135" s="121">
        <v>1</v>
      </c>
      <c r="B135" s="146" t="s">
        <v>1633</v>
      </c>
    </row>
    <row r="136" spans="1:2">
      <c r="A136" s="121">
        <v>2</v>
      </c>
      <c r="B136" s="146" t="s">
        <v>1634</v>
      </c>
    </row>
    <row r="137" spans="1:2">
      <c r="A137" s="121">
        <v>3</v>
      </c>
      <c r="B137" s="146" t="s">
        <v>1635</v>
      </c>
    </row>
    <row r="138" spans="1:2">
      <c r="A138" s="121">
        <v>4</v>
      </c>
      <c r="B138" s="146" t="s">
        <v>1636</v>
      </c>
    </row>
    <row r="139" spans="1:2">
      <c r="A139" s="121">
        <v>5</v>
      </c>
      <c r="B139" s="146" t="s">
        <v>1637</v>
      </c>
    </row>
    <row r="140" spans="1:2">
      <c r="A140" s="121">
        <v>6</v>
      </c>
      <c r="B140" s="146" t="s">
        <v>1638</v>
      </c>
    </row>
    <row r="142" spans="1:2">
      <c r="A142" s="138" t="s">
        <v>1639</v>
      </c>
      <c r="B142" s="148" t="s">
        <v>1640</v>
      </c>
    </row>
    <row r="143" spans="1:2">
      <c r="A143" s="121">
        <v>1</v>
      </c>
      <c r="B143" s="146" t="s">
        <v>1641</v>
      </c>
    </row>
    <row r="144" spans="1:2">
      <c r="A144" s="121">
        <v>2</v>
      </c>
      <c r="B144" s="146" t="s">
        <v>1642</v>
      </c>
    </row>
    <row r="145" spans="1:2">
      <c r="A145" s="121">
        <v>3</v>
      </c>
      <c r="B145" s="146" t="s">
        <v>1333</v>
      </c>
    </row>
    <row r="146" spans="1:2">
      <c r="A146" s="121">
        <v>4</v>
      </c>
      <c r="B146" s="146" t="s">
        <v>1643</v>
      </c>
    </row>
    <row r="147" spans="1:2">
      <c r="A147" s="121">
        <v>5</v>
      </c>
      <c r="B147" s="146" t="s">
        <v>1644</v>
      </c>
    </row>
    <row r="148" spans="1:2">
      <c r="A148" s="121">
        <v>6</v>
      </c>
      <c r="B148" s="146" t="s">
        <v>1638</v>
      </c>
    </row>
    <row r="150" spans="1:2">
      <c r="A150" s="138" t="s">
        <v>1645</v>
      </c>
      <c r="B150" s="148" t="s">
        <v>1646</v>
      </c>
    </row>
    <row r="151" spans="1:2">
      <c r="A151" s="121">
        <v>1</v>
      </c>
      <c r="B151" s="146" t="s">
        <v>1647</v>
      </c>
    </row>
    <row r="152" spans="1:2">
      <c r="A152" s="121">
        <v>2</v>
      </c>
      <c r="B152" s="146" t="s">
        <v>1648</v>
      </c>
    </row>
    <row r="153" spans="1:2">
      <c r="A153" s="121">
        <v>3</v>
      </c>
      <c r="B153" s="146" t="s">
        <v>1600</v>
      </c>
    </row>
    <row r="154" spans="1:2">
      <c r="A154" s="121">
        <v>4</v>
      </c>
      <c r="B154" s="146" t="s">
        <v>1602</v>
      </c>
    </row>
    <row r="155" spans="1:2">
      <c r="A155" s="121">
        <v>5</v>
      </c>
      <c r="B155" s="146" t="s">
        <v>1601</v>
      </c>
    </row>
    <row r="157" spans="1:2">
      <c r="A157" s="117" t="s">
        <v>1649</v>
      </c>
      <c r="B157" s="145" t="s">
        <v>1650</v>
      </c>
    </row>
    <row r="158" spans="1:2">
      <c r="A158" s="121">
        <v>1</v>
      </c>
      <c r="B158" s="146" t="s">
        <v>1651</v>
      </c>
    </row>
    <row r="159" spans="1:2">
      <c r="A159" s="121">
        <v>2</v>
      </c>
      <c r="B159" s="146" t="s">
        <v>1652</v>
      </c>
    </row>
    <row r="160" spans="1:2">
      <c r="A160" s="121">
        <v>3</v>
      </c>
      <c r="B160" s="146" t="s">
        <v>1653</v>
      </c>
    </row>
    <row r="161" spans="1:2">
      <c r="A161" s="121">
        <v>4</v>
      </c>
      <c r="B161" s="146" t="s">
        <v>1654</v>
      </c>
    </row>
    <row r="162" spans="1:2">
      <c r="A162" s="121">
        <v>5</v>
      </c>
      <c r="B162" s="146" t="s">
        <v>1655</v>
      </c>
    </row>
    <row r="163" spans="1:2">
      <c r="A163" s="121">
        <v>6</v>
      </c>
      <c r="B163" s="146" t="s">
        <v>1656</v>
      </c>
    </row>
    <row r="164" spans="1:2">
      <c r="A164" s="121">
        <v>7</v>
      </c>
      <c r="B164" s="146" t="s">
        <v>1657</v>
      </c>
    </row>
    <row r="165" spans="1:2">
      <c r="A165" s="121">
        <v>8</v>
      </c>
      <c r="B165" s="146" t="s">
        <v>1658</v>
      </c>
    </row>
    <row r="166" spans="1:2">
      <c r="A166" s="121">
        <v>9</v>
      </c>
      <c r="B166" s="146" t="s">
        <v>1659</v>
      </c>
    </row>
    <row r="167" spans="1:2">
      <c r="A167" s="121">
        <v>10</v>
      </c>
      <c r="B167" s="146" t="s">
        <v>1660</v>
      </c>
    </row>
    <row r="168" spans="1:2">
      <c r="A168" s="121">
        <v>11</v>
      </c>
      <c r="B168" s="146" t="s">
        <v>1661</v>
      </c>
    </row>
    <row r="169" spans="1:2">
      <c r="A169" s="121">
        <v>12</v>
      </c>
      <c r="B169" s="146" t="s">
        <v>1662</v>
      </c>
    </row>
    <row r="170" spans="1:2">
      <c r="A170" s="121">
        <v>13</v>
      </c>
      <c r="B170" s="146" t="s">
        <v>1663</v>
      </c>
    </row>
    <row r="172" spans="1:2">
      <c r="A172" s="117" t="s">
        <v>1664</v>
      </c>
      <c r="B172" s="145" t="s">
        <v>1665</v>
      </c>
    </row>
    <row r="173" spans="1:2">
      <c r="A173" s="121">
        <v>1</v>
      </c>
      <c r="B173" s="146" t="s">
        <v>1333</v>
      </c>
    </row>
    <row r="174" spans="1:2">
      <c r="A174" s="121">
        <v>2</v>
      </c>
      <c r="B174" s="146" t="s">
        <v>1622</v>
      </c>
    </row>
    <row r="175" spans="1:2">
      <c r="A175" s="121">
        <v>3</v>
      </c>
      <c r="B175" s="146" t="s">
        <v>1666</v>
      </c>
    </row>
    <row r="177" spans="1:2">
      <c r="A177" s="117" t="s">
        <v>1667</v>
      </c>
      <c r="B177" s="145" t="s">
        <v>1668</v>
      </c>
    </row>
    <row r="178" spans="1:2">
      <c r="A178" s="121">
        <v>1</v>
      </c>
      <c r="B178" s="146" t="s">
        <v>278</v>
      </c>
    </row>
    <row r="179" spans="1:2">
      <c r="A179" s="121">
        <v>2</v>
      </c>
      <c r="B179" s="146" t="s">
        <v>1669</v>
      </c>
    </row>
    <row r="180" spans="1:2">
      <c r="A180" s="121">
        <v>3</v>
      </c>
      <c r="B180" s="146" t="s">
        <v>1670</v>
      </c>
    </row>
    <row r="181" spans="1:2">
      <c r="A181" s="121">
        <v>4</v>
      </c>
      <c r="B181" s="146" t="s">
        <v>1671</v>
      </c>
    </row>
    <row r="182" spans="1:2">
      <c r="A182" s="121">
        <v>5</v>
      </c>
      <c r="B182" s="146" t="s">
        <v>1672</v>
      </c>
    </row>
    <row r="184" spans="1:2">
      <c r="A184" s="117" t="s">
        <v>1673</v>
      </c>
      <c r="B184" s="145" t="s">
        <v>1674</v>
      </c>
    </row>
    <row r="185" spans="1:2">
      <c r="A185" s="121">
        <v>1</v>
      </c>
      <c r="B185" s="146" t="s">
        <v>1675</v>
      </c>
    </row>
    <row r="186" spans="1:2">
      <c r="A186" s="121">
        <v>2</v>
      </c>
      <c r="B186" s="146" t="s">
        <v>1676</v>
      </c>
    </row>
    <row r="187" spans="1:2">
      <c r="A187" s="121">
        <v>3</v>
      </c>
      <c r="B187" s="146" t="s">
        <v>1677</v>
      </c>
    </row>
    <row r="188" spans="1:2">
      <c r="A188" s="121">
        <v>4</v>
      </c>
      <c r="B188" s="146" t="s">
        <v>1678</v>
      </c>
    </row>
    <row r="190" spans="1:2">
      <c r="A190" s="117" t="s">
        <v>1679</v>
      </c>
      <c r="B190" s="145" t="s">
        <v>1680</v>
      </c>
    </row>
    <row r="191" spans="1:2">
      <c r="A191" s="121">
        <v>1</v>
      </c>
      <c r="B191" s="146" t="s">
        <v>1681</v>
      </c>
    </row>
    <row r="192" spans="1:2">
      <c r="A192" s="121">
        <v>2</v>
      </c>
      <c r="B192" s="146" t="s">
        <v>1682</v>
      </c>
    </row>
    <row r="193" spans="1:2">
      <c r="A193" s="121">
        <v>3</v>
      </c>
      <c r="B193" s="146" t="s">
        <v>1683</v>
      </c>
    </row>
    <row r="194" spans="1:2">
      <c r="A194" s="121">
        <v>4</v>
      </c>
      <c r="B194" s="146" t="s">
        <v>1684</v>
      </c>
    </row>
    <row r="196" spans="1:2">
      <c r="A196" s="117" t="s">
        <v>1685</v>
      </c>
      <c r="B196" s="145" t="s">
        <v>1686</v>
      </c>
    </row>
    <row r="197" spans="1:2">
      <c r="A197" s="121">
        <v>1</v>
      </c>
      <c r="B197" s="146" t="s">
        <v>1338</v>
      </c>
    </row>
    <row r="198" spans="1:2">
      <c r="A198" s="121">
        <v>2</v>
      </c>
      <c r="B198" s="146" t="s">
        <v>1340</v>
      </c>
    </row>
    <row r="199" spans="1:2">
      <c r="A199" s="121">
        <v>3</v>
      </c>
      <c r="B199" s="146" t="s">
        <v>1333</v>
      </c>
    </row>
    <row r="200" spans="1:2">
      <c r="A200" s="121">
        <v>4</v>
      </c>
      <c r="B200" s="146" t="s">
        <v>1687</v>
      </c>
    </row>
    <row r="201" spans="1:2">
      <c r="A201" s="121">
        <v>5</v>
      </c>
      <c r="B201" s="146" t="s">
        <v>1344</v>
      </c>
    </row>
    <row r="202" spans="1:2">
      <c r="A202" s="121">
        <v>6</v>
      </c>
      <c r="B202" s="146" t="s">
        <v>1345</v>
      </c>
    </row>
    <row r="203" spans="1:2">
      <c r="A203" s="121">
        <v>7</v>
      </c>
      <c r="B203" s="146" t="s">
        <v>1347</v>
      </c>
    </row>
    <row r="204" spans="1:2">
      <c r="A204" s="121">
        <v>8</v>
      </c>
      <c r="B204" s="146" t="s">
        <v>1349</v>
      </c>
    </row>
    <row r="206" spans="1:2">
      <c r="A206" s="117" t="s">
        <v>1688</v>
      </c>
      <c r="B206" s="145" t="s">
        <v>1689</v>
      </c>
    </row>
    <row r="207" spans="1:2">
      <c r="A207" s="121">
        <v>1</v>
      </c>
      <c r="B207" s="146" t="s">
        <v>1680</v>
      </c>
    </row>
    <row r="208" spans="1:2">
      <c r="A208" s="121">
        <v>2</v>
      </c>
      <c r="B208" s="146" t="s">
        <v>1690</v>
      </c>
    </row>
    <row r="209" spans="1:2">
      <c r="A209" s="121">
        <v>3</v>
      </c>
      <c r="B209" s="146" t="s">
        <v>348</v>
      </c>
    </row>
    <row r="210" spans="1:2">
      <c r="A210" s="121">
        <v>4</v>
      </c>
      <c r="B210" s="146" t="s">
        <v>1691</v>
      </c>
    </row>
    <row r="211" spans="1:2">
      <c r="A211" s="121">
        <v>5</v>
      </c>
      <c r="B211" s="146" t="s">
        <v>1622</v>
      </c>
    </row>
    <row r="213" spans="1:2">
      <c r="A213" s="117" t="s">
        <v>1692</v>
      </c>
      <c r="B213" s="145" t="s">
        <v>1693</v>
      </c>
    </row>
    <row r="214" spans="1:2">
      <c r="A214" s="121">
        <v>1</v>
      </c>
      <c r="B214" s="146" t="s">
        <v>1694</v>
      </c>
    </row>
    <row r="215" spans="1:2">
      <c r="A215" s="121">
        <v>2</v>
      </c>
      <c r="B215" s="146" t="s">
        <v>1682</v>
      </c>
    </row>
    <row r="216" spans="1:2">
      <c r="A216" s="121">
        <v>3</v>
      </c>
      <c r="B216" s="146" t="s">
        <v>1683</v>
      </c>
    </row>
    <row r="217" spans="1:2">
      <c r="A217" s="121">
        <v>4</v>
      </c>
      <c r="B217" s="146" t="s">
        <v>1695</v>
      </c>
    </row>
    <row r="219" spans="1:2">
      <c r="A219" s="117" t="s">
        <v>1696</v>
      </c>
      <c r="B219" s="145" t="s">
        <v>1697</v>
      </c>
    </row>
    <row r="220" spans="1:2">
      <c r="A220" s="121">
        <v>1</v>
      </c>
      <c r="B220" s="146" t="s">
        <v>1698</v>
      </c>
    </row>
    <row r="221" spans="1:2">
      <c r="A221" s="121">
        <v>2</v>
      </c>
      <c r="B221" s="146" t="s">
        <v>1699</v>
      </c>
    </row>
    <row r="222" spans="1:2">
      <c r="A222" s="121">
        <v>3</v>
      </c>
      <c r="B222" s="146" t="s">
        <v>1700</v>
      </c>
    </row>
    <row r="224" spans="1:2">
      <c r="A224" s="117" t="s">
        <v>1701</v>
      </c>
      <c r="B224" s="145" t="s">
        <v>1702</v>
      </c>
    </row>
    <row r="225" spans="1:2">
      <c r="A225" s="121">
        <v>1</v>
      </c>
      <c r="B225" s="146" t="s">
        <v>1703</v>
      </c>
    </row>
    <row r="226" spans="1:2">
      <c r="A226" s="121">
        <v>2</v>
      </c>
      <c r="B226" s="146" t="s">
        <v>1704</v>
      </c>
    </row>
    <row r="227" spans="1:2">
      <c r="A227" s="121">
        <v>3</v>
      </c>
      <c r="B227" s="146" t="s">
        <v>1705</v>
      </c>
    </row>
    <row r="228" spans="1:2">
      <c r="A228" s="121">
        <v>4</v>
      </c>
      <c r="B228" s="146" t="s">
        <v>1706</v>
      </c>
    </row>
    <row r="229" spans="1:2">
      <c r="A229" s="121">
        <v>5</v>
      </c>
      <c r="B229" s="146" t="s">
        <v>1707</v>
      </c>
    </row>
    <row r="230" spans="1:2">
      <c r="A230" s="121">
        <v>6</v>
      </c>
      <c r="B230" s="146" t="s">
        <v>1708</v>
      </c>
    </row>
    <row r="232" spans="1:2">
      <c r="A232" s="117" t="s">
        <v>1709</v>
      </c>
      <c r="B232" s="145" t="s">
        <v>1690</v>
      </c>
    </row>
    <row r="233" spans="1:2">
      <c r="A233" s="121">
        <v>1</v>
      </c>
      <c r="B233" s="146" t="s">
        <v>1710</v>
      </c>
    </row>
    <row r="234" spans="1:2">
      <c r="A234" s="121">
        <v>2</v>
      </c>
      <c r="B234" s="146" t="s">
        <v>1711</v>
      </c>
    </row>
    <row r="236" spans="1:2">
      <c r="A236" s="117" t="s">
        <v>1712</v>
      </c>
      <c r="B236" s="145" t="s">
        <v>1713</v>
      </c>
    </row>
    <row r="237" spans="1:2">
      <c r="A237" s="121">
        <v>1</v>
      </c>
      <c r="B237" s="146" t="s">
        <v>1714</v>
      </c>
    </row>
    <row r="238" spans="1:2">
      <c r="A238" s="121">
        <v>2</v>
      </c>
      <c r="B238" s="146" t="s">
        <v>1715</v>
      </c>
    </row>
    <row r="240" spans="1:2">
      <c r="A240" s="117" t="s">
        <v>1716</v>
      </c>
      <c r="B240" s="145" t="s">
        <v>1717</v>
      </c>
    </row>
    <row r="241" spans="1:2">
      <c r="A241" s="121">
        <v>1</v>
      </c>
      <c r="B241" s="146" t="s">
        <v>1718</v>
      </c>
    </row>
    <row r="242" spans="1:2">
      <c r="A242" s="121">
        <v>2</v>
      </c>
      <c r="B242" s="146" t="s">
        <v>1719</v>
      </c>
    </row>
    <row r="244" spans="1:2">
      <c r="A244" s="117" t="s">
        <v>1720</v>
      </c>
      <c r="B244" s="145" t="s">
        <v>1721</v>
      </c>
    </row>
    <row r="245" spans="1:2">
      <c r="A245" s="121">
        <v>1</v>
      </c>
      <c r="B245" s="146" t="s">
        <v>1722</v>
      </c>
    </row>
    <row r="246" spans="1:2">
      <c r="A246" s="121">
        <v>2</v>
      </c>
      <c r="B246" s="146" t="s">
        <v>1723</v>
      </c>
    </row>
    <row r="247" spans="1:2">
      <c r="A247" s="121">
        <v>3</v>
      </c>
      <c r="B247" s="146" t="s">
        <v>1724</v>
      </c>
    </row>
    <row r="248" spans="1:2">
      <c r="A248" s="121">
        <v>4</v>
      </c>
      <c r="B248" s="146" t="s">
        <v>1725</v>
      </c>
    </row>
    <row r="249" spans="1:2">
      <c r="A249" s="121">
        <v>5</v>
      </c>
      <c r="B249" s="146" t="s">
        <v>1726</v>
      </c>
    </row>
    <row r="250" spans="1:2">
      <c r="A250" s="121">
        <v>6</v>
      </c>
      <c r="B250" s="146" t="s">
        <v>1727</v>
      </c>
    </row>
    <row r="252" spans="1:2">
      <c r="A252" s="117" t="s">
        <v>1728</v>
      </c>
      <c r="B252" s="145" t="s">
        <v>1729</v>
      </c>
    </row>
    <row r="253" spans="1:2">
      <c r="A253" s="121">
        <v>1</v>
      </c>
      <c r="B253" s="146" t="s">
        <v>1730</v>
      </c>
    </row>
    <row r="254" spans="1:2">
      <c r="A254" s="121">
        <v>2</v>
      </c>
      <c r="B254" s="146" t="s">
        <v>1731</v>
      </c>
    </row>
    <row r="255" spans="1:2">
      <c r="A255" s="121">
        <v>3</v>
      </c>
      <c r="B255" s="146" t="s">
        <v>1732</v>
      </c>
    </row>
    <row r="256" spans="1:2">
      <c r="A256" s="121">
        <v>4</v>
      </c>
      <c r="B256" s="146" t="s">
        <v>1733</v>
      </c>
    </row>
    <row r="257" spans="1:2">
      <c r="A257" s="121">
        <v>5</v>
      </c>
      <c r="B257" s="146" t="s">
        <v>1734</v>
      </c>
    </row>
    <row r="258" spans="1:2">
      <c r="A258" s="121">
        <v>6</v>
      </c>
      <c r="B258" s="146" t="s">
        <v>1735</v>
      </c>
    </row>
    <row r="259" spans="1:2">
      <c r="A259" s="121">
        <v>7</v>
      </c>
      <c r="B259" s="146" t="s">
        <v>731</v>
      </c>
    </row>
    <row r="261" spans="1:2">
      <c r="A261" s="117" t="s">
        <v>1736</v>
      </c>
      <c r="B261" s="145" t="s">
        <v>1737</v>
      </c>
    </row>
    <row r="262" spans="1:2">
      <c r="A262" s="121">
        <v>1</v>
      </c>
      <c r="B262" s="146" t="s">
        <v>1738</v>
      </c>
    </row>
    <row r="263" spans="1:2">
      <c r="A263" s="121">
        <v>2</v>
      </c>
      <c r="B263" s="146" t="s">
        <v>1739</v>
      </c>
    </row>
    <row r="264" spans="1:2">
      <c r="A264" s="121">
        <v>3</v>
      </c>
      <c r="B264" s="146" t="s">
        <v>1740</v>
      </c>
    </row>
    <row r="265" spans="1:2">
      <c r="A265" s="121">
        <v>4</v>
      </c>
      <c r="B265" s="146" t="s">
        <v>1741</v>
      </c>
    </row>
    <row r="266" spans="1:2">
      <c r="A266" s="121">
        <v>5</v>
      </c>
      <c r="B266" s="146" t="s">
        <v>1742</v>
      </c>
    </row>
    <row r="268" spans="1:2">
      <c r="A268" s="117" t="s">
        <v>1743</v>
      </c>
      <c r="B268" s="145" t="s">
        <v>1744</v>
      </c>
    </row>
    <row r="269" spans="1:2">
      <c r="A269" s="121">
        <v>1</v>
      </c>
      <c r="B269" s="146" t="s">
        <v>1745</v>
      </c>
    </row>
    <row r="270" spans="1:2">
      <c r="A270" s="121">
        <v>2</v>
      </c>
      <c r="B270" s="146" t="s">
        <v>1746</v>
      </c>
    </row>
    <row r="272" spans="1:2">
      <c r="A272" s="117" t="s">
        <v>1747</v>
      </c>
      <c r="B272" s="145" t="s">
        <v>1748</v>
      </c>
    </row>
    <row r="273" spans="1:2">
      <c r="A273" s="121">
        <v>1</v>
      </c>
      <c r="B273" s="146" t="s">
        <v>1749</v>
      </c>
    </row>
    <row r="274" spans="1:2">
      <c r="A274" s="121">
        <v>2</v>
      </c>
      <c r="B274" s="146" t="s">
        <v>1750</v>
      </c>
    </row>
    <row r="276" spans="1:2">
      <c r="A276" s="117" t="s">
        <v>1751</v>
      </c>
      <c r="B276" s="145" t="s">
        <v>1752</v>
      </c>
    </row>
    <row r="277" spans="1:2">
      <c r="A277" s="121">
        <v>1</v>
      </c>
      <c r="B277" s="146" t="s">
        <v>1753</v>
      </c>
    </row>
    <row r="278" spans="1:2">
      <c r="A278" s="121">
        <v>2</v>
      </c>
      <c r="B278" s="146" t="s">
        <v>1707</v>
      </c>
    </row>
    <row r="279" spans="1:2">
      <c r="A279" s="121">
        <v>3</v>
      </c>
      <c r="B279" s="146" t="s">
        <v>1754</v>
      </c>
    </row>
    <row r="280" spans="1:2">
      <c r="A280" s="121">
        <v>4</v>
      </c>
      <c r="B280" s="146" t="s">
        <v>1704</v>
      </c>
    </row>
    <row r="282" spans="1:2">
      <c r="A282" s="117" t="s">
        <v>1755</v>
      </c>
      <c r="B282" s="145" t="s">
        <v>1756</v>
      </c>
    </row>
    <row r="283" spans="1:2">
      <c r="A283" s="121">
        <v>1</v>
      </c>
      <c r="B283" s="146" t="s">
        <v>1757</v>
      </c>
    </row>
    <row r="284" spans="1:2">
      <c r="A284" s="121">
        <v>2</v>
      </c>
      <c r="B284" s="146" t="s">
        <v>1758</v>
      </c>
    </row>
    <row r="285" spans="1:2">
      <c r="A285" s="121">
        <v>3</v>
      </c>
      <c r="B285" s="146" t="s">
        <v>1759</v>
      </c>
    </row>
    <row r="287" spans="1:2">
      <c r="A287" s="117" t="s">
        <v>1760</v>
      </c>
      <c r="B287" s="145" t="s">
        <v>1761</v>
      </c>
    </row>
    <row r="288" spans="1:2">
      <c r="A288" s="121">
        <v>1</v>
      </c>
      <c r="B288" s="146" t="s">
        <v>1762</v>
      </c>
    </row>
    <row r="289" spans="1:2">
      <c r="A289" s="121">
        <v>2</v>
      </c>
      <c r="B289" s="146" t="s">
        <v>1763</v>
      </c>
    </row>
    <row r="290" spans="1:2">
      <c r="A290" s="121">
        <v>3</v>
      </c>
      <c r="B290" s="146" t="s">
        <v>1764</v>
      </c>
    </row>
    <row r="292" spans="1:2">
      <c r="A292" s="117" t="s">
        <v>1765</v>
      </c>
      <c r="B292" s="145" t="s">
        <v>1766</v>
      </c>
    </row>
    <row r="293" spans="1:2">
      <c r="A293" s="121">
        <v>1</v>
      </c>
      <c r="B293" s="146" t="s">
        <v>1767</v>
      </c>
    </row>
    <row r="294" spans="1:2">
      <c r="A294" s="121">
        <v>2</v>
      </c>
      <c r="B294" s="146" t="s">
        <v>1768</v>
      </c>
    </row>
    <row r="296" spans="1:2">
      <c r="A296" s="138" t="s">
        <v>1769</v>
      </c>
      <c r="B296" s="148" t="s">
        <v>1770</v>
      </c>
    </row>
    <row r="297" spans="1:2">
      <c r="A297" s="121">
        <v>1</v>
      </c>
      <c r="B297" s="146" t="s">
        <v>1299</v>
      </c>
    </row>
    <row r="298" spans="1:2">
      <c r="A298" s="121">
        <v>2</v>
      </c>
      <c r="B298" s="146" t="s">
        <v>1771</v>
      </c>
    </row>
    <row r="299" spans="1:2">
      <c r="A299" s="121">
        <v>3</v>
      </c>
      <c r="B299" s="146" t="s">
        <v>731</v>
      </c>
    </row>
    <row r="301" spans="1:2">
      <c r="A301" s="138" t="s">
        <v>1772</v>
      </c>
      <c r="B301" s="148" t="s">
        <v>1773</v>
      </c>
    </row>
    <row r="302" spans="1:2">
      <c r="A302" s="121" t="s">
        <v>1774</v>
      </c>
      <c r="B302" s="146" t="s">
        <v>1775</v>
      </c>
    </row>
    <row r="303" spans="1:2">
      <c r="A303" s="121">
        <v>2</v>
      </c>
      <c r="B303" s="146" t="s">
        <v>1776</v>
      </c>
    </row>
    <row r="304" spans="1:2">
      <c r="A304" s="121">
        <v>3</v>
      </c>
      <c r="B304" s="146" t="s">
        <v>1777</v>
      </c>
    </row>
    <row r="305" spans="1:2">
      <c r="A305" s="121">
        <v>4</v>
      </c>
      <c r="B305" s="146" t="s">
        <v>1778</v>
      </c>
    </row>
    <row r="306" spans="1:2">
      <c r="A306" s="121">
        <v>5</v>
      </c>
      <c r="B306" s="146" t="s">
        <v>1779</v>
      </c>
    </row>
    <row r="308" spans="1:2">
      <c r="A308" s="138" t="s">
        <v>1780</v>
      </c>
      <c r="B308" s="148" t="s">
        <v>1781</v>
      </c>
    </row>
    <row r="309" spans="1:2">
      <c r="A309" s="121">
        <v>1</v>
      </c>
      <c r="B309" s="146" t="s">
        <v>1730</v>
      </c>
    </row>
    <row r="310" spans="1:2">
      <c r="A310" s="121">
        <v>2</v>
      </c>
      <c r="B310" s="146" t="s">
        <v>1731</v>
      </c>
    </row>
    <row r="311" spans="1:2">
      <c r="A311" s="121">
        <v>3</v>
      </c>
      <c r="B311" s="146" t="s">
        <v>1732</v>
      </c>
    </row>
    <row r="312" spans="1:2">
      <c r="A312" s="121">
        <v>4</v>
      </c>
      <c r="B312" s="146" t="s">
        <v>1733</v>
      </c>
    </row>
    <row r="313" spans="1:2">
      <c r="A313" s="121">
        <v>5</v>
      </c>
      <c r="B313" s="146" t="s">
        <v>1734</v>
      </c>
    </row>
    <row r="314" spans="1:2">
      <c r="A314" s="121">
        <v>6</v>
      </c>
      <c r="B314" s="146" t="s">
        <v>1735</v>
      </c>
    </row>
    <row r="315" spans="1:2">
      <c r="A315" s="121">
        <v>7</v>
      </c>
      <c r="B315" s="146" t="s">
        <v>731</v>
      </c>
    </row>
    <row r="317" spans="1:2">
      <c r="A317" s="138" t="s">
        <v>1780</v>
      </c>
      <c r="B317" s="148" t="s">
        <v>1782</v>
      </c>
    </row>
    <row r="318" spans="1:2">
      <c r="A318" s="121">
        <v>1</v>
      </c>
      <c r="B318" s="146" t="s">
        <v>1783</v>
      </c>
    </row>
    <row r="319" spans="1:2">
      <c r="A319" s="121">
        <v>2</v>
      </c>
      <c r="B319" s="146" t="s">
        <v>1784</v>
      </c>
    </row>
    <row r="320" spans="1:2">
      <c r="A320" s="121">
        <v>3</v>
      </c>
      <c r="B320" s="146" t="s">
        <v>1785</v>
      </c>
    </row>
    <row r="321" spans="1:2">
      <c r="A321" s="121">
        <v>4</v>
      </c>
      <c r="B321" s="146" t="s">
        <v>1786</v>
      </c>
    </row>
    <row r="322" spans="1:2">
      <c r="A322" s="121">
        <v>5</v>
      </c>
      <c r="B322" s="146" t="s">
        <v>1787</v>
      </c>
    </row>
    <row r="323" spans="1:2">
      <c r="A323" s="121">
        <v>6</v>
      </c>
      <c r="B323" s="146" t="s">
        <v>1788</v>
      </c>
    </row>
    <row r="324" spans="1:2">
      <c r="A324" s="121">
        <v>7</v>
      </c>
      <c r="B324" s="146" t="s">
        <v>1789</v>
      </c>
    </row>
    <row r="325" spans="1:2">
      <c r="A325" s="121">
        <v>8</v>
      </c>
      <c r="B325" s="146" t="s">
        <v>1790</v>
      </c>
    </row>
    <row r="326" spans="1:2">
      <c r="A326" s="121">
        <v>9</v>
      </c>
      <c r="B326" s="146" t="s">
        <v>1791</v>
      </c>
    </row>
    <row r="327" spans="1:2">
      <c r="A327" s="121">
        <v>10</v>
      </c>
      <c r="B327" s="146" t="s">
        <v>1792</v>
      </c>
    </row>
    <row r="329" spans="1:2">
      <c r="A329" s="138" t="s">
        <v>1780</v>
      </c>
      <c r="B329" s="148" t="s">
        <v>1793</v>
      </c>
    </row>
    <row r="330" spans="1:2">
      <c r="A330" s="121">
        <v>1</v>
      </c>
      <c r="B330" s="146" t="s">
        <v>1333</v>
      </c>
    </row>
    <row r="331" spans="1:2">
      <c r="A331" s="121">
        <v>2</v>
      </c>
      <c r="B331" s="146" t="s">
        <v>1794</v>
      </c>
    </row>
    <row r="332" spans="1:2">
      <c r="A332" s="121">
        <v>3</v>
      </c>
      <c r="B332" s="146" t="s">
        <v>1795</v>
      </c>
    </row>
    <row r="333" spans="1:2">
      <c r="A333" s="121">
        <v>4</v>
      </c>
      <c r="B333" s="146" t="s">
        <v>1345</v>
      </c>
    </row>
    <row r="334" spans="1:2">
      <c r="A334" s="121">
        <v>5</v>
      </c>
      <c r="B334" s="146" t="s">
        <v>1796</v>
      </c>
    </row>
    <row r="335" spans="1:2">
      <c r="A335" s="121">
        <v>6</v>
      </c>
      <c r="B335" s="146" t="s">
        <v>1797</v>
      </c>
    </row>
    <row r="336" spans="1:2">
      <c r="A336" s="121">
        <v>7</v>
      </c>
      <c r="B336" s="146" t="s">
        <v>1680</v>
      </c>
    </row>
    <row r="337" spans="1:2">
      <c r="A337" s="121">
        <v>8</v>
      </c>
      <c r="B337" s="146" t="s">
        <v>1344</v>
      </c>
    </row>
    <row r="339" spans="1:2">
      <c r="A339" s="138" t="s">
        <v>1798</v>
      </c>
      <c r="B339" s="148" t="s">
        <v>1799</v>
      </c>
    </row>
    <row r="340" spans="1:2">
      <c r="A340" s="121">
        <v>1</v>
      </c>
      <c r="B340" s="146" t="s">
        <v>1800</v>
      </c>
    </row>
    <row r="341" spans="1:2">
      <c r="A341" s="121">
        <v>2</v>
      </c>
      <c r="B341" s="146" t="s">
        <v>1801</v>
      </c>
    </row>
    <row r="343" spans="1:2">
      <c r="A343" s="138" t="s">
        <v>1802</v>
      </c>
      <c r="B343" s="148" t="s">
        <v>1803</v>
      </c>
    </row>
    <row r="344" spans="1:2">
      <c r="A344" s="121">
        <v>1</v>
      </c>
      <c r="B344" s="146" t="s">
        <v>1804</v>
      </c>
    </row>
    <row r="345" spans="1:2">
      <c r="A345" s="121">
        <v>2</v>
      </c>
      <c r="B345" s="146" t="s">
        <v>1805</v>
      </c>
    </row>
    <row r="346" spans="1:2">
      <c r="A346" s="121">
        <v>3</v>
      </c>
      <c r="B346" s="146" t="s">
        <v>1806</v>
      </c>
    </row>
    <row r="347" spans="1:2">
      <c r="A347" s="121">
        <v>4</v>
      </c>
      <c r="B347" s="146" t="s">
        <v>1807</v>
      </c>
    </row>
  </sheetData>
  <protectedRanges>
    <protectedRange algorithmName="SHA-512" hashValue="ZguYlAdyb71IMfth0JhjlmtxX14hVx5omQi5ApBlH1eRzvDoMKrcH/U5ix8udScoKrPOyilweqooMB5Tej6y8g==" saltValue="7zSaR8crDg3BlTT9T4K2tg==" spinCount="100000" sqref="B13" name="Interview"/>
  </protectedRanges>
  <phoneticPr fontId="19"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tabColor rgb="FFFF3399"/>
  </sheetPr>
  <dimension ref="A1:O26"/>
  <sheetViews>
    <sheetView zoomScale="55" zoomScaleNormal="55" workbookViewId="0">
      <pane xSplit="1" ySplit="2" topLeftCell="B3" activePane="bottomRight" state="frozen"/>
      <selection pane="bottomRight" activeCell="H9" sqref="H9"/>
      <selection pane="bottomLeft" activeCell="C43" sqref="C43"/>
      <selection pane="topRight" activeCell="C43" sqref="C43"/>
    </sheetView>
  </sheetViews>
  <sheetFormatPr defaultColWidth="8.7109375" defaultRowHeight="14.45"/>
  <cols>
    <col min="1" max="1" width="9.28515625" style="48" customWidth="1"/>
    <col min="2" max="2" width="30.28515625" style="48" bestFit="1" customWidth="1"/>
    <col min="3" max="3" width="76.5703125" style="48" customWidth="1"/>
    <col min="4" max="4" width="31.7109375" style="48" customWidth="1"/>
    <col min="5" max="5" width="16.28515625" style="48" customWidth="1"/>
    <col min="6" max="6" width="15.7109375" style="48" customWidth="1"/>
    <col min="7" max="7" width="17.28515625" style="48" customWidth="1"/>
    <col min="8" max="8" width="22.7109375" style="48" customWidth="1"/>
    <col min="9" max="9" width="28.5703125" style="48" customWidth="1"/>
    <col min="10" max="16384" width="8.7109375" style="48"/>
  </cols>
  <sheetData>
    <row r="1" spans="1:15">
      <c r="A1" s="396" t="s">
        <v>202</v>
      </c>
      <c r="B1" s="396"/>
      <c r="C1" s="396"/>
      <c r="D1" s="396"/>
      <c r="E1" s="396"/>
      <c r="F1" s="396"/>
      <c r="G1" s="396" t="s">
        <v>203</v>
      </c>
      <c r="H1" s="396"/>
      <c r="I1" s="396"/>
      <c r="J1" s="396" t="s">
        <v>204</v>
      </c>
      <c r="K1" s="396"/>
      <c r="L1" s="396"/>
      <c r="M1" s="396" t="s">
        <v>205</v>
      </c>
      <c r="N1" s="396"/>
      <c r="O1" s="396"/>
    </row>
    <row r="2" spans="1:15" s="49" customFormat="1" ht="57.6">
      <c r="A2" s="86" t="s">
        <v>20</v>
      </c>
      <c r="B2" s="86" t="s">
        <v>21</v>
      </c>
      <c r="C2" s="86" t="s">
        <v>22</v>
      </c>
      <c r="D2" s="86" t="s">
        <v>1808</v>
      </c>
      <c r="E2" s="86" t="s">
        <v>207</v>
      </c>
      <c r="F2" s="86" t="s">
        <v>208</v>
      </c>
      <c r="G2" s="86" t="s">
        <v>23</v>
      </c>
      <c r="H2" s="86" t="s">
        <v>24</v>
      </c>
      <c r="I2" s="86" t="s">
        <v>25</v>
      </c>
      <c r="J2" s="86" t="s">
        <v>209</v>
      </c>
      <c r="K2" s="86" t="s">
        <v>210</v>
      </c>
      <c r="L2" s="86" t="s">
        <v>211</v>
      </c>
      <c r="M2" s="86" t="s">
        <v>212</v>
      </c>
      <c r="N2" s="86" t="s">
        <v>28</v>
      </c>
      <c r="O2" s="86" t="s">
        <v>29</v>
      </c>
    </row>
    <row r="3" spans="1:15">
      <c r="A3" s="80" t="s">
        <v>1809</v>
      </c>
      <c r="B3" s="7"/>
      <c r="C3" s="7" t="s">
        <v>1508</v>
      </c>
      <c r="D3" s="47"/>
      <c r="E3" s="89"/>
      <c r="F3" s="47"/>
      <c r="G3" s="47"/>
      <c r="H3" s="7" t="s">
        <v>1508</v>
      </c>
      <c r="I3" s="123" t="s">
        <v>1810</v>
      </c>
      <c r="J3" s="89"/>
      <c r="K3" s="7" t="s">
        <v>278</v>
      </c>
      <c r="L3" s="47"/>
      <c r="M3" s="47"/>
      <c r="N3" s="47"/>
      <c r="O3" s="47"/>
    </row>
    <row r="4" spans="1:15">
      <c r="A4" s="80" t="s">
        <v>1509</v>
      </c>
      <c r="B4" s="7"/>
      <c r="C4" s="66" t="s">
        <v>1811</v>
      </c>
      <c r="D4" s="47"/>
      <c r="E4" s="89"/>
      <c r="F4" s="47"/>
      <c r="G4" s="47"/>
      <c r="H4" s="7" t="s">
        <v>215</v>
      </c>
      <c r="I4" s="125" t="s">
        <v>1510</v>
      </c>
      <c r="J4" s="89"/>
      <c r="K4" s="7" t="s">
        <v>278</v>
      </c>
      <c r="L4" s="47"/>
      <c r="M4" s="47"/>
      <c r="N4" s="47"/>
      <c r="O4" s="47"/>
    </row>
    <row r="5" spans="1:15">
      <c r="A5" s="85" t="s">
        <v>1514</v>
      </c>
      <c r="B5" s="7" t="s">
        <v>1812</v>
      </c>
      <c r="C5" s="66" t="s">
        <v>280</v>
      </c>
      <c r="D5" s="47"/>
      <c r="E5" s="89"/>
      <c r="F5" s="47"/>
      <c r="G5" s="47"/>
      <c r="H5" s="7" t="s">
        <v>215</v>
      </c>
      <c r="I5" s="125" t="s">
        <v>1515</v>
      </c>
      <c r="J5" s="89"/>
      <c r="K5" s="7" t="s">
        <v>278</v>
      </c>
      <c r="L5" s="47"/>
      <c r="M5" s="47"/>
      <c r="N5" s="47"/>
      <c r="O5" s="47"/>
    </row>
    <row r="6" spans="1:15" ht="72">
      <c r="A6" s="80" t="s">
        <v>1813</v>
      </c>
      <c r="B6" s="7" t="s">
        <v>1814</v>
      </c>
      <c r="C6" s="7" t="s">
        <v>1815</v>
      </c>
      <c r="D6" s="47"/>
      <c r="E6" s="89"/>
      <c r="F6" s="47"/>
      <c r="G6" s="47"/>
      <c r="H6" s="7" t="s">
        <v>277</v>
      </c>
      <c r="I6" s="124" t="s">
        <v>791</v>
      </c>
      <c r="J6" s="89"/>
      <c r="K6" s="7" t="s">
        <v>278</v>
      </c>
      <c r="L6" s="47"/>
      <c r="M6" s="47"/>
      <c r="N6" s="47"/>
      <c r="O6" s="47"/>
    </row>
    <row r="7" spans="1:15" ht="57.6">
      <c r="A7" s="85" t="s">
        <v>1816</v>
      </c>
      <c r="B7" s="7" t="s">
        <v>1817</v>
      </c>
      <c r="C7" s="7" t="s">
        <v>1818</v>
      </c>
      <c r="D7" s="47"/>
      <c r="E7" s="89"/>
      <c r="F7" s="47"/>
      <c r="G7" s="47"/>
      <c r="H7" s="7" t="s">
        <v>277</v>
      </c>
      <c r="I7" s="124" t="s">
        <v>791</v>
      </c>
      <c r="J7" s="89"/>
      <c r="K7" s="7" t="s">
        <v>278</v>
      </c>
      <c r="L7" s="47"/>
      <c r="M7" s="47"/>
      <c r="N7" s="47"/>
      <c r="O7" s="47"/>
    </row>
    <row r="8" spans="1:15" ht="57.6">
      <c r="A8" s="92" t="s">
        <v>1819</v>
      </c>
      <c r="B8" s="105" t="s">
        <v>1820</v>
      </c>
      <c r="C8" s="105" t="s">
        <v>1821</v>
      </c>
      <c r="D8" s="47"/>
      <c r="E8" s="89"/>
      <c r="F8" s="47"/>
      <c r="G8" s="47"/>
      <c r="H8" s="7"/>
      <c r="I8" s="124"/>
      <c r="J8" s="89"/>
      <c r="K8" s="7" t="s">
        <v>278</v>
      </c>
      <c r="L8" s="47"/>
      <c r="M8" s="47"/>
      <c r="N8" s="47"/>
      <c r="O8" s="47"/>
    </row>
    <row r="9" spans="1:15" ht="28.9">
      <c r="A9" s="80" t="s">
        <v>1518</v>
      </c>
      <c r="B9" s="3"/>
      <c r="C9" s="90" t="s">
        <v>293</v>
      </c>
      <c r="D9" s="47"/>
      <c r="E9" s="89"/>
      <c r="F9" s="47"/>
      <c r="G9" s="47"/>
      <c r="H9" s="7" t="s">
        <v>215</v>
      </c>
      <c r="I9" s="116" t="s">
        <v>296</v>
      </c>
      <c r="J9" s="89"/>
      <c r="K9" s="7" t="s">
        <v>278</v>
      </c>
      <c r="L9" s="47"/>
      <c r="M9" s="47"/>
      <c r="N9" s="47"/>
      <c r="O9" s="47"/>
    </row>
    <row r="10" spans="1:15">
      <c r="A10" s="46"/>
      <c r="B10" s="46"/>
      <c r="C10" s="46"/>
      <c r="D10" s="46"/>
      <c r="E10" s="46"/>
      <c r="F10" s="46"/>
      <c r="G10" s="46"/>
      <c r="H10" s="46"/>
      <c r="I10" s="46"/>
      <c r="J10" s="46"/>
      <c r="K10" s="46"/>
      <c r="L10" s="46"/>
      <c r="M10" s="46"/>
      <c r="N10" s="46"/>
      <c r="O10" s="46"/>
    </row>
    <row r="11" spans="1:15">
      <c r="A11" s="46"/>
      <c r="B11" s="46"/>
      <c r="C11" s="46"/>
      <c r="D11" s="46"/>
      <c r="E11" s="46"/>
      <c r="F11" s="46"/>
      <c r="G11" s="46"/>
      <c r="H11" s="46"/>
      <c r="I11" s="46"/>
      <c r="J11" s="46"/>
      <c r="K11" s="46"/>
      <c r="L11" s="46"/>
      <c r="M11" s="46"/>
      <c r="N11" s="46"/>
      <c r="O11" s="46"/>
    </row>
    <row r="12" spans="1:15">
      <c r="A12" s="46"/>
      <c r="B12" s="46"/>
      <c r="C12" s="46"/>
      <c r="D12" s="46"/>
      <c r="E12" s="46"/>
      <c r="F12" s="46"/>
      <c r="G12" s="46"/>
      <c r="H12" s="46"/>
      <c r="I12" s="46"/>
      <c r="J12" s="46"/>
      <c r="K12" s="46"/>
      <c r="L12" s="46"/>
      <c r="M12" s="46"/>
      <c r="N12" s="46"/>
      <c r="O12" s="46"/>
    </row>
    <row r="13" spans="1:15">
      <c r="A13" s="46"/>
      <c r="B13" s="46"/>
      <c r="C13" s="46"/>
      <c r="D13" s="46"/>
      <c r="E13" s="46"/>
      <c r="F13" s="46"/>
      <c r="G13" s="46"/>
      <c r="H13" s="46"/>
      <c r="I13" s="46"/>
      <c r="J13" s="46"/>
      <c r="K13" s="46"/>
      <c r="L13" s="46"/>
      <c r="M13" s="46"/>
      <c r="N13" s="46"/>
      <c r="O13" s="46"/>
    </row>
    <row r="14" spans="1:15">
      <c r="A14" s="46"/>
      <c r="B14" s="46"/>
      <c r="C14" s="46"/>
      <c r="D14" s="46"/>
      <c r="E14" s="46"/>
      <c r="F14" s="46"/>
      <c r="G14" s="46"/>
      <c r="H14" s="46"/>
      <c r="I14" s="46"/>
      <c r="J14" s="46"/>
      <c r="K14" s="46"/>
      <c r="L14" s="46"/>
      <c r="M14" s="46"/>
      <c r="N14" s="46"/>
      <c r="O14" s="46"/>
    </row>
    <row r="15" spans="1:15">
      <c r="A15" s="46"/>
      <c r="B15" s="46"/>
      <c r="C15" s="46"/>
      <c r="D15" s="46"/>
      <c r="E15" s="46"/>
      <c r="F15" s="46"/>
      <c r="G15" s="46"/>
      <c r="H15" s="46"/>
      <c r="I15" s="46"/>
      <c r="J15" s="46"/>
      <c r="K15" s="46"/>
      <c r="L15" s="46"/>
      <c r="M15" s="46"/>
      <c r="N15" s="46"/>
      <c r="O15" s="46"/>
    </row>
    <row r="16" spans="1:15">
      <c r="A16" s="46"/>
      <c r="B16" s="46"/>
      <c r="C16" s="46"/>
      <c r="D16" s="46"/>
      <c r="E16" s="46"/>
      <c r="F16" s="46"/>
      <c r="G16" s="46"/>
      <c r="H16" s="46"/>
      <c r="I16" s="46"/>
      <c r="J16" s="46"/>
      <c r="K16" s="46"/>
      <c r="L16" s="46"/>
      <c r="M16" s="46"/>
      <c r="N16" s="46"/>
      <c r="O16" s="46"/>
    </row>
    <row r="17" spans="1:9">
      <c r="A17" s="46"/>
      <c r="B17" s="46"/>
      <c r="C17" s="46"/>
      <c r="D17" s="46"/>
      <c r="E17" s="46"/>
      <c r="F17" s="46"/>
      <c r="G17" s="46"/>
      <c r="H17" s="46"/>
      <c r="I17" s="46"/>
    </row>
    <row r="18" spans="1:9">
      <c r="A18" s="46"/>
      <c r="B18" s="46"/>
      <c r="C18" s="46"/>
      <c r="D18" s="46"/>
      <c r="E18" s="46"/>
      <c r="F18" s="46"/>
      <c r="G18" s="46"/>
      <c r="H18" s="46"/>
      <c r="I18" s="46"/>
    </row>
    <row r="19" spans="1:9">
      <c r="A19" s="46"/>
      <c r="B19" s="46"/>
      <c r="C19" s="46"/>
      <c r="D19" s="46"/>
      <c r="E19" s="46"/>
      <c r="F19" s="46"/>
      <c r="G19" s="46"/>
      <c r="H19" s="46"/>
      <c r="I19" s="46"/>
    </row>
    <row r="20" spans="1:9">
      <c r="A20" s="46"/>
      <c r="B20" s="46"/>
      <c r="C20" s="46"/>
      <c r="D20" s="46"/>
      <c r="E20" s="46"/>
      <c r="F20" s="46"/>
      <c r="G20" s="46"/>
      <c r="H20" s="46"/>
      <c r="I20" s="46"/>
    </row>
    <row r="21" spans="1:9">
      <c r="A21" s="46"/>
      <c r="B21" s="46"/>
      <c r="C21" s="46"/>
      <c r="D21" s="46"/>
      <c r="E21" s="46"/>
      <c r="F21" s="46"/>
      <c r="G21" s="46"/>
      <c r="H21" s="46"/>
      <c r="I21" s="46"/>
    </row>
    <row r="22" spans="1:9">
      <c r="A22" s="46"/>
      <c r="B22" s="46"/>
      <c r="C22" s="46"/>
      <c r="D22" s="46"/>
      <c r="E22" s="46"/>
      <c r="F22" s="46"/>
      <c r="G22" s="46"/>
      <c r="H22" s="46"/>
      <c r="I22" s="46"/>
    </row>
    <row r="23" spans="1:9">
      <c r="A23" s="46"/>
      <c r="B23" s="46"/>
      <c r="C23" s="46"/>
      <c r="D23" s="46"/>
      <c r="E23" s="46"/>
      <c r="F23" s="46"/>
      <c r="G23" s="46"/>
      <c r="H23" s="46"/>
      <c r="I23" s="46"/>
    </row>
    <row r="24" spans="1:9">
      <c r="A24" s="46"/>
      <c r="B24" s="46"/>
      <c r="C24" s="46"/>
      <c r="D24" s="46"/>
      <c r="E24" s="46"/>
      <c r="F24" s="46"/>
      <c r="G24" s="46"/>
      <c r="H24" s="46"/>
      <c r="I24" s="46"/>
    </row>
    <row r="25" spans="1:9">
      <c r="A25" s="46"/>
      <c r="B25" s="46"/>
      <c r="C25" s="46"/>
      <c r="D25" s="46"/>
      <c r="E25" s="46"/>
      <c r="F25" s="46"/>
      <c r="G25" s="46"/>
      <c r="H25" s="46"/>
      <c r="I25" s="46"/>
    </row>
    <row r="26" spans="1:9">
      <c r="A26" s="46"/>
      <c r="B26" s="46"/>
      <c r="C26" s="46"/>
      <c r="D26" s="46"/>
      <c r="E26" s="46"/>
      <c r="F26" s="46"/>
      <c r="G26" s="46"/>
      <c r="H26" s="46"/>
      <c r="I26" s="46"/>
    </row>
  </sheetData>
  <mergeCells count="4">
    <mergeCell ref="M1:O1"/>
    <mergeCell ref="A1:F1"/>
    <mergeCell ref="G1:I1"/>
    <mergeCell ref="J1:L1"/>
  </mergeCells>
  <hyperlinks>
    <hyperlink ref="I4" location="'C&amp;C Lists'!A1" display="See Channel Type List" xr:uid="{989E82CB-5FBB-488C-95FF-BF3D4EED853B}"/>
    <hyperlink ref="I5" location="'C&amp;C Lists'!A6" display="See Interviewee Role List" xr:uid="{DBC373E5-E266-491E-8AEC-E6EFAF0FA045}"/>
    <hyperlink ref="I9" location="'C&amp;C Lists'!A12" display="See Continue Survey List" xr:uid="{6F393B22-27C1-4793-A20E-A3CF2B55A71D}"/>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64660A7-A2EB-4615-9050-24E4DE4AA72D}">
          <x14:formula1>
            <xm:f>Constants!$A$2:$A$16</xm:f>
          </x14:formula1>
          <xm:sqref>H3:H9</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tabColor rgb="FFFF3399"/>
  </sheetPr>
  <dimension ref="A1:K111"/>
  <sheetViews>
    <sheetView zoomScale="70" zoomScaleNormal="70" workbookViewId="0">
      <pane xSplit="1" ySplit="2" topLeftCell="B81" activePane="bottomRight" state="frozen"/>
      <selection pane="bottomRight" activeCell="F104" sqref="F104"/>
      <selection pane="bottomLeft" activeCell="A47" sqref="A47"/>
      <selection pane="topRight" activeCell="A47" sqref="A47"/>
    </sheetView>
  </sheetViews>
  <sheetFormatPr defaultColWidth="8.7109375" defaultRowHeight="14.45"/>
  <cols>
    <col min="1" max="1" width="9.28515625" style="91" customWidth="1"/>
    <col min="2" max="2" width="43.7109375" style="91" customWidth="1"/>
    <col min="3" max="3" width="65.7109375" style="127" bestFit="1" customWidth="1"/>
    <col min="4" max="4" width="21.28515625" style="91" bestFit="1" customWidth="1"/>
    <col min="5" max="5" width="16" style="91" bestFit="1" customWidth="1"/>
    <col min="6" max="6" width="30.28515625" style="91" bestFit="1" customWidth="1"/>
    <col min="7" max="7" width="19.28515625" style="84" bestFit="1" customWidth="1"/>
    <col min="8" max="8" width="23.28515625" style="91" customWidth="1"/>
    <col min="9" max="9" width="15" style="91" customWidth="1"/>
    <col min="10" max="10" width="17.42578125" style="91" customWidth="1"/>
    <col min="11" max="11" width="17.28515625" style="91" customWidth="1"/>
    <col min="12" max="16384" width="8.7109375" style="91"/>
  </cols>
  <sheetData>
    <row r="1" spans="1:11">
      <c r="A1" s="140"/>
      <c r="B1" s="140"/>
      <c r="C1" s="140"/>
      <c r="D1" s="140"/>
      <c r="E1" s="140"/>
      <c r="F1" s="140"/>
      <c r="G1" s="140"/>
      <c r="H1" s="141"/>
      <c r="I1" s="406" t="s">
        <v>1822</v>
      </c>
      <c r="J1" s="406"/>
      <c r="K1" s="406"/>
    </row>
    <row r="2" spans="1:11" s="127" customFormat="1" ht="28.9">
      <c r="A2" s="86" t="s">
        <v>20</v>
      </c>
      <c r="B2" s="86" t="s">
        <v>21</v>
      </c>
      <c r="C2" s="86" t="s">
        <v>22</v>
      </c>
      <c r="D2" s="86" t="s">
        <v>1808</v>
      </c>
      <c r="E2" s="86" t="s">
        <v>1823</v>
      </c>
      <c r="F2" s="86" t="s">
        <v>24</v>
      </c>
      <c r="G2" s="86" t="s">
        <v>25</v>
      </c>
      <c r="H2" s="86" t="s">
        <v>1824</v>
      </c>
      <c r="I2" s="86" t="s">
        <v>212</v>
      </c>
      <c r="J2" s="86" t="s">
        <v>28</v>
      </c>
      <c r="K2" s="86" t="s">
        <v>29</v>
      </c>
    </row>
    <row r="3" spans="1:11" s="127" customFormat="1">
      <c r="A3" s="403" t="s">
        <v>1825</v>
      </c>
      <c r="B3" s="404"/>
      <c r="C3" s="404"/>
      <c r="D3" s="404"/>
      <c r="E3" s="404"/>
      <c r="F3" s="404"/>
      <c r="G3" s="404"/>
      <c r="H3" s="404"/>
      <c r="I3" s="404"/>
      <c r="J3" s="404"/>
      <c r="K3" s="405"/>
    </row>
    <row r="4" spans="1:11">
      <c r="A4" s="80" t="s">
        <v>1519</v>
      </c>
      <c r="B4" s="7" t="s">
        <v>1826</v>
      </c>
      <c r="C4" s="95" t="s">
        <v>1827</v>
      </c>
      <c r="D4" s="89"/>
      <c r="E4" s="89"/>
      <c r="F4" s="7" t="s">
        <v>215</v>
      </c>
      <c r="G4" s="125" t="s">
        <v>1828</v>
      </c>
      <c r="H4" s="139" t="s">
        <v>1829</v>
      </c>
      <c r="I4" s="3"/>
      <c r="J4" s="3"/>
      <c r="K4" s="3"/>
    </row>
    <row r="5" spans="1:11">
      <c r="A5" s="85" t="s">
        <v>1523</v>
      </c>
      <c r="B5" s="7" t="s">
        <v>1826</v>
      </c>
      <c r="C5" s="95" t="s">
        <v>1830</v>
      </c>
      <c r="D5" s="89"/>
      <c r="E5" s="89"/>
      <c r="F5" s="7" t="s">
        <v>215</v>
      </c>
      <c r="G5" s="125" t="s">
        <v>1524</v>
      </c>
      <c r="H5" s="139" t="s">
        <v>1829</v>
      </c>
      <c r="I5" s="7"/>
      <c r="J5" s="3"/>
      <c r="K5" s="3"/>
    </row>
    <row r="6" spans="1:11">
      <c r="A6" s="401" t="s">
        <v>297</v>
      </c>
      <c r="B6" s="401"/>
      <c r="C6" s="401"/>
      <c r="D6" s="401"/>
      <c r="E6" s="401"/>
      <c r="F6" s="401"/>
      <c r="G6" s="401"/>
      <c r="H6" s="401"/>
      <c r="I6" s="401"/>
      <c r="J6" s="401"/>
      <c r="K6" s="401"/>
    </row>
    <row r="7" spans="1:11">
      <c r="A7" s="80" t="s">
        <v>1529</v>
      </c>
      <c r="B7" s="7" t="s">
        <v>1826</v>
      </c>
      <c r="C7" s="95" t="s">
        <v>1831</v>
      </c>
      <c r="D7" s="89"/>
      <c r="E7" s="89"/>
      <c r="F7" s="7" t="s">
        <v>215</v>
      </c>
      <c r="G7" s="125" t="s">
        <v>1530</v>
      </c>
      <c r="H7" s="139" t="s">
        <v>1829</v>
      </c>
      <c r="I7" s="3"/>
      <c r="J7" s="3"/>
      <c r="K7" s="3"/>
    </row>
    <row r="8" spans="1:11">
      <c r="A8" s="85" t="s">
        <v>1832</v>
      </c>
      <c r="B8" s="7" t="s">
        <v>1826</v>
      </c>
      <c r="C8" s="95" t="s">
        <v>1833</v>
      </c>
      <c r="D8" s="89"/>
      <c r="E8" s="89"/>
      <c r="F8" s="7" t="s">
        <v>215</v>
      </c>
      <c r="G8" s="124"/>
      <c r="H8" s="139" t="s">
        <v>1829</v>
      </c>
      <c r="I8" s="3"/>
      <c r="J8" s="3"/>
      <c r="K8" s="3"/>
    </row>
    <row r="9" spans="1:11">
      <c r="A9" s="80" t="s">
        <v>1536</v>
      </c>
      <c r="B9" s="7" t="s">
        <v>1826</v>
      </c>
      <c r="C9" s="95" t="s">
        <v>1834</v>
      </c>
      <c r="D9" s="89"/>
      <c r="E9" s="89"/>
      <c r="F9" s="7" t="s">
        <v>215</v>
      </c>
      <c r="G9" s="116" t="s">
        <v>1537</v>
      </c>
      <c r="H9" s="139" t="s">
        <v>1829</v>
      </c>
      <c r="I9" s="3"/>
      <c r="J9" s="3"/>
      <c r="K9" s="3"/>
    </row>
    <row r="10" spans="1:11">
      <c r="A10" s="401" t="s">
        <v>297</v>
      </c>
      <c r="B10" s="401"/>
      <c r="C10" s="401"/>
      <c r="D10" s="401"/>
      <c r="E10" s="401"/>
      <c r="F10" s="401"/>
      <c r="G10" s="401"/>
      <c r="H10" s="401"/>
      <c r="I10" s="401"/>
      <c r="J10" s="401"/>
      <c r="K10" s="401"/>
    </row>
    <row r="11" spans="1:11">
      <c r="A11" s="85" t="s">
        <v>1541</v>
      </c>
      <c r="B11" s="7" t="s">
        <v>1835</v>
      </c>
      <c r="C11" s="95" t="s">
        <v>1836</v>
      </c>
      <c r="D11" s="89"/>
      <c r="E11" s="89"/>
      <c r="F11" s="7" t="s">
        <v>215</v>
      </c>
      <c r="G11" s="125" t="s">
        <v>1542</v>
      </c>
      <c r="H11" s="139" t="s">
        <v>1829</v>
      </c>
      <c r="I11" s="3"/>
      <c r="J11" s="3"/>
      <c r="K11" s="3"/>
    </row>
    <row r="12" spans="1:11">
      <c r="A12" s="80" t="s">
        <v>1837</v>
      </c>
      <c r="B12" s="7" t="s">
        <v>1835</v>
      </c>
      <c r="C12" s="95" t="s">
        <v>1838</v>
      </c>
      <c r="D12" s="89"/>
      <c r="E12" s="89"/>
      <c r="F12" s="7" t="s">
        <v>215</v>
      </c>
      <c r="G12" s="125" t="s">
        <v>1828</v>
      </c>
      <c r="H12" s="139" t="s">
        <v>1829</v>
      </c>
      <c r="I12" s="3"/>
      <c r="J12" s="3"/>
      <c r="K12" s="3"/>
    </row>
    <row r="13" spans="1:11">
      <c r="A13" s="85" t="s">
        <v>1839</v>
      </c>
      <c r="B13" s="7" t="s">
        <v>1835</v>
      </c>
      <c r="C13" s="95" t="s">
        <v>1840</v>
      </c>
      <c r="D13" s="89"/>
      <c r="E13" s="89"/>
      <c r="F13" s="7" t="s">
        <v>215</v>
      </c>
      <c r="G13" s="125" t="s">
        <v>1524</v>
      </c>
      <c r="H13" s="139" t="s">
        <v>1829</v>
      </c>
      <c r="I13" s="3"/>
      <c r="J13" s="3"/>
      <c r="K13" s="3"/>
    </row>
    <row r="14" spans="1:11">
      <c r="A14" s="401" t="s">
        <v>297</v>
      </c>
      <c r="B14" s="401"/>
      <c r="C14" s="401"/>
      <c r="D14" s="401"/>
      <c r="E14" s="401"/>
      <c r="F14" s="401"/>
      <c r="G14" s="401"/>
      <c r="H14" s="401"/>
      <c r="I14" s="401"/>
      <c r="J14" s="401"/>
      <c r="K14" s="401"/>
    </row>
    <row r="15" spans="1:11">
      <c r="A15" s="80" t="s">
        <v>1546</v>
      </c>
      <c r="B15" s="7" t="s">
        <v>1835</v>
      </c>
      <c r="C15" s="142" t="s">
        <v>1841</v>
      </c>
      <c r="D15" s="89"/>
      <c r="E15" s="89"/>
      <c r="F15" s="7" t="s">
        <v>215</v>
      </c>
      <c r="G15" s="125" t="s">
        <v>1547</v>
      </c>
      <c r="H15" s="139" t="s">
        <v>1842</v>
      </c>
      <c r="I15" s="3"/>
      <c r="J15" s="3"/>
      <c r="K15" s="3"/>
    </row>
    <row r="16" spans="1:11" ht="28.9">
      <c r="A16" s="85" t="s">
        <v>1843</v>
      </c>
      <c r="B16" s="7" t="s">
        <v>1835</v>
      </c>
      <c r="C16" s="95" t="s">
        <v>1844</v>
      </c>
      <c r="D16" s="89"/>
      <c r="E16" s="89"/>
      <c r="F16" s="66" t="s">
        <v>441</v>
      </c>
      <c r="G16" s="125" t="s">
        <v>1845</v>
      </c>
      <c r="H16" s="139" t="s">
        <v>1842</v>
      </c>
      <c r="I16" s="3"/>
      <c r="J16" s="3"/>
      <c r="K16" s="3"/>
    </row>
    <row r="17" spans="1:11">
      <c r="A17" s="401" t="s">
        <v>297</v>
      </c>
      <c r="B17" s="401"/>
      <c r="C17" s="401"/>
      <c r="D17" s="401"/>
      <c r="E17" s="401"/>
      <c r="F17" s="401"/>
      <c r="G17" s="401"/>
      <c r="H17" s="401"/>
      <c r="I17" s="401"/>
      <c r="J17" s="401"/>
      <c r="K17" s="401"/>
    </row>
    <row r="18" spans="1:11" ht="28.9">
      <c r="A18" s="80" t="s">
        <v>1562</v>
      </c>
      <c r="B18" s="7" t="s">
        <v>1835</v>
      </c>
      <c r="C18" s="95" t="s">
        <v>1846</v>
      </c>
      <c r="D18" s="89"/>
      <c r="E18" s="89"/>
      <c r="F18" s="66" t="s">
        <v>441</v>
      </c>
      <c r="G18" s="125" t="s">
        <v>1563</v>
      </c>
      <c r="H18" s="139" t="s">
        <v>1842</v>
      </c>
      <c r="I18" s="3"/>
      <c r="J18" s="3"/>
      <c r="K18" s="3"/>
    </row>
    <row r="19" spans="1:11">
      <c r="A19" s="401" t="s">
        <v>297</v>
      </c>
      <c r="B19" s="401"/>
      <c r="C19" s="401"/>
      <c r="D19" s="401"/>
      <c r="E19" s="401"/>
      <c r="F19" s="401"/>
      <c r="G19" s="401"/>
      <c r="H19" s="401"/>
      <c r="I19" s="401"/>
      <c r="J19" s="401"/>
      <c r="K19" s="401"/>
    </row>
    <row r="20" spans="1:11">
      <c r="A20" s="85" t="s">
        <v>1847</v>
      </c>
      <c r="B20" s="7" t="s">
        <v>1835</v>
      </c>
      <c r="C20" s="95" t="s">
        <v>1848</v>
      </c>
      <c r="D20" s="89"/>
      <c r="E20" s="89"/>
      <c r="F20" s="7" t="s">
        <v>543</v>
      </c>
      <c r="G20" s="81"/>
      <c r="H20" s="139" t="s">
        <v>1842</v>
      </c>
      <c r="I20" s="3"/>
      <c r="J20" s="3"/>
      <c r="K20" s="3"/>
    </row>
    <row r="21" spans="1:11">
      <c r="A21" s="85" t="s">
        <v>1576</v>
      </c>
      <c r="B21" s="7" t="s">
        <v>1835</v>
      </c>
      <c r="C21" s="95" t="s">
        <v>1849</v>
      </c>
      <c r="D21" s="89"/>
      <c r="E21" s="89"/>
      <c r="F21" s="7" t="s">
        <v>215</v>
      </c>
      <c r="G21" s="125" t="s">
        <v>1577</v>
      </c>
      <c r="H21" s="139" t="s">
        <v>1842</v>
      </c>
      <c r="I21" s="3"/>
      <c r="J21" s="3"/>
      <c r="K21" s="3"/>
    </row>
    <row r="22" spans="1:11">
      <c r="A22" s="401" t="s">
        <v>297</v>
      </c>
      <c r="B22" s="401"/>
      <c r="C22" s="401"/>
      <c r="D22" s="401"/>
      <c r="E22" s="401"/>
      <c r="F22" s="401"/>
      <c r="G22" s="401"/>
      <c r="H22" s="401"/>
      <c r="I22" s="401"/>
      <c r="J22" s="401"/>
      <c r="K22" s="401"/>
    </row>
    <row r="23" spans="1:11">
      <c r="A23" s="80" t="s">
        <v>1584</v>
      </c>
      <c r="B23" s="7" t="s">
        <v>1826</v>
      </c>
      <c r="C23" s="95" t="s">
        <v>1850</v>
      </c>
      <c r="D23" s="89"/>
      <c r="E23" s="89"/>
      <c r="F23" s="7" t="s">
        <v>215</v>
      </c>
      <c r="G23" s="125" t="s">
        <v>1585</v>
      </c>
      <c r="H23" s="139" t="s">
        <v>1842</v>
      </c>
      <c r="I23" s="3"/>
      <c r="J23" s="3"/>
      <c r="K23" s="3"/>
    </row>
    <row r="24" spans="1:11" ht="28.9">
      <c r="A24" s="80" t="s">
        <v>1851</v>
      </c>
      <c r="B24" s="7" t="s">
        <v>1826</v>
      </c>
      <c r="C24" s="95" t="s">
        <v>1852</v>
      </c>
      <c r="D24" s="89"/>
      <c r="E24" s="89"/>
      <c r="F24" s="66" t="s">
        <v>441</v>
      </c>
      <c r="G24" s="125" t="s">
        <v>1853</v>
      </c>
      <c r="H24" s="139" t="s">
        <v>1842</v>
      </c>
      <c r="I24" s="3"/>
      <c r="J24" s="3"/>
      <c r="K24" s="3"/>
    </row>
    <row r="25" spans="1:11">
      <c r="A25" s="401" t="s">
        <v>297</v>
      </c>
      <c r="B25" s="401"/>
      <c r="C25" s="401"/>
      <c r="D25" s="401"/>
      <c r="E25" s="401"/>
      <c r="F25" s="401"/>
      <c r="G25" s="401"/>
      <c r="H25" s="401"/>
      <c r="I25" s="401"/>
      <c r="J25" s="401"/>
      <c r="K25" s="401"/>
    </row>
    <row r="26" spans="1:11">
      <c r="A26" s="85" t="s">
        <v>1590</v>
      </c>
      <c r="B26" s="7" t="s">
        <v>1826</v>
      </c>
      <c r="C26" s="95" t="s">
        <v>1854</v>
      </c>
      <c r="D26" s="89"/>
      <c r="E26" s="89"/>
      <c r="F26" s="7" t="s">
        <v>215</v>
      </c>
      <c r="G26" s="125" t="s">
        <v>750</v>
      </c>
      <c r="H26" s="139" t="s">
        <v>1842</v>
      </c>
      <c r="I26" s="3"/>
      <c r="J26" s="3"/>
      <c r="K26" s="3"/>
    </row>
    <row r="27" spans="1:11">
      <c r="A27" s="80" t="s">
        <v>1597</v>
      </c>
      <c r="B27" s="7" t="s">
        <v>1826</v>
      </c>
      <c r="C27" s="95" t="s">
        <v>1855</v>
      </c>
      <c r="D27" s="89"/>
      <c r="E27" s="89"/>
      <c r="F27" s="7" t="s">
        <v>215</v>
      </c>
      <c r="G27" s="99" t="s">
        <v>1598</v>
      </c>
      <c r="H27" s="139" t="s">
        <v>1842</v>
      </c>
      <c r="I27" s="3"/>
      <c r="J27" s="3"/>
      <c r="K27" s="3"/>
    </row>
    <row r="28" spans="1:11">
      <c r="A28" s="401" t="s">
        <v>297</v>
      </c>
      <c r="B28" s="401"/>
      <c r="C28" s="401"/>
      <c r="D28" s="401"/>
      <c r="E28" s="401"/>
      <c r="F28" s="401"/>
      <c r="G28" s="401"/>
      <c r="H28" s="401"/>
      <c r="I28" s="401"/>
      <c r="J28" s="401"/>
      <c r="K28" s="401"/>
    </row>
    <row r="29" spans="1:11" ht="28.9">
      <c r="A29" s="85" t="s">
        <v>1603</v>
      </c>
      <c r="B29" s="7" t="s">
        <v>1826</v>
      </c>
      <c r="C29" s="95" t="s">
        <v>1856</v>
      </c>
      <c r="D29" s="89"/>
      <c r="E29" s="89"/>
      <c r="F29" s="66" t="s">
        <v>441</v>
      </c>
      <c r="G29" s="99" t="s">
        <v>1604</v>
      </c>
      <c r="H29" s="139" t="s">
        <v>1842</v>
      </c>
      <c r="I29" s="3"/>
      <c r="J29" s="3"/>
      <c r="K29" s="3"/>
    </row>
    <row r="30" spans="1:11">
      <c r="A30" s="80" t="s">
        <v>1610</v>
      </c>
      <c r="B30" s="7" t="s">
        <v>1826</v>
      </c>
      <c r="C30" s="95" t="s">
        <v>1857</v>
      </c>
      <c r="D30" s="89"/>
      <c r="E30" s="89"/>
      <c r="F30" s="7" t="s">
        <v>215</v>
      </c>
      <c r="G30" s="99" t="s">
        <v>1611</v>
      </c>
      <c r="H30" s="139" t="s">
        <v>1842</v>
      </c>
      <c r="I30" s="3"/>
      <c r="J30" s="3"/>
      <c r="K30" s="3"/>
    </row>
    <row r="31" spans="1:11">
      <c r="A31" s="401" t="s">
        <v>297</v>
      </c>
      <c r="B31" s="401"/>
      <c r="C31" s="401"/>
      <c r="D31" s="401"/>
      <c r="E31" s="401"/>
      <c r="F31" s="401"/>
      <c r="G31" s="401"/>
      <c r="H31" s="401"/>
      <c r="I31" s="401"/>
      <c r="J31" s="401"/>
      <c r="K31" s="401"/>
    </row>
    <row r="32" spans="1:11">
      <c r="A32" s="85" t="s">
        <v>1858</v>
      </c>
      <c r="B32" s="7" t="s">
        <v>1835</v>
      </c>
      <c r="C32" s="95" t="s">
        <v>1859</v>
      </c>
      <c r="D32" s="89"/>
      <c r="E32" s="89"/>
      <c r="F32" s="7" t="s">
        <v>215</v>
      </c>
      <c r="G32" s="123" t="s">
        <v>305</v>
      </c>
      <c r="H32" s="139" t="s">
        <v>1829</v>
      </c>
      <c r="I32" s="3"/>
      <c r="J32" s="3"/>
      <c r="K32" s="3"/>
    </row>
    <row r="33" spans="1:11" ht="28.9">
      <c r="A33" s="80" t="s">
        <v>1860</v>
      </c>
      <c r="B33" s="7" t="s">
        <v>1861</v>
      </c>
      <c r="C33" s="95" t="s">
        <v>1862</v>
      </c>
      <c r="D33" s="89"/>
      <c r="E33" s="89"/>
      <c r="F33" s="7" t="s">
        <v>215</v>
      </c>
      <c r="G33" s="123" t="s">
        <v>305</v>
      </c>
      <c r="H33" s="139" t="s">
        <v>1829</v>
      </c>
      <c r="I33" s="3"/>
      <c r="J33" s="3"/>
      <c r="K33" s="3"/>
    </row>
    <row r="34" spans="1:11">
      <c r="A34" s="92" t="s">
        <v>1863</v>
      </c>
      <c r="B34" s="105" t="s">
        <v>1835</v>
      </c>
      <c r="C34" s="94" t="s">
        <v>1864</v>
      </c>
      <c r="D34" s="126"/>
      <c r="E34" s="126"/>
      <c r="F34" s="7" t="s">
        <v>543</v>
      </c>
      <c r="G34" s="105"/>
      <c r="H34" s="143" t="s">
        <v>1829</v>
      </c>
      <c r="I34" s="69"/>
      <c r="J34" s="69"/>
      <c r="K34" s="69"/>
    </row>
    <row r="35" spans="1:11">
      <c r="A35" s="80" t="s">
        <v>1865</v>
      </c>
      <c r="B35" s="7" t="s">
        <v>1835</v>
      </c>
      <c r="C35" s="95" t="s">
        <v>1866</v>
      </c>
      <c r="D35" s="89"/>
      <c r="E35" s="89"/>
      <c r="F35" s="7" t="s">
        <v>543</v>
      </c>
      <c r="G35" s="7"/>
      <c r="H35" s="139" t="s">
        <v>1829</v>
      </c>
      <c r="I35" s="3"/>
      <c r="J35" s="3"/>
      <c r="K35" s="3"/>
    </row>
    <row r="36" spans="1:11">
      <c r="A36" s="401" t="s">
        <v>297</v>
      </c>
      <c r="B36" s="401"/>
      <c r="C36" s="401"/>
      <c r="D36" s="401"/>
      <c r="E36" s="401"/>
      <c r="F36" s="401"/>
      <c r="G36" s="401"/>
      <c r="H36" s="401"/>
      <c r="I36" s="401"/>
      <c r="J36" s="401"/>
      <c r="K36" s="401"/>
    </row>
    <row r="37" spans="1:11">
      <c r="A37" s="403" t="s">
        <v>1867</v>
      </c>
      <c r="B37" s="404"/>
      <c r="C37" s="404"/>
      <c r="D37" s="404"/>
      <c r="E37" s="404"/>
      <c r="F37" s="404"/>
      <c r="G37" s="404"/>
      <c r="H37" s="404"/>
      <c r="I37" s="404"/>
      <c r="J37" s="404"/>
      <c r="K37" s="405"/>
    </row>
    <row r="38" spans="1:11" ht="28.9">
      <c r="A38" s="87" t="s">
        <v>1616</v>
      </c>
      <c r="B38" s="7" t="s">
        <v>1868</v>
      </c>
      <c r="C38" s="95" t="s">
        <v>1869</v>
      </c>
      <c r="D38" s="89"/>
      <c r="E38" s="89"/>
      <c r="F38" s="66" t="s">
        <v>441</v>
      </c>
      <c r="G38" s="99" t="s">
        <v>1617</v>
      </c>
      <c r="H38" s="139" t="s">
        <v>1842</v>
      </c>
      <c r="I38" s="87"/>
      <c r="J38" s="87"/>
      <c r="K38" s="87"/>
    </row>
    <row r="39" spans="1:11">
      <c r="A39" s="401" t="s">
        <v>297</v>
      </c>
      <c r="B39" s="401"/>
      <c r="C39" s="401"/>
      <c r="D39" s="401"/>
      <c r="E39" s="401"/>
      <c r="F39" s="401"/>
      <c r="G39" s="401"/>
      <c r="H39" s="401"/>
      <c r="I39" s="401"/>
      <c r="J39" s="401"/>
      <c r="K39" s="401"/>
    </row>
    <row r="40" spans="1:11">
      <c r="A40" s="87" t="s">
        <v>1627</v>
      </c>
      <c r="B40" s="7" t="s">
        <v>1870</v>
      </c>
      <c r="C40" s="95" t="s">
        <v>1871</v>
      </c>
      <c r="D40" s="89"/>
      <c r="E40" s="89"/>
      <c r="F40" s="7" t="s">
        <v>215</v>
      </c>
      <c r="G40" s="99" t="s">
        <v>1628</v>
      </c>
      <c r="H40" s="139" t="s">
        <v>1842</v>
      </c>
      <c r="I40" s="87"/>
      <c r="J40" s="87"/>
      <c r="K40" s="87"/>
    </row>
    <row r="41" spans="1:11">
      <c r="A41" s="87" t="s">
        <v>1872</v>
      </c>
      <c r="B41" s="7" t="s">
        <v>1873</v>
      </c>
      <c r="C41" s="95" t="s">
        <v>1874</v>
      </c>
      <c r="D41" s="89"/>
      <c r="E41" s="89"/>
      <c r="F41" s="7" t="s">
        <v>215</v>
      </c>
      <c r="G41" s="123" t="s">
        <v>305</v>
      </c>
      <c r="H41" s="139" t="s">
        <v>1842</v>
      </c>
      <c r="I41" s="87"/>
      <c r="J41" s="87"/>
      <c r="K41" s="87"/>
    </row>
    <row r="42" spans="1:11" ht="28.9">
      <c r="A42" s="87" t="s">
        <v>1631</v>
      </c>
      <c r="B42" s="7" t="s">
        <v>1875</v>
      </c>
      <c r="C42" s="95" t="s">
        <v>1876</v>
      </c>
      <c r="D42" s="89"/>
      <c r="E42" s="89"/>
      <c r="F42" s="7" t="s">
        <v>215</v>
      </c>
      <c r="G42" s="99" t="s">
        <v>1632</v>
      </c>
      <c r="H42" s="139" t="s">
        <v>1842</v>
      </c>
      <c r="I42" s="87"/>
      <c r="J42" s="87"/>
      <c r="K42" s="87"/>
    </row>
    <row r="43" spans="1:11" ht="28.9">
      <c r="A43" s="87" t="s">
        <v>1639</v>
      </c>
      <c r="B43" s="7" t="s">
        <v>1877</v>
      </c>
      <c r="C43" s="95" t="s">
        <v>1878</v>
      </c>
      <c r="D43" s="89"/>
      <c r="E43" s="89"/>
      <c r="F43" s="7" t="s">
        <v>215</v>
      </c>
      <c r="G43" s="99" t="s">
        <v>1640</v>
      </c>
      <c r="H43" s="139" t="s">
        <v>1842</v>
      </c>
      <c r="I43" s="87"/>
      <c r="J43" s="87"/>
      <c r="K43" s="87"/>
    </row>
    <row r="44" spans="1:11">
      <c r="A44" s="401" t="s">
        <v>297</v>
      </c>
      <c r="B44" s="401"/>
      <c r="C44" s="401"/>
      <c r="D44" s="401"/>
      <c r="E44" s="401"/>
      <c r="F44" s="401"/>
      <c r="G44" s="401"/>
      <c r="H44" s="401"/>
      <c r="I44" s="401"/>
      <c r="J44" s="401"/>
      <c r="K44" s="401"/>
    </row>
    <row r="45" spans="1:11" ht="28.9">
      <c r="A45" s="87" t="s">
        <v>1645</v>
      </c>
      <c r="B45" s="7" t="s">
        <v>1879</v>
      </c>
      <c r="C45" s="95" t="s">
        <v>1880</v>
      </c>
      <c r="D45" s="89"/>
      <c r="E45" s="89"/>
      <c r="F45" s="66" t="s">
        <v>441</v>
      </c>
      <c r="G45" s="99" t="s">
        <v>1646</v>
      </c>
      <c r="H45" s="139" t="s">
        <v>1842</v>
      </c>
      <c r="I45" s="87"/>
      <c r="J45" s="87"/>
      <c r="K45" s="87"/>
    </row>
    <row r="46" spans="1:11">
      <c r="A46" s="401" t="s">
        <v>297</v>
      </c>
      <c r="B46" s="401"/>
      <c r="C46" s="401"/>
      <c r="D46" s="401"/>
      <c r="E46" s="401"/>
      <c r="F46" s="401"/>
      <c r="G46" s="401"/>
      <c r="H46" s="401"/>
      <c r="I46" s="401"/>
      <c r="J46" s="401"/>
      <c r="K46" s="401"/>
    </row>
    <row r="47" spans="1:11" ht="28.9">
      <c r="A47" s="144" t="s">
        <v>1649</v>
      </c>
      <c r="B47" s="7" t="s">
        <v>1875</v>
      </c>
      <c r="C47" s="95" t="s">
        <v>1881</v>
      </c>
      <c r="D47" s="89"/>
      <c r="E47" s="89"/>
      <c r="F47" s="7" t="s">
        <v>215</v>
      </c>
      <c r="G47" s="99" t="s">
        <v>1650</v>
      </c>
      <c r="H47" s="139" t="s">
        <v>1842</v>
      </c>
      <c r="I47" s="87"/>
      <c r="J47" s="87"/>
      <c r="K47" s="87"/>
    </row>
    <row r="48" spans="1:11" ht="28.9">
      <c r="A48" s="87" t="s">
        <v>1664</v>
      </c>
      <c r="B48" s="7" t="s">
        <v>1875</v>
      </c>
      <c r="C48" s="95" t="s">
        <v>1882</v>
      </c>
      <c r="D48" s="89"/>
      <c r="E48" s="89"/>
      <c r="F48" s="7" t="s">
        <v>215</v>
      </c>
      <c r="G48" s="99" t="s">
        <v>1665</v>
      </c>
      <c r="H48" s="139" t="s">
        <v>1842</v>
      </c>
      <c r="I48" s="87"/>
      <c r="J48" s="87"/>
      <c r="K48" s="87"/>
    </row>
    <row r="49" spans="1:11" ht="28.9">
      <c r="A49" s="87" t="s">
        <v>1883</v>
      </c>
      <c r="B49" s="7" t="s">
        <v>1875</v>
      </c>
      <c r="C49" s="95" t="s">
        <v>1884</v>
      </c>
      <c r="D49" s="89"/>
      <c r="E49" s="89"/>
      <c r="F49" s="7" t="s">
        <v>215</v>
      </c>
      <c r="G49" s="123" t="s">
        <v>305</v>
      </c>
      <c r="H49" s="139" t="s">
        <v>1842</v>
      </c>
      <c r="I49" s="87"/>
      <c r="J49" s="87"/>
      <c r="K49" s="87"/>
    </row>
    <row r="50" spans="1:11">
      <c r="A50" s="401" t="s">
        <v>297</v>
      </c>
      <c r="B50" s="401"/>
      <c r="C50" s="401"/>
      <c r="D50" s="401"/>
      <c r="E50" s="401"/>
      <c r="F50" s="401"/>
      <c r="G50" s="401"/>
      <c r="H50" s="401"/>
      <c r="I50" s="401"/>
      <c r="J50" s="401"/>
      <c r="K50" s="401"/>
    </row>
    <row r="51" spans="1:11">
      <c r="A51" s="87" t="s">
        <v>1885</v>
      </c>
      <c r="B51" s="7" t="s">
        <v>1873</v>
      </c>
      <c r="C51" s="95" t="s">
        <v>1886</v>
      </c>
      <c r="D51" s="89"/>
      <c r="E51" s="89"/>
      <c r="F51" s="7" t="s">
        <v>215</v>
      </c>
      <c r="G51" s="123" t="s">
        <v>305</v>
      </c>
      <c r="H51" s="139" t="s">
        <v>1842</v>
      </c>
      <c r="I51" s="87"/>
      <c r="J51" s="87"/>
      <c r="K51" s="87"/>
    </row>
    <row r="52" spans="1:11" ht="28.9">
      <c r="A52" s="87" t="s">
        <v>1667</v>
      </c>
      <c r="B52" s="7" t="s">
        <v>1873</v>
      </c>
      <c r="C52" s="94" t="s">
        <v>1887</v>
      </c>
      <c r="D52" s="89"/>
      <c r="E52" s="89"/>
      <c r="F52" s="7" t="s">
        <v>215</v>
      </c>
      <c r="G52" s="99" t="s">
        <v>1668</v>
      </c>
      <c r="H52" s="139" t="s">
        <v>1842</v>
      </c>
      <c r="I52" s="87"/>
      <c r="J52" s="87"/>
      <c r="K52" s="87"/>
    </row>
    <row r="53" spans="1:11">
      <c r="A53" s="401" t="s">
        <v>297</v>
      </c>
      <c r="B53" s="401"/>
      <c r="C53" s="401"/>
      <c r="D53" s="401"/>
      <c r="E53" s="401"/>
      <c r="F53" s="401"/>
      <c r="G53" s="401"/>
      <c r="H53" s="401"/>
      <c r="I53" s="401"/>
      <c r="J53" s="401"/>
      <c r="K53" s="401"/>
    </row>
    <row r="54" spans="1:11">
      <c r="A54" s="87" t="s">
        <v>1888</v>
      </c>
      <c r="B54" s="7" t="s">
        <v>1873</v>
      </c>
      <c r="C54" s="95" t="s">
        <v>1889</v>
      </c>
      <c r="D54" s="89"/>
      <c r="E54" s="89"/>
      <c r="F54" s="7" t="s">
        <v>215</v>
      </c>
      <c r="G54" s="123" t="s">
        <v>305</v>
      </c>
      <c r="H54" s="139" t="s">
        <v>1842</v>
      </c>
      <c r="I54" s="87"/>
      <c r="J54" s="87"/>
      <c r="K54" s="87"/>
    </row>
    <row r="55" spans="1:11">
      <c r="A55" s="87" t="s">
        <v>1673</v>
      </c>
      <c r="B55" s="7" t="s">
        <v>1873</v>
      </c>
      <c r="C55" s="95" t="s">
        <v>1890</v>
      </c>
      <c r="D55" s="89"/>
      <c r="E55" s="89"/>
      <c r="F55" s="7" t="s">
        <v>215</v>
      </c>
      <c r="G55" s="99" t="s">
        <v>1674</v>
      </c>
      <c r="H55" s="139" t="s">
        <v>1842</v>
      </c>
      <c r="I55" s="87"/>
      <c r="J55" s="87"/>
      <c r="K55" s="87"/>
    </row>
    <row r="56" spans="1:11">
      <c r="A56" s="401" t="s">
        <v>297</v>
      </c>
      <c r="B56" s="401"/>
      <c r="C56" s="401"/>
      <c r="D56" s="401"/>
      <c r="E56" s="401"/>
      <c r="F56" s="401"/>
      <c r="G56" s="401"/>
      <c r="H56" s="401"/>
      <c r="I56" s="401"/>
      <c r="J56" s="401"/>
      <c r="K56" s="401"/>
    </row>
    <row r="57" spans="1:11">
      <c r="A57" s="87" t="s">
        <v>1891</v>
      </c>
      <c r="B57" s="7" t="s">
        <v>1873</v>
      </c>
      <c r="C57" s="95" t="s">
        <v>1892</v>
      </c>
      <c r="D57" s="89"/>
      <c r="E57" s="89"/>
      <c r="F57" s="7" t="s">
        <v>215</v>
      </c>
      <c r="G57" s="123" t="s">
        <v>305</v>
      </c>
      <c r="H57" s="139" t="s">
        <v>1842</v>
      </c>
      <c r="I57" s="87"/>
      <c r="J57" s="87"/>
      <c r="K57" s="87"/>
    </row>
    <row r="58" spans="1:11">
      <c r="A58" s="87" t="s">
        <v>1893</v>
      </c>
      <c r="B58" s="7" t="s">
        <v>1873</v>
      </c>
      <c r="C58" s="95" t="s">
        <v>1894</v>
      </c>
      <c r="D58" s="89"/>
      <c r="E58" s="89"/>
      <c r="F58" s="7" t="s">
        <v>215</v>
      </c>
      <c r="G58" s="123" t="s">
        <v>305</v>
      </c>
      <c r="H58" s="139" t="s">
        <v>1842</v>
      </c>
      <c r="I58" s="87"/>
      <c r="J58" s="87"/>
      <c r="K58" s="87"/>
    </row>
    <row r="59" spans="1:11">
      <c r="A59" s="87" t="s">
        <v>1679</v>
      </c>
      <c r="B59" s="7" t="s">
        <v>1868</v>
      </c>
      <c r="C59" s="95" t="s">
        <v>1895</v>
      </c>
      <c r="D59" s="89"/>
      <c r="E59" s="89"/>
      <c r="F59" s="7" t="s">
        <v>215</v>
      </c>
      <c r="G59" s="99" t="s">
        <v>1680</v>
      </c>
      <c r="H59" s="139" t="s">
        <v>1842</v>
      </c>
      <c r="I59" s="87"/>
      <c r="J59" s="87"/>
      <c r="K59" s="87"/>
    </row>
    <row r="60" spans="1:11">
      <c r="A60" s="87" t="s">
        <v>1896</v>
      </c>
      <c r="B60" s="7" t="s">
        <v>1870</v>
      </c>
      <c r="C60" s="95" t="s">
        <v>1897</v>
      </c>
      <c r="D60" s="89"/>
      <c r="E60" s="89"/>
      <c r="F60" s="7" t="s">
        <v>215</v>
      </c>
      <c r="G60" s="99" t="s">
        <v>1680</v>
      </c>
      <c r="H60" s="139" t="s">
        <v>1842</v>
      </c>
      <c r="I60" s="87"/>
      <c r="J60" s="87"/>
      <c r="K60" s="87"/>
    </row>
    <row r="61" spans="1:11">
      <c r="A61" s="401" t="s">
        <v>297</v>
      </c>
      <c r="B61" s="401"/>
      <c r="C61" s="401"/>
      <c r="D61" s="401"/>
      <c r="E61" s="401"/>
      <c r="F61" s="401"/>
      <c r="G61" s="401"/>
      <c r="H61" s="401"/>
      <c r="I61" s="401"/>
      <c r="J61" s="401"/>
      <c r="K61" s="401"/>
    </row>
    <row r="62" spans="1:11">
      <c r="A62" s="87" t="s">
        <v>1898</v>
      </c>
      <c r="B62" s="7" t="s">
        <v>1899</v>
      </c>
      <c r="C62" s="95" t="s">
        <v>1900</v>
      </c>
      <c r="D62" s="89"/>
      <c r="E62" s="89"/>
      <c r="F62" s="7" t="s">
        <v>33</v>
      </c>
      <c r="G62" s="7"/>
      <c r="H62" s="139" t="s">
        <v>1842</v>
      </c>
      <c r="I62" s="87"/>
      <c r="J62" s="87"/>
      <c r="K62" s="87"/>
    </row>
    <row r="63" spans="1:11">
      <c r="A63" s="87" t="s">
        <v>1901</v>
      </c>
      <c r="B63" s="7" t="s">
        <v>1899</v>
      </c>
      <c r="C63" s="95" t="s">
        <v>1902</v>
      </c>
      <c r="D63" s="89"/>
      <c r="E63" s="89"/>
      <c r="F63" s="7" t="s">
        <v>215</v>
      </c>
      <c r="G63" s="123" t="s">
        <v>305</v>
      </c>
      <c r="H63" s="139" t="s">
        <v>1842</v>
      </c>
      <c r="I63" s="87"/>
      <c r="J63" s="87"/>
      <c r="K63" s="87"/>
    </row>
    <row r="64" spans="1:11">
      <c r="A64" s="87" t="s">
        <v>1903</v>
      </c>
      <c r="B64" s="7" t="s">
        <v>1899</v>
      </c>
      <c r="C64" s="95" t="s">
        <v>1904</v>
      </c>
      <c r="D64" s="89"/>
      <c r="E64" s="89"/>
      <c r="F64" s="7" t="s">
        <v>215</v>
      </c>
      <c r="G64" s="99" t="s">
        <v>1650</v>
      </c>
      <c r="H64" s="139" t="s">
        <v>1842</v>
      </c>
      <c r="I64" s="87"/>
      <c r="J64" s="87"/>
      <c r="K64" s="87"/>
    </row>
    <row r="65" spans="1:11">
      <c r="A65" s="401" t="s">
        <v>297</v>
      </c>
      <c r="B65" s="401"/>
      <c r="C65" s="401"/>
      <c r="D65" s="401"/>
      <c r="E65" s="401"/>
      <c r="F65" s="401"/>
      <c r="G65" s="401"/>
      <c r="H65" s="401"/>
      <c r="I65" s="401"/>
      <c r="J65" s="401"/>
      <c r="K65" s="401"/>
    </row>
    <row r="66" spans="1:11">
      <c r="A66" s="87" t="s">
        <v>1685</v>
      </c>
      <c r="B66" s="7" t="s">
        <v>1899</v>
      </c>
      <c r="C66" s="95" t="s">
        <v>1905</v>
      </c>
      <c r="D66" s="89"/>
      <c r="E66" s="89"/>
      <c r="F66" s="7" t="s">
        <v>215</v>
      </c>
      <c r="G66" s="99" t="s">
        <v>1686</v>
      </c>
      <c r="H66" s="139" t="s">
        <v>1842</v>
      </c>
      <c r="I66" s="87"/>
      <c r="J66" s="87"/>
      <c r="K66" s="87"/>
    </row>
    <row r="67" spans="1:11">
      <c r="A67" s="87" t="s">
        <v>1906</v>
      </c>
      <c r="B67" s="7" t="s">
        <v>1899</v>
      </c>
      <c r="C67" s="95" t="s">
        <v>1907</v>
      </c>
      <c r="D67" s="89"/>
      <c r="E67" s="89"/>
      <c r="F67" s="7" t="s">
        <v>215</v>
      </c>
      <c r="G67" s="99" t="s">
        <v>1686</v>
      </c>
      <c r="H67" s="139" t="s">
        <v>1842</v>
      </c>
      <c r="I67" s="87"/>
      <c r="J67" s="87"/>
      <c r="K67" s="87"/>
    </row>
    <row r="68" spans="1:11">
      <c r="A68" s="401" t="s">
        <v>297</v>
      </c>
      <c r="B68" s="401"/>
      <c r="C68" s="401"/>
      <c r="D68" s="401"/>
      <c r="E68" s="401"/>
      <c r="F68" s="401"/>
      <c r="G68" s="401"/>
      <c r="H68" s="401"/>
      <c r="I68" s="401"/>
      <c r="J68" s="401"/>
      <c r="K68" s="401"/>
    </row>
    <row r="69" spans="1:11">
      <c r="A69" s="87" t="s">
        <v>1688</v>
      </c>
      <c r="B69" s="7" t="s">
        <v>1899</v>
      </c>
      <c r="C69" s="95" t="s">
        <v>1908</v>
      </c>
      <c r="D69" s="89"/>
      <c r="E69" s="89"/>
      <c r="F69" s="7" t="s">
        <v>215</v>
      </c>
      <c r="G69" s="99" t="s">
        <v>1689</v>
      </c>
      <c r="H69" s="139" t="s">
        <v>1842</v>
      </c>
      <c r="I69" s="87"/>
      <c r="J69" s="87"/>
      <c r="K69" s="87"/>
    </row>
    <row r="70" spans="1:11">
      <c r="A70" s="87" t="s">
        <v>1692</v>
      </c>
      <c r="B70" s="7" t="s">
        <v>1899</v>
      </c>
      <c r="C70" s="95" t="s">
        <v>1909</v>
      </c>
      <c r="D70" s="89"/>
      <c r="E70" s="89"/>
      <c r="F70" s="7" t="s">
        <v>215</v>
      </c>
      <c r="G70" s="99" t="s">
        <v>1693</v>
      </c>
      <c r="H70" s="139" t="s">
        <v>1842</v>
      </c>
      <c r="I70" s="87"/>
      <c r="J70" s="87"/>
      <c r="K70" s="87"/>
    </row>
    <row r="71" spans="1:11">
      <c r="A71" s="87" t="s">
        <v>1696</v>
      </c>
      <c r="B71" s="7" t="s">
        <v>1899</v>
      </c>
      <c r="C71" s="95" t="s">
        <v>1910</v>
      </c>
      <c r="D71" s="89"/>
      <c r="E71" s="89"/>
      <c r="F71" s="7" t="s">
        <v>215</v>
      </c>
      <c r="G71" s="99" t="s">
        <v>1911</v>
      </c>
      <c r="H71" s="139" t="s">
        <v>1842</v>
      </c>
      <c r="I71" s="87"/>
      <c r="J71" s="87"/>
      <c r="K71" s="87"/>
    </row>
    <row r="72" spans="1:11">
      <c r="A72" s="401" t="s">
        <v>297</v>
      </c>
      <c r="B72" s="401"/>
      <c r="C72" s="401"/>
      <c r="D72" s="401"/>
      <c r="E72" s="401"/>
      <c r="F72" s="401"/>
      <c r="G72" s="401"/>
      <c r="H72" s="401"/>
      <c r="I72" s="401"/>
      <c r="J72" s="401"/>
      <c r="K72" s="401"/>
    </row>
    <row r="73" spans="1:11">
      <c r="A73" s="403" t="s">
        <v>1912</v>
      </c>
      <c r="B73" s="404"/>
      <c r="C73" s="404"/>
      <c r="D73" s="404"/>
      <c r="E73" s="404"/>
      <c r="F73" s="404"/>
      <c r="G73" s="404"/>
      <c r="H73" s="404"/>
      <c r="I73" s="404"/>
      <c r="J73" s="404"/>
      <c r="K73" s="405"/>
    </row>
    <row r="74" spans="1:11" ht="28.9">
      <c r="A74" s="87" t="s">
        <v>1913</v>
      </c>
      <c r="B74" s="7" t="s">
        <v>1914</v>
      </c>
      <c r="C74" s="95" t="s">
        <v>1915</v>
      </c>
      <c r="D74" s="89"/>
      <c r="E74" s="89"/>
      <c r="F74" s="7" t="s">
        <v>1507</v>
      </c>
      <c r="G74" s="99" t="s">
        <v>1617</v>
      </c>
      <c r="H74" s="139" t="s">
        <v>1842</v>
      </c>
      <c r="I74" s="87"/>
      <c r="J74" s="87"/>
      <c r="K74" s="87"/>
    </row>
    <row r="75" spans="1:11">
      <c r="A75" s="401" t="s">
        <v>297</v>
      </c>
      <c r="B75" s="401"/>
      <c r="C75" s="401"/>
      <c r="D75" s="401"/>
      <c r="E75" s="401"/>
      <c r="F75" s="401"/>
      <c r="G75" s="401"/>
      <c r="H75" s="401"/>
      <c r="I75" s="401"/>
      <c r="J75" s="401"/>
      <c r="K75" s="401"/>
    </row>
    <row r="76" spans="1:11">
      <c r="A76" s="87" t="s">
        <v>1701</v>
      </c>
      <c r="B76" s="7" t="s">
        <v>1914</v>
      </c>
      <c r="C76" s="95" t="s">
        <v>1916</v>
      </c>
      <c r="D76" s="89"/>
      <c r="E76" s="89"/>
      <c r="F76" s="7" t="s">
        <v>215</v>
      </c>
      <c r="G76" s="99" t="s">
        <v>1702</v>
      </c>
      <c r="H76" s="139" t="s">
        <v>1842</v>
      </c>
      <c r="I76" s="87"/>
      <c r="J76" s="87"/>
      <c r="K76" s="87"/>
    </row>
    <row r="77" spans="1:11">
      <c r="A77" s="87" t="s">
        <v>1917</v>
      </c>
      <c r="B77" s="7" t="s">
        <v>1914</v>
      </c>
      <c r="C77" s="95" t="s">
        <v>1918</v>
      </c>
      <c r="D77" s="89"/>
      <c r="E77" s="89"/>
      <c r="F77" s="7" t="s">
        <v>215</v>
      </c>
      <c r="G77" s="123" t="s">
        <v>305</v>
      </c>
      <c r="H77" s="139" t="s">
        <v>1842</v>
      </c>
      <c r="I77" s="87"/>
      <c r="J77" s="87"/>
      <c r="K77" s="87"/>
    </row>
    <row r="78" spans="1:11">
      <c r="A78" s="401" t="s">
        <v>297</v>
      </c>
      <c r="B78" s="401"/>
      <c r="C78" s="401"/>
      <c r="D78" s="401"/>
      <c r="E78" s="401"/>
      <c r="F78" s="401"/>
      <c r="G78" s="401"/>
      <c r="H78" s="401"/>
      <c r="I78" s="401"/>
      <c r="J78" s="401"/>
      <c r="K78" s="401"/>
    </row>
    <row r="79" spans="1:11">
      <c r="A79" s="87" t="s">
        <v>1709</v>
      </c>
      <c r="B79" s="7" t="s">
        <v>1914</v>
      </c>
      <c r="C79" s="95" t="s">
        <v>1919</v>
      </c>
      <c r="D79" s="89"/>
      <c r="E79" s="89"/>
      <c r="F79" s="7" t="s">
        <v>215</v>
      </c>
      <c r="G79" s="99" t="s">
        <v>1690</v>
      </c>
      <c r="H79" s="139" t="s">
        <v>1842</v>
      </c>
      <c r="I79" s="87"/>
      <c r="J79" s="87"/>
      <c r="K79" s="87"/>
    </row>
    <row r="80" spans="1:11">
      <c r="A80" s="87" t="s">
        <v>1712</v>
      </c>
      <c r="B80" s="7" t="s">
        <v>1826</v>
      </c>
      <c r="C80" s="95" t="s">
        <v>1920</v>
      </c>
      <c r="D80" s="89"/>
      <c r="E80" s="89"/>
      <c r="F80" s="7" t="s">
        <v>215</v>
      </c>
      <c r="G80" s="99" t="s">
        <v>1713</v>
      </c>
      <c r="H80" s="139" t="s">
        <v>1842</v>
      </c>
      <c r="I80" s="87"/>
      <c r="J80" s="87"/>
      <c r="K80" s="87"/>
    </row>
    <row r="81" spans="1:11">
      <c r="A81" s="87" t="s">
        <v>1716</v>
      </c>
      <c r="B81" s="7" t="s">
        <v>1826</v>
      </c>
      <c r="C81" s="95" t="s">
        <v>1921</v>
      </c>
      <c r="D81" s="89"/>
      <c r="E81" s="89"/>
      <c r="F81" s="7" t="s">
        <v>215</v>
      </c>
      <c r="G81" s="99" t="s">
        <v>1717</v>
      </c>
      <c r="H81" s="139" t="s">
        <v>1842</v>
      </c>
      <c r="I81" s="87"/>
      <c r="J81" s="87"/>
      <c r="K81" s="87"/>
    </row>
    <row r="82" spans="1:11">
      <c r="A82" s="401" t="s">
        <v>297</v>
      </c>
      <c r="B82" s="401"/>
      <c r="C82" s="401"/>
      <c r="D82" s="401"/>
      <c r="E82" s="401"/>
      <c r="F82" s="401"/>
      <c r="G82" s="401"/>
      <c r="H82" s="401"/>
      <c r="I82" s="401"/>
      <c r="J82" s="401"/>
      <c r="K82" s="401"/>
    </row>
    <row r="83" spans="1:11">
      <c r="A83" s="87" t="s">
        <v>1922</v>
      </c>
      <c r="B83" s="7" t="s">
        <v>1899</v>
      </c>
      <c r="C83" s="95" t="s">
        <v>1923</v>
      </c>
      <c r="D83" s="89"/>
      <c r="E83" s="89"/>
      <c r="F83" s="7" t="s">
        <v>215</v>
      </c>
      <c r="G83" s="99" t="s">
        <v>1617</v>
      </c>
      <c r="H83" s="139" t="s">
        <v>1842</v>
      </c>
      <c r="I83" s="87"/>
      <c r="J83" s="87"/>
      <c r="K83" s="87"/>
    </row>
    <row r="84" spans="1:11">
      <c r="A84" s="401" t="s">
        <v>297</v>
      </c>
      <c r="B84" s="401"/>
      <c r="C84" s="401"/>
      <c r="D84" s="401"/>
      <c r="E84" s="401"/>
      <c r="F84" s="401"/>
      <c r="G84" s="401"/>
      <c r="H84" s="401"/>
      <c r="I84" s="401"/>
      <c r="J84" s="401"/>
      <c r="K84" s="401"/>
    </row>
    <row r="85" spans="1:11" ht="28.9">
      <c r="A85" s="87" t="s">
        <v>1924</v>
      </c>
      <c r="B85" s="7" t="s">
        <v>1899</v>
      </c>
      <c r="C85" s="95" t="s">
        <v>1925</v>
      </c>
      <c r="D85" s="89"/>
      <c r="E85" s="89"/>
      <c r="F85" s="7" t="s">
        <v>1926</v>
      </c>
      <c r="G85" s="99" t="s">
        <v>1650</v>
      </c>
      <c r="H85" s="139" t="s">
        <v>1842</v>
      </c>
      <c r="I85" s="87"/>
      <c r="J85" s="95"/>
      <c r="K85" s="87"/>
    </row>
    <row r="86" spans="1:11">
      <c r="A86" s="87" t="s">
        <v>1927</v>
      </c>
      <c r="B86" s="7" t="s">
        <v>1899</v>
      </c>
      <c r="C86" s="95" t="s">
        <v>1928</v>
      </c>
      <c r="D86" s="89"/>
      <c r="E86" s="89"/>
      <c r="F86" s="7" t="s">
        <v>405</v>
      </c>
      <c r="G86" s="99" t="s">
        <v>1650</v>
      </c>
      <c r="H86" s="139" t="s">
        <v>1842</v>
      </c>
      <c r="I86" s="87"/>
      <c r="J86" s="87"/>
      <c r="K86" s="87"/>
    </row>
    <row r="87" spans="1:11">
      <c r="A87" s="401" t="s">
        <v>297</v>
      </c>
      <c r="B87" s="401"/>
      <c r="C87" s="401"/>
      <c r="D87" s="401"/>
      <c r="E87" s="401"/>
      <c r="F87" s="401"/>
      <c r="G87" s="401"/>
      <c r="H87" s="401"/>
      <c r="I87" s="401"/>
      <c r="J87" s="401"/>
      <c r="K87" s="401"/>
    </row>
    <row r="88" spans="1:11">
      <c r="A88" s="403" t="s">
        <v>1929</v>
      </c>
      <c r="B88" s="404"/>
      <c r="C88" s="404"/>
      <c r="D88" s="404"/>
      <c r="E88" s="404"/>
      <c r="F88" s="404"/>
      <c r="G88" s="404"/>
      <c r="H88" s="404"/>
      <c r="I88" s="404"/>
      <c r="J88" s="404"/>
      <c r="K88" s="405"/>
    </row>
    <row r="89" spans="1:11">
      <c r="A89" s="87" t="s">
        <v>1930</v>
      </c>
      <c r="B89" s="7" t="s">
        <v>1914</v>
      </c>
      <c r="C89" s="95" t="s">
        <v>1931</v>
      </c>
      <c r="D89" s="89"/>
      <c r="E89" s="89"/>
      <c r="F89" s="7" t="s">
        <v>543</v>
      </c>
      <c r="G89" s="7" t="s">
        <v>544</v>
      </c>
      <c r="H89" s="139" t="s">
        <v>1842</v>
      </c>
      <c r="I89" s="87"/>
      <c r="J89" s="87"/>
      <c r="K89" s="87"/>
    </row>
    <row r="90" spans="1:11">
      <c r="A90" s="87" t="s">
        <v>1720</v>
      </c>
      <c r="B90" s="7" t="s">
        <v>1914</v>
      </c>
      <c r="C90" s="95" t="s">
        <v>1932</v>
      </c>
      <c r="D90" s="89"/>
      <c r="E90" s="89"/>
      <c r="F90" s="7" t="s">
        <v>215</v>
      </c>
      <c r="G90" s="99" t="s">
        <v>1721</v>
      </c>
      <c r="H90" s="139" t="s">
        <v>1842</v>
      </c>
      <c r="I90" s="87"/>
      <c r="J90" s="87"/>
      <c r="K90" s="87"/>
    </row>
    <row r="91" spans="1:11" ht="28.9">
      <c r="A91" s="87" t="s">
        <v>1728</v>
      </c>
      <c r="B91" s="7" t="s">
        <v>1933</v>
      </c>
      <c r="C91" s="95" t="s">
        <v>1934</v>
      </c>
      <c r="D91" s="89"/>
      <c r="E91" s="89"/>
      <c r="F91" s="7" t="s">
        <v>215</v>
      </c>
      <c r="G91" s="99" t="s">
        <v>1729</v>
      </c>
      <c r="H91" s="139" t="s">
        <v>1842</v>
      </c>
      <c r="I91" s="87"/>
      <c r="J91" s="87"/>
      <c r="K91" s="87"/>
    </row>
    <row r="92" spans="1:11" ht="28.9">
      <c r="A92" s="87" t="s">
        <v>1935</v>
      </c>
      <c r="B92" s="7" t="s">
        <v>1914</v>
      </c>
      <c r="C92" s="95" t="s">
        <v>1936</v>
      </c>
      <c r="D92" s="89"/>
      <c r="E92" s="89"/>
      <c r="F92" s="7" t="s">
        <v>215</v>
      </c>
      <c r="G92" s="99" t="s">
        <v>1729</v>
      </c>
      <c r="H92" s="139" t="s">
        <v>1842</v>
      </c>
      <c r="I92" s="87"/>
      <c r="J92" s="87"/>
      <c r="K92" s="87"/>
    </row>
    <row r="93" spans="1:11">
      <c r="A93" s="401" t="s">
        <v>297</v>
      </c>
      <c r="B93" s="401"/>
      <c r="C93" s="401"/>
      <c r="D93" s="401"/>
      <c r="E93" s="401"/>
      <c r="F93" s="401"/>
      <c r="G93" s="401"/>
      <c r="H93" s="401"/>
      <c r="I93" s="401"/>
      <c r="J93" s="401"/>
      <c r="K93" s="401"/>
    </row>
    <row r="94" spans="1:11" ht="28.9">
      <c r="A94" s="87" t="s">
        <v>1736</v>
      </c>
      <c r="B94" s="7" t="s">
        <v>1937</v>
      </c>
      <c r="C94" s="95" t="s">
        <v>1938</v>
      </c>
      <c r="D94" s="89"/>
      <c r="E94" s="89"/>
      <c r="F94" s="7" t="s">
        <v>1507</v>
      </c>
      <c r="G94" s="99" t="s">
        <v>1737</v>
      </c>
      <c r="H94" s="139" t="s">
        <v>1829</v>
      </c>
      <c r="I94" s="87"/>
      <c r="J94" s="87"/>
      <c r="K94" s="87"/>
    </row>
    <row r="95" spans="1:11">
      <c r="A95" s="87" t="s">
        <v>1743</v>
      </c>
      <c r="B95" s="7" t="s">
        <v>1937</v>
      </c>
      <c r="C95" s="95" t="s">
        <v>1939</v>
      </c>
      <c r="D95" s="89"/>
      <c r="E95" s="89"/>
      <c r="F95" s="7" t="s">
        <v>215</v>
      </c>
      <c r="G95" s="99" t="s">
        <v>1744</v>
      </c>
      <c r="H95" s="139" t="s">
        <v>1829</v>
      </c>
      <c r="I95" s="87"/>
      <c r="J95" s="87"/>
      <c r="K95" s="87"/>
    </row>
    <row r="96" spans="1:11">
      <c r="A96" s="401" t="s">
        <v>297</v>
      </c>
      <c r="B96" s="401"/>
      <c r="C96" s="401"/>
      <c r="D96" s="401"/>
      <c r="E96" s="401"/>
      <c r="F96" s="401"/>
      <c r="G96" s="401"/>
      <c r="H96" s="401"/>
      <c r="I96" s="401"/>
      <c r="J96" s="401"/>
      <c r="K96" s="401"/>
    </row>
    <row r="97" spans="1:11">
      <c r="A97" s="87" t="s">
        <v>1747</v>
      </c>
      <c r="B97" s="7" t="s">
        <v>1937</v>
      </c>
      <c r="C97" s="95" t="s">
        <v>1940</v>
      </c>
      <c r="D97" s="89"/>
      <c r="E97" s="89"/>
      <c r="F97" s="7" t="s">
        <v>215</v>
      </c>
      <c r="G97" s="99" t="s">
        <v>1748</v>
      </c>
      <c r="H97" s="139" t="s">
        <v>1829</v>
      </c>
      <c r="I97" s="87"/>
      <c r="J97" s="87"/>
      <c r="K97" s="87"/>
    </row>
    <row r="98" spans="1:11">
      <c r="A98" s="87" t="s">
        <v>1751</v>
      </c>
      <c r="B98" s="7" t="s">
        <v>1937</v>
      </c>
      <c r="C98" s="95" t="s">
        <v>1941</v>
      </c>
      <c r="D98" s="89"/>
      <c r="E98" s="89"/>
      <c r="F98" s="7" t="s">
        <v>215</v>
      </c>
      <c r="G98" s="99" t="s">
        <v>1752</v>
      </c>
      <c r="H98" s="139" t="s">
        <v>1829</v>
      </c>
      <c r="I98" s="87"/>
      <c r="J98" s="87"/>
      <c r="K98" s="87"/>
    </row>
    <row r="99" spans="1:11">
      <c r="A99" s="401" t="s">
        <v>297</v>
      </c>
      <c r="B99" s="401"/>
      <c r="C99" s="401"/>
      <c r="D99" s="401"/>
      <c r="E99" s="401"/>
      <c r="F99" s="401"/>
      <c r="G99" s="401"/>
      <c r="H99" s="401"/>
      <c r="I99" s="401"/>
      <c r="J99" s="401"/>
      <c r="K99" s="401"/>
    </row>
    <row r="100" spans="1:11">
      <c r="A100" s="87" t="s">
        <v>1755</v>
      </c>
      <c r="B100" s="7" t="s">
        <v>1942</v>
      </c>
      <c r="C100" s="95" t="s">
        <v>1943</v>
      </c>
      <c r="D100" s="89"/>
      <c r="E100" s="89"/>
      <c r="F100" s="7" t="s">
        <v>215</v>
      </c>
      <c r="G100" s="99" t="s">
        <v>1756</v>
      </c>
      <c r="H100" s="139" t="s">
        <v>1829</v>
      </c>
      <c r="I100" s="87"/>
      <c r="J100" s="87"/>
      <c r="K100" s="87"/>
    </row>
    <row r="101" spans="1:11">
      <c r="A101" s="87" t="s">
        <v>1944</v>
      </c>
      <c r="B101" s="7" t="s">
        <v>1942</v>
      </c>
      <c r="C101" s="95" t="s">
        <v>1945</v>
      </c>
      <c r="D101" s="89"/>
      <c r="E101" s="89"/>
      <c r="F101" s="7" t="s">
        <v>215</v>
      </c>
      <c r="G101" s="99" t="s">
        <v>1756</v>
      </c>
      <c r="H101" s="139" t="s">
        <v>1829</v>
      </c>
      <c r="I101" s="87"/>
      <c r="J101" s="87"/>
      <c r="K101" s="87"/>
    </row>
    <row r="102" spans="1:11">
      <c r="A102" s="87" t="s">
        <v>1760</v>
      </c>
      <c r="B102" s="7" t="s">
        <v>1937</v>
      </c>
      <c r="C102" s="95" t="s">
        <v>1946</v>
      </c>
      <c r="D102" s="89"/>
      <c r="E102" s="89"/>
      <c r="F102" s="7" t="s">
        <v>215</v>
      </c>
      <c r="G102" s="99" t="s">
        <v>1761</v>
      </c>
      <c r="H102" s="139" t="s">
        <v>1829</v>
      </c>
      <c r="I102" s="87"/>
      <c r="J102" s="87"/>
      <c r="K102" s="87"/>
    </row>
    <row r="103" spans="1:11">
      <c r="A103" s="401" t="s">
        <v>297</v>
      </c>
      <c r="B103" s="401"/>
      <c r="C103" s="401"/>
      <c r="D103" s="401"/>
      <c r="E103" s="401"/>
      <c r="F103" s="401"/>
      <c r="G103" s="401"/>
      <c r="H103" s="401"/>
      <c r="I103" s="401"/>
      <c r="J103" s="401"/>
      <c r="K103" s="401"/>
    </row>
    <row r="104" spans="1:11">
      <c r="A104" s="87" t="s">
        <v>1947</v>
      </c>
      <c r="B104" s="7" t="s">
        <v>1870</v>
      </c>
      <c r="C104" s="95" t="s">
        <v>1948</v>
      </c>
      <c r="D104" s="89"/>
      <c r="E104" s="89"/>
      <c r="F104" s="7" t="s">
        <v>405</v>
      </c>
      <c r="G104" s="99" t="s">
        <v>1650</v>
      </c>
      <c r="H104" s="139" t="s">
        <v>1829</v>
      </c>
      <c r="I104" s="87"/>
      <c r="J104" s="87"/>
      <c r="K104" s="87"/>
    </row>
    <row r="105" spans="1:11">
      <c r="A105" s="401" t="s">
        <v>297</v>
      </c>
      <c r="B105" s="401"/>
      <c r="C105" s="401"/>
      <c r="D105" s="401"/>
      <c r="E105" s="401"/>
      <c r="F105" s="401"/>
      <c r="G105" s="401"/>
      <c r="H105" s="401"/>
      <c r="I105" s="401"/>
      <c r="J105" s="401"/>
      <c r="K105" s="401"/>
    </row>
    <row r="106" spans="1:11">
      <c r="A106" s="87" t="s">
        <v>1765</v>
      </c>
      <c r="B106" s="7" t="s">
        <v>1899</v>
      </c>
      <c r="C106" s="95" t="s">
        <v>1949</v>
      </c>
      <c r="D106" s="89"/>
      <c r="E106" s="89"/>
      <c r="F106" s="7" t="s">
        <v>215</v>
      </c>
      <c r="G106" s="99" t="s">
        <v>1766</v>
      </c>
      <c r="H106" s="139" t="s">
        <v>1842</v>
      </c>
      <c r="I106" s="87"/>
      <c r="J106" s="87"/>
      <c r="K106" s="87"/>
    </row>
    <row r="107" spans="1:11">
      <c r="A107" s="87" t="s">
        <v>1950</v>
      </c>
      <c r="B107" s="7" t="s">
        <v>1899</v>
      </c>
      <c r="C107" s="95" t="s">
        <v>1951</v>
      </c>
      <c r="D107" s="89"/>
      <c r="E107" s="89"/>
      <c r="F107" s="7" t="s">
        <v>543</v>
      </c>
      <c r="G107" s="7" t="s">
        <v>1952</v>
      </c>
      <c r="H107" s="139" t="s">
        <v>1842</v>
      </c>
      <c r="I107" s="87"/>
      <c r="J107" s="87"/>
      <c r="K107" s="87"/>
    </row>
    <row r="108" spans="1:11">
      <c r="A108" s="87" t="s">
        <v>1769</v>
      </c>
      <c r="B108" s="7" t="s">
        <v>1899</v>
      </c>
      <c r="C108" s="95" t="s">
        <v>1953</v>
      </c>
      <c r="D108" s="89"/>
      <c r="E108" s="89"/>
      <c r="F108" s="7" t="s">
        <v>215</v>
      </c>
      <c r="G108" s="99" t="s">
        <v>1770</v>
      </c>
      <c r="H108" s="139" t="s">
        <v>1842</v>
      </c>
      <c r="I108" s="87"/>
      <c r="J108" s="87"/>
      <c r="K108" s="87"/>
    </row>
    <row r="109" spans="1:11">
      <c r="A109" s="87" t="s">
        <v>1954</v>
      </c>
      <c r="B109" s="7" t="s">
        <v>1899</v>
      </c>
      <c r="C109" s="95" t="s">
        <v>1955</v>
      </c>
      <c r="D109" s="89"/>
      <c r="E109" s="89"/>
      <c r="F109" s="7" t="s">
        <v>215</v>
      </c>
      <c r="G109" s="99" t="s">
        <v>1770</v>
      </c>
      <c r="H109" s="139" t="s">
        <v>1842</v>
      </c>
      <c r="I109" s="87"/>
      <c r="J109" s="87"/>
      <c r="K109" s="87"/>
    </row>
    <row r="110" spans="1:11">
      <c r="A110" s="401" t="s">
        <v>297</v>
      </c>
      <c r="B110" s="401"/>
      <c r="C110" s="401"/>
      <c r="D110" s="401"/>
      <c r="E110" s="401"/>
      <c r="F110" s="401"/>
      <c r="G110" s="401"/>
      <c r="H110" s="401"/>
      <c r="I110" s="401"/>
      <c r="J110" s="401"/>
      <c r="K110" s="401"/>
    </row>
    <row r="111" spans="1:11">
      <c r="A111" s="87" t="s">
        <v>1772</v>
      </c>
      <c r="B111" s="7" t="s">
        <v>1899</v>
      </c>
      <c r="C111" s="95" t="s">
        <v>1956</v>
      </c>
      <c r="D111" s="89"/>
      <c r="E111" s="89"/>
      <c r="F111" s="7" t="s">
        <v>215</v>
      </c>
      <c r="G111" s="99" t="s">
        <v>1773</v>
      </c>
      <c r="H111" s="139" t="s">
        <v>1842</v>
      </c>
      <c r="I111" s="87"/>
      <c r="J111" s="87"/>
      <c r="K111" s="87"/>
    </row>
  </sheetData>
  <protectedRanges>
    <protectedRange algorithmName="SHA-512" hashValue="ZguYlAdyb71IMfth0JhjlmtxX14hVx5omQi5ApBlH1eRzvDoMKrcH/U5ix8udScoKrPOyilweqooMB5Tej6y8g==" saltValue="7zSaR8crDg3BlTT9T4K2tg==" spinCount="100000" sqref="D6:K6 D10:K10 D14:K14 D17:K17 D19:K19 D22:K22 D25:K25 D28:K28 D31:K31 D36:K36 D39:K39 D44:K44 D46:K46 D50:K50 D53:K53 D56:K56 D61:K61 D65:K65 D68:K68 D72:K72 D75:K75 D78:K78 D93:K93 D96:K96 D99:K99 D103:K103 D105:K105 D110:K110 D82:K82 D84:K84 D87:K87" name="Interview_3_1_1_1"/>
  </protectedRanges>
  <mergeCells count="36">
    <mergeCell ref="I1:K1"/>
    <mergeCell ref="A75:K75"/>
    <mergeCell ref="A78:K78"/>
    <mergeCell ref="A50:K50"/>
    <mergeCell ref="A53:K53"/>
    <mergeCell ref="A56:K56"/>
    <mergeCell ref="A61:K61"/>
    <mergeCell ref="A65:K65"/>
    <mergeCell ref="A39:K39"/>
    <mergeCell ref="A44:K44"/>
    <mergeCell ref="A46:K46"/>
    <mergeCell ref="A68:K68"/>
    <mergeCell ref="A72:K72"/>
    <mergeCell ref="A22:K22"/>
    <mergeCell ref="A25:K25"/>
    <mergeCell ref="A28:K28"/>
    <mergeCell ref="A105:K105"/>
    <mergeCell ref="A110:K110"/>
    <mergeCell ref="A87:K87"/>
    <mergeCell ref="A93:K93"/>
    <mergeCell ref="A96:K96"/>
    <mergeCell ref="A99:K99"/>
    <mergeCell ref="A103:K103"/>
    <mergeCell ref="A82:K82"/>
    <mergeCell ref="A84:K84"/>
    <mergeCell ref="A88:K88"/>
    <mergeCell ref="A3:K3"/>
    <mergeCell ref="A37:K37"/>
    <mergeCell ref="A73:K73"/>
    <mergeCell ref="A31:K31"/>
    <mergeCell ref="A36:K36"/>
    <mergeCell ref="A6:K6"/>
    <mergeCell ref="A10:K10"/>
    <mergeCell ref="A14:K14"/>
    <mergeCell ref="A17:K17"/>
    <mergeCell ref="A19:K19"/>
  </mergeCells>
  <conditionalFormatting sqref="H4:H5 H7:H9 H11:H13 H15:H16 H18 H20:H21 H23:H24 H26:H27 H29:H30 H32:H35 H104 H106:H109 H111">
    <cfRule type="cellIs" dxfId="28" priority="452" operator="equal">
      <formula>"Automatic"</formula>
    </cfRule>
    <cfRule type="cellIs" dxfId="27" priority="453" operator="equal">
      <formula>"Observational"</formula>
    </cfRule>
    <cfRule type="cellIs" dxfId="26" priority="454" operator="equal">
      <formula>"Asked"</formula>
    </cfRule>
  </conditionalFormatting>
  <conditionalFormatting sqref="H38 H40:H43 H45 H47:H49 H51:H52 H54:H55 H57:H60 H62:H64 H66:H67 H69:H71">
    <cfRule type="cellIs" dxfId="25" priority="449" operator="equal">
      <formula>"Automatic"</formula>
    </cfRule>
    <cfRule type="cellIs" dxfId="24" priority="450" operator="equal">
      <formula>"Observational"</formula>
    </cfRule>
    <cfRule type="cellIs" dxfId="23" priority="451" operator="equal">
      <formula>"Asked"</formula>
    </cfRule>
  </conditionalFormatting>
  <conditionalFormatting sqref="H74 H76:H77 H79:H81 H83 H85:H86">
    <cfRule type="cellIs" dxfId="22" priority="443" operator="equal">
      <formula>"Automatic"</formula>
    </cfRule>
    <cfRule type="cellIs" dxfId="21" priority="444" operator="equal">
      <formula>"Observational"</formula>
    </cfRule>
    <cfRule type="cellIs" dxfId="20" priority="445" operator="equal">
      <formula>"Asked"</formula>
    </cfRule>
  </conditionalFormatting>
  <conditionalFormatting sqref="H89:H92 H94:H95 H97:H98 H100:H102">
    <cfRule type="cellIs" dxfId="19" priority="440" operator="equal">
      <formula>"Automatic"</formula>
    </cfRule>
    <cfRule type="cellIs" dxfId="18" priority="441" operator="equal">
      <formula>"Observational"</formula>
    </cfRule>
    <cfRule type="cellIs" dxfId="17" priority="442" operator="equal">
      <formula>"Asked"</formula>
    </cfRule>
  </conditionalFormatting>
  <hyperlinks>
    <hyperlink ref="G24" location="'C&amp;C Lists'!A48" display="See Days of the Week" xr:uid="{EE1E8365-D4F9-41E7-AD5E-3740E570C83B}"/>
    <hyperlink ref="G18" location="'C&amp;C Lists'!A57" display="See Months List" xr:uid="{4B2FAE5B-ACD1-4AC7-A895-8B17D23917EC}"/>
    <hyperlink ref="G16" location="'C&amp;C Lists'!A48" display="See Days of the Week" xr:uid="{0F2869C7-6C64-47A6-A2CC-584183C45886}"/>
    <hyperlink ref="G5" location="'C&amp;C Lists'!A22" display="See Age Group List" xr:uid="{F59D7359-71C1-4ECA-BBA4-3DB94510FD08}"/>
    <hyperlink ref="G4" location="'C&amp;C Lists'!A18" display="See Gender List" xr:uid="{59F50F02-B3B4-48FE-9AB9-B75DBA951740}"/>
    <hyperlink ref="G13" location="'C&amp;C Lists'!A22" display="See Age Group List" xr:uid="{310A7F53-18BD-4A5F-AFA4-2E356CC7CCDA}"/>
    <hyperlink ref="G12" location="'C&amp;C Lists'!A18" display="See Gender List" xr:uid="{7FF79C5D-4F15-49DF-AB4B-F923EFAF5ED3}"/>
    <hyperlink ref="G7" location="'C&amp;C Lists'!A28" display="Professional Group" xr:uid="{5FFADE86-FD2F-4D8D-8F28-5E652209E03A}"/>
    <hyperlink ref="G9" location="'C&amp;C Lists'!A35" display="Educational Level" xr:uid="{F16950FC-F156-4479-8380-6B23EF26B9E3}"/>
    <hyperlink ref="G11" location="'C&amp;C Lists'!A40" display="Purchasing Power" xr:uid="{5653776C-A5D8-4598-84D5-5687D2DA473E}"/>
    <hyperlink ref="G15" location="'C&amp;C Lists'!A45" display="Busiest Hours" xr:uid="{47FD39F5-F0CE-4E55-A406-8DB45AE8CA41}"/>
    <hyperlink ref="G21" location="'C&amp;C Lists'!A75" display="Outlet Age" xr:uid="{305F26F5-589D-42AD-9B10-7D4BC62421BF}"/>
    <hyperlink ref="G23" location="'C&amp;C Lists'!A83" display="Visit Time" xr:uid="{5CBA11AF-226C-4515-9281-1011C0DF1481}"/>
    <hyperlink ref="G26" location="'C&amp;C Lists'!A89" display="Visit Frequency" xr:uid="{DB27A41A-F4C7-4390-B7AC-C1FD51F7C561}"/>
    <hyperlink ref="G27" location="'C&amp;C Lists'!A97" display="Visit Company" xr:uid="{2B30FFCF-28A8-4FF0-A7FA-2E308ECA18AD}"/>
    <hyperlink ref="G29" location="'C&amp;C Driver'!A103" display="Hobbies" xr:uid="{BB1626CD-DED1-4B93-9460-0A21F5B4A75E}"/>
    <hyperlink ref="G30" location="'C&amp;C Lists'!A110" display="Household Build Up" xr:uid="{5EC3719A-2208-48DF-AEF8-B6E0953AAF61}"/>
    <hyperlink ref="G38" location="'C&amp;C Lists'!A116" display="Visit Reasons" xr:uid="{D89C8800-0142-4CB1-A3D7-CC033D820659}"/>
    <hyperlink ref="G40" location="'C&amp;C Lists'!A130" display="Shopping Type" xr:uid="{E845426E-9B6E-4235-991A-2577A2FC43A9}"/>
    <hyperlink ref="G42" location="'C&amp;C Lists'!A134" display="Beer Reasons" xr:uid="{0C0D7161-AF1C-4F93-8DD4-ED73C6E07E96}"/>
    <hyperlink ref="G43" location="'C&amp;C Lists'!A142" display="Beer NOT Reasons" xr:uid="{784B71AE-BF33-497D-BDC1-122BF32FE8BB}"/>
    <hyperlink ref="G45" location="'C&amp;C Lists'!A150" display="Beer WHO" xr:uid="{0C102198-83C8-45F1-AD21-E5222F2848D7}"/>
    <hyperlink ref="G47" location="'C&amp;C Lists'!A157" display="Beer WHAT" xr:uid="{AC6D1E26-FFD9-4D32-8049-4637253B23C5}"/>
    <hyperlink ref="G48" location="'C&amp;C Lists'!A172" display="Beer WHY" xr:uid="{2D5DA637-E66C-40B6-889B-9D7158176887}"/>
    <hyperlink ref="G52" location="'C&amp;C Lists'!A177" display="Alcohol Content" xr:uid="{CA346C8F-1D88-497B-A3A0-8D584F41BD53}"/>
    <hyperlink ref="G55" location="'C&amp;C Lists'!A184" display="Beer NEXT" xr:uid="{33A9D509-8352-4233-95BF-78047E7E5F9C}"/>
    <hyperlink ref="G59" location="'C&amp;C Lists'!A190" display="Promotions" xr:uid="{2D85BDED-B4F0-45EA-A146-643CFC33CD6C}"/>
    <hyperlink ref="G60" location="'C&amp;C Lists'!A190" display="Promotions" xr:uid="{66324501-2D49-4FC0-9B36-7E5C001F7A5E}"/>
    <hyperlink ref="G64" location="'C&amp;C Lists'!A157" display="Beer WHAT" xr:uid="{3588A915-4D83-4CB9-A832-AAFF18B204CB}"/>
    <hyperlink ref="G66" location="'C&amp;C Lists'!A196" display="Beer Services" xr:uid="{62B84A7B-52EB-40CC-977E-0ECC04A9F754}"/>
    <hyperlink ref="G67" location="'C&amp;C Lists'!A196" display="Beer Services" xr:uid="{12C5A0C8-0443-4E2B-B438-E662FB3C6C30}"/>
    <hyperlink ref="G69" location="'C&amp;C Lists'!A206" display="Beer Sales Help" xr:uid="{DC21DB89-5D17-49C1-B547-A5A1E89718EF}"/>
    <hyperlink ref="G70" location="'C&amp;C Lists'!A213" display="Activations" xr:uid="{57A45C2D-8AD2-4AA3-8113-515EE5930FD3}"/>
    <hyperlink ref="G71" location="'C&amp;C Lists'!A219" display="Supplier Relationship" xr:uid="{81B9199E-B59F-4F49-A2EB-0C8230BBBD1A}"/>
    <hyperlink ref="G74" location="'C&amp;C Lists'!A116" display="Visit Reasons" xr:uid="{BF251B7E-92A3-4BD9-8E8E-41BAE201D1F0}"/>
    <hyperlink ref="G76" location="'C&amp;C Lists'!A224" display="Beer ALTERNATIVES" xr:uid="{6B50F61D-75EB-42C0-9F30-259C5F72D25A}"/>
    <hyperlink ref="G79" location="'C&amp;C Lists'!A232" display="Packaging" xr:uid="{E9030286-1AE9-4F38-A9BC-4EEA9163B3EE}"/>
    <hyperlink ref="G80" location="'C&amp;C Lists'!A236" display="Size" xr:uid="{2CF1D1A7-4E37-457F-B2D7-9BFA243E1B51}"/>
    <hyperlink ref="G81" location="'C&amp;C Driver'!A240" display="Temperature" xr:uid="{FBCF9DEB-18A5-43E6-B138-F667F9CEE41D}"/>
    <hyperlink ref="G83" location="'C&amp;C Lists'!A116" display="Visit Reasons" xr:uid="{123A65EA-98CD-4C66-98BD-4E5B76848E46}"/>
    <hyperlink ref="G85" location="'C&amp;C Lists'!A157" display="Beer WHAT" xr:uid="{6CE1697B-AFFB-4BD2-B6CC-31939922CC35}"/>
    <hyperlink ref="G86" location="'C&amp;C Lists'!A157" display="Beer WHAT" xr:uid="{569F8732-9330-4555-9C82-560D5DDCEBB6}"/>
    <hyperlink ref="G90" location="'C&amp;C Lists'!A244" display="Length of Stay" xr:uid="{450C199A-D64A-4FE1-8EB2-2F66F3870CD9}"/>
    <hyperlink ref="G91" location="'C&amp;C Lists'!A252" display="Locations Before/After" xr:uid="{7571A7CB-4AFD-4A0B-88CB-4EF29291C216}"/>
    <hyperlink ref="G92" location="'C&amp;C Lists'!A252" display="Locations Before/After" xr:uid="{2CDF4BD1-6408-4D99-B373-42B6D5C73194}"/>
    <hyperlink ref="G94" location="'C&amp;C Lists'!A261" display="Outlet Activities" xr:uid="{CD661BB5-9286-43B6-93B9-A049D9F35AA5}"/>
    <hyperlink ref="G95" location="'C&amp;C Lists'!A268" display="Sit/Stand" xr:uid="{8122AE3C-5D35-46F0-9960-BA8BBDA295B7}"/>
    <hyperlink ref="G98" location="'C&amp;C Lists'!A276" display="Most Purchased Drink" xr:uid="{1DC33943-3AD0-4926-87FC-FABAB8DC1483}"/>
    <hyperlink ref="G97" location="'C&amp;C Lists'!A272" display="Order Method" xr:uid="{48D23373-BAC2-4D3E-96F1-399B70180FDD}"/>
    <hyperlink ref="G100" location="'C&amp;C Lists'!A282" display="SKU Type" xr:uid="{CDE45AFC-20C8-4BE2-97F7-57BD3E33E2F8}"/>
    <hyperlink ref="G101" location="'C&amp;C Lists'!A282" display="SKU Type" xr:uid="{E858CF7F-6776-4E60-B456-7DDAD8E4E9F4}"/>
    <hyperlink ref="G102" location="'C&amp;C Lists'!A287" display="Order WHOM" xr:uid="{E2779252-2AAE-4522-9660-3752C27E0C95}"/>
    <hyperlink ref="G104" location="'C&amp;C Lists'!A157" display="Beer WHAT" xr:uid="{139960EA-5488-4A25-95A2-4CCCF6715B80}"/>
    <hyperlink ref="G106" location="'C&amp;C Lists'!A292" display="Order Purchase" xr:uid="{A08BB3AC-AE4C-4C88-8603-E031288C3E32}"/>
    <hyperlink ref="G108" location="'C&amp;C Lists'!A295" display="Roles" xr:uid="{71DBEF2F-F44B-4770-858F-1C9462909BE4}"/>
    <hyperlink ref="G109" location="'C&amp;C Lists'!A295" display="Roles" xr:uid="{E280CBE2-C58F-46DC-847C-13BE8C198D83}"/>
    <hyperlink ref="G111" location="'C&amp;C Lists'!A301" display="Delivery Duration" xr:uid="{D06EB7BC-4DF4-4CA0-9B74-F0AB0E2CC310}"/>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5E97B6F-1B6A-41AA-B1B9-ACD697D09AA9}">
          <x14:formula1>
            <xm:f>Constants!$A$2:$A$16</xm:f>
          </x14:formula1>
          <xm:sqref>F4:F5 F7:F9 F11:F13 F15:F16 F18 F20:F21 F23:F24 F26:F27 F29:F30 F38 F45 F32:F35 F40:F43 F47:F49 F51:F52 F54:F55 F57:F60 F62:F64 F66:F67 F69:F71 F74 F76:F77 F79:F81 F83 F86 F89:F92 F94:F95 F97:F98 F100:F102 F104 F106:F109 F111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3">
    <tabColor rgb="FFFF3399"/>
  </sheetPr>
  <dimension ref="A1:K33"/>
  <sheetViews>
    <sheetView zoomScale="70" zoomScaleNormal="70" workbookViewId="0">
      <pane xSplit="1" ySplit="2" topLeftCell="B3" activePane="bottomRight" state="frozen"/>
      <selection pane="bottomRight" activeCell="F2" sqref="F2"/>
      <selection pane="bottomLeft" activeCell="A47" sqref="A47"/>
      <selection pane="topRight" activeCell="A47" sqref="A47"/>
    </sheetView>
  </sheetViews>
  <sheetFormatPr defaultColWidth="8.7109375" defaultRowHeight="14.45"/>
  <cols>
    <col min="1" max="1" width="9" style="91" bestFit="1" customWidth="1"/>
    <col min="2" max="2" width="22.28515625" style="127" customWidth="1"/>
    <col min="3" max="3" width="52.28515625" style="91" bestFit="1" customWidth="1"/>
    <col min="4" max="4" width="11.7109375" style="91" bestFit="1" customWidth="1"/>
    <col min="5" max="5" width="14.28515625" style="91" bestFit="1" customWidth="1"/>
    <col min="6" max="6" width="18.28515625" style="91" bestFit="1" customWidth="1"/>
    <col min="7" max="7" width="27.5703125" style="91" bestFit="1" customWidth="1"/>
    <col min="8" max="11" width="15.5703125" style="91" bestFit="1" customWidth="1"/>
    <col min="12" max="12" width="8.7109375" style="91" customWidth="1"/>
    <col min="13" max="16384" width="8.7109375" style="91"/>
  </cols>
  <sheetData>
    <row r="1" spans="1:11">
      <c r="A1" s="140"/>
      <c r="B1" s="140"/>
      <c r="C1" s="140"/>
      <c r="D1" s="140"/>
      <c r="E1" s="140"/>
      <c r="F1" s="140"/>
      <c r="G1" s="140"/>
      <c r="H1" s="151"/>
      <c r="I1" s="151"/>
      <c r="J1" s="151"/>
      <c r="K1" s="151"/>
    </row>
    <row r="2" spans="1:11" s="127" customFormat="1" ht="43.15">
      <c r="A2" s="86" t="s">
        <v>20</v>
      </c>
      <c r="B2" s="86" t="s">
        <v>21</v>
      </c>
      <c r="C2" s="86" t="s">
        <v>22</v>
      </c>
      <c r="D2" s="86" t="s">
        <v>1808</v>
      </c>
      <c r="E2" s="86" t="s">
        <v>1823</v>
      </c>
      <c r="F2" s="86" t="s">
        <v>24</v>
      </c>
      <c r="G2" s="86" t="s">
        <v>25</v>
      </c>
      <c r="H2" s="86" t="s">
        <v>1824</v>
      </c>
      <c r="I2" s="86" t="s">
        <v>212</v>
      </c>
      <c r="J2" s="86" t="s">
        <v>28</v>
      </c>
      <c r="K2" s="86" t="s">
        <v>29</v>
      </c>
    </row>
    <row r="3" spans="1:11" ht="28.9">
      <c r="A3" s="80" t="s">
        <v>1957</v>
      </c>
      <c r="B3" s="7" t="s">
        <v>1958</v>
      </c>
      <c r="C3" s="87" t="s">
        <v>402</v>
      </c>
      <c r="D3" s="87"/>
      <c r="E3" s="89"/>
      <c r="F3" s="7" t="s">
        <v>405</v>
      </c>
      <c r="G3" s="123" t="s">
        <v>1959</v>
      </c>
      <c r="H3" s="7"/>
      <c r="I3" s="89"/>
      <c r="J3" s="7"/>
      <c r="K3" s="7"/>
    </row>
    <row r="4" spans="1:11">
      <c r="A4" s="401" t="s">
        <v>297</v>
      </c>
      <c r="B4" s="401"/>
      <c r="C4" s="401"/>
      <c r="D4" s="401"/>
      <c r="E4" s="401"/>
      <c r="F4" s="401"/>
      <c r="G4" s="401"/>
      <c r="H4" s="401"/>
      <c r="I4" s="401"/>
      <c r="J4" s="401"/>
      <c r="K4" s="401"/>
    </row>
    <row r="5" spans="1:11">
      <c r="A5" s="85" t="s">
        <v>1960</v>
      </c>
      <c r="B5" s="7" t="s">
        <v>1958</v>
      </c>
      <c r="C5" s="87" t="s">
        <v>1961</v>
      </c>
      <c r="D5" s="87"/>
      <c r="E5" s="89"/>
      <c r="F5" s="7" t="s">
        <v>215</v>
      </c>
      <c r="G5" s="123" t="s">
        <v>305</v>
      </c>
      <c r="H5" s="7"/>
      <c r="I5" s="89"/>
      <c r="J5" s="7"/>
      <c r="K5" s="7"/>
    </row>
    <row r="6" spans="1:11">
      <c r="A6" s="80" t="s">
        <v>1962</v>
      </c>
      <c r="B6" s="7" t="s">
        <v>1958</v>
      </c>
      <c r="C6" s="87" t="s">
        <v>1963</v>
      </c>
      <c r="D6" s="87"/>
      <c r="E6" s="89"/>
      <c r="F6" s="7" t="s">
        <v>215</v>
      </c>
      <c r="G6" s="123" t="s">
        <v>305</v>
      </c>
      <c r="H6" s="7"/>
      <c r="I6" s="89"/>
      <c r="J6" s="7"/>
      <c r="K6" s="7"/>
    </row>
    <row r="7" spans="1:11" ht="28.9">
      <c r="A7" s="80" t="s">
        <v>1964</v>
      </c>
      <c r="B7" s="7" t="s">
        <v>1965</v>
      </c>
      <c r="C7" s="87" t="s">
        <v>436</v>
      </c>
      <c r="D7" s="87"/>
      <c r="E7" s="89"/>
      <c r="F7" s="7" t="s">
        <v>215</v>
      </c>
      <c r="G7" s="123" t="s">
        <v>305</v>
      </c>
      <c r="H7" s="7"/>
      <c r="I7" s="89"/>
      <c r="J7" s="7"/>
      <c r="K7" s="7"/>
    </row>
    <row r="8" spans="1:11" ht="28.9">
      <c r="A8" s="85" t="s">
        <v>1798</v>
      </c>
      <c r="B8" s="7" t="s">
        <v>1965</v>
      </c>
      <c r="C8" s="87" t="s">
        <v>1966</v>
      </c>
      <c r="D8" s="87"/>
      <c r="E8" s="89"/>
      <c r="F8" s="7" t="s">
        <v>405</v>
      </c>
      <c r="G8" s="125" t="s">
        <v>1799</v>
      </c>
      <c r="H8" s="89"/>
      <c r="I8" s="7"/>
      <c r="J8" s="89"/>
      <c r="K8" s="89"/>
    </row>
    <row r="9" spans="1:11">
      <c r="A9" s="401" t="s">
        <v>297</v>
      </c>
      <c r="B9" s="401"/>
      <c r="C9" s="401"/>
      <c r="D9" s="401"/>
      <c r="E9" s="401"/>
      <c r="F9" s="401"/>
      <c r="G9" s="401"/>
      <c r="H9" s="401"/>
      <c r="I9" s="401"/>
      <c r="J9" s="401"/>
      <c r="K9" s="401"/>
    </row>
    <row r="10" spans="1:11">
      <c r="A10" s="85" t="s">
        <v>1967</v>
      </c>
      <c r="B10" s="7" t="s">
        <v>1958</v>
      </c>
      <c r="C10" s="87" t="s">
        <v>447</v>
      </c>
      <c r="D10" s="87"/>
      <c r="E10" s="89"/>
      <c r="F10" s="7" t="s">
        <v>543</v>
      </c>
      <c r="G10" s="123" t="s">
        <v>1968</v>
      </c>
      <c r="H10" s="7"/>
      <c r="I10" s="89"/>
      <c r="J10" s="7"/>
      <c r="K10" s="7"/>
    </row>
    <row r="11" spans="1:11">
      <c r="A11" s="80" t="s">
        <v>1969</v>
      </c>
      <c r="B11" s="7" t="s">
        <v>1958</v>
      </c>
      <c r="C11" s="87" t="s">
        <v>455</v>
      </c>
      <c r="D11" s="87"/>
      <c r="E11" s="89"/>
      <c r="F11" s="7" t="s">
        <v>215</v>
      </c>
      <c r="G11" s="123" t="s">
        <v>305</v>
      </c>
      <c r="H11" s="89"/>
      <c r="I11" s="7"/>
      <c r="J11" s="89"/>
      <c r="K11" s="89"/>
    </row>
    <row r="12" spans="1:11" ht="28.9">
      <c r="A12" s="85" t="s">
        <v>1802</v>
      </c>
      <c r="B12" s="7" t="s">
        <v>1958</v>
      </c>
      <c r="C12" s="87" t="s">
        <v>1970</v>
      </c>
      <c r="D12" s="87"/>
      <c r="E12" s="89"/>
      <c r="F12" s="7" t="s">
        <v>405</v>
      </c>
      <c r="G12" s="125" t="s">
        <v>1803</v>
      </c>
      <c r="H12" s="89"/>
      <c r="I12" s="7"/>
      <c r="J12" s="89"/>
      <c r="K12" s="89"/>
    </row>
    <row r="13" spans="1:11">
      <c r="A13" s="401" t="s">
        <v>297</v>
      </c>
      <c r="B13" s="401"/>
      <c r="C13" s="401"/>
      <c r="D13" s="401"/>
      <c r="E13" s="401"/>
      <c r="F13" s="401"/>
      <c r="G13" s="401"/>
      <c r="H13" s="401"/>
      <c r="I13" s="401"/>
      <c r="J13" s="401"/>
      <c r="K13" s="401"/>
    </row>
    <row r="14" spans="1:11">
      <c r="A14" s="80" t="s">
        <v>1971</v>
      </c>
      <c r="B14" s="7" t="s">
        <v>1958</v>
      </c>
      <c r="C14" s="87" t="s">
        <v>1972</v>
      </c>
      <c r="D14" s="87"/>
      <c r="E14" s="89"/>
      <c r="F14" s="7" t="s">
        <v>215</v>
      </c>
      <c r="G14" s="123" t="s">
        <v>305</v>
      </c>
      <c r="H14" s="89"/>
      <c r="I14" s="7"/>
      <c r="J14" s="89"/>
      <c r="K14" s="89"/>
    </row>
    <row r="15" spans="1:11" ht="28.9">
      <c r="A15" s="85" t="s">
        <v>1973</v>
      </c>
      <c r="B15" s="7" t="s">
        <v>1958</v>
      </c>
      <c r="C15" s="87" t="s">
        <v>1974</v>
      </c>
      <c r="D15" s="87"/>
      <c r="E15" s="89"/>
      <c r="F15" s="7" t="s">
        <v>543</v>
      </c>
      <c r="G15" s="123" t="s">
        <v>1975</v>
      </c>
      <c r="H15" s="89"/>
      <c r="I15" s="7"/>
      <c r="J15" s="89"/>
      <c r="K15" s="89"/>
    </row>
    <row r="16" spans="1:11" ht="28.9">
      <c r="A16" s="80" t="s">
        <v>1976</v>
      </c>
      <c r="B16" s="7" t="s">
        <v>1958</v>
      </c>
      <c r="C16" s="87" t="s">
        <v>1977</v>
      </c>
      <c r="D16" s="87"/>
      <c r="E16" s="89"/>
      <c r="F16" s="7" t="s">
        <v>215</v>
      </c>
      <c r="G16" s="123" t="s">
        <v>305</v>
      </c>
      <c r="H16" s="89"/>
      <c r="I16" s="7"/>
      <c r="J16" s="89"/>
      <c r="K16" s="89"/>
    </row>
    <row r="17" spans="1:11" ht="28.9">
      <c r="A17" s="80" t="s">
        <v>1978</v>
      </c>
      <c r="B17" s="7" t="s">
        <v>1958</v>
      </c>
      <c r="C17" s="87" t="s">
        <v>499</v>
      </c>
      <c r="D17" s="87"/>
      <c r="E17" s="89"/>
      <c r="F17" s="7" t="s">
        <v>543</v>
      </c>
      <c r="G17" s="123" t="s">
        <v>1968</v>
      </c>
      <c r="H17" s="89"/>
      <c r="I17" s="7"/>
      <c r="J17" s="89"/>
      <c r="K17" s="89"/>
    </row>
    <row r="18" spans="1:11" ht="28.9">
      <c r="A18" s="85" t="s">
        <v>1979</v>
      </c>
      <c r="B18" s="7" t="s">
        <v>1958</v>
      </c>
      <c r="C18" s="87" t="s">
        <v>1980</v>
      </c>
      <c r="D18" s="87"/>
      <c r="E18" s="89"/>
      <c r="F18" s="7" t="s">
        <v>543</v>
      </c>
      <c r="G18" s="123" t="s">
        <v>1968</v>
      </c>
      <c r="H18" s="89"/>
      <c r="I18" s="7"/>
      <c r="J18" s="89"/>
      <c r="K18" s="89"/>
    </row>
    <row r="19" spans="1:11">
      <c r="A19" s="401" t="s">
        <v>297</v>
      </c>
      <c r="B19" s="401"/>
      <c r="C19" s="401"/>
      <c r="D19" s="401"/>
      <c r="E19" s="401"/>
      <c r="F19" s="401"/>
      <c r="G19" s="401"/>
      <c r="H19" s="401"/>
      <c r="I19" s="401"/>
      <c r="J19" s="401"/>
      <c r="K19" s="401"/>
    </row>
    <row r="20" spans="1:11" ht="28.9">
      <c r="A20" s="85" t="s">
        <v>1981</v>
      </c>
      <c r="B20" s="7" t="s">
        <v>1958</v>
      </c>
      <c r="C20" s="87" t="s">
        <v>505</v>
      </c>
      <c r="D20" s="87"/>
      <c r="E20" s="89"/>
      <c r="F20" s="7" t="s">
        <v>215</v>
      </c>
      <c r="G20" s="123" t="s">
        <v>305</v>
      </c>
      <c r="H20" s="89"/>
      <c r="I20" s="7"/>
      <c r="J20" s="89"/>
      <c r="K20" s="89"/>
    </row>
    <row r="21" spans="1:11" ht="28.9">
      <c r="A21" s="80" t="s">
        <v>1982</v>
      </c>
      <c r="B21" s="7" t="s">
        <v>1958</v>
      </c>
      <c r="C21" s="87" t="s">
        <v>512</v>
      </c>
      <c r="D21" s="87"/>
      <c r="E21" s="89"/>
      <c r="F21" s="7" t="s">
        <v>215</v>
      </c>
      <c r="G21" s="123" t="s">
        <v>305</v>
      </c>
      <c r="H21" s="89"/>
      <c r="I21" s="7"/>
      <c r="J21" s="89"/>
      <c r="K21" s="89"/>
    </row>
    <row r="22" spans="1:11" ht="28.9">
      <c r="A22" s="80" t="s">
        <v>1983</v>
      </c>
      <c r="B22" s="7" t="s">
        <v>1958</v>
      </c>
      <c r="C22" s="87" t="s">
        <v>444</v>
      </c>
      <c r="D22" s="87"/>
      <c r="E22" s="89"/>
      <c r="F22" s="7" t="s">
        <v>215</v>
      </c>
      <c r="G22" s="123" t="s">
        <v>305</v>
      </c>
      <c r="H22" s="89"/>
      <c r="I22" s="7"/>
      <c r="J22" s="89"/>
      <c r="K22" s="89"/>
    </row>
    <row r="23" spans="1:11" ht="28.9">
      <c r="A23" s="85" t="s">
        <v>1984</v>
      </c>
      <c r="B23" s="7" t="s">
        <v>1958</v>
      </c>
      <c r="C23" s="87" t="s">
        <v>1985</v>
      </c>
      <c r="D23" s="87"/>
      <c r="E23" s="89"/>
      <c r="F23" s="7" t="s">
        <v>215</v>
      </c>
      <c r="G23" s="123" t="s">
        <v>305</v>
      </c>
      <c r="H23" s="89"/>
      <c r="I23" s="7"/>
      <c r="J23" s="89"/>
      <c r="K23" s="89"/>
    </row>
    <row r="24" spans="1:11" ht="28.9">
      <c r="A24" s="80" t="s">
        <v>1986</v>
      </c>
      <c r="B24" s="7" t="s">
        <v>1958</v>
      </c>
      <c r="C24" s="87" t="s">
        <v>515</v>
      </c>
      <c r="D24" s="87"/>
      <c r="E24" s="89"/>
      <c r="F24" s="7" t="s">
        <v>215</v>
      </c>
      <c r="G24" s="123" t="s">
        <v>305</v>
      </c>
      <c r="H24" s="89"/>
      <c r="I24" s="7"/>
      <c r="J24" s="89"/>
      <c r="K24" s="89"/>
    </row>
    <row r="25" spans="1:11">
      <c r="A25" s="401" t="s">
        <v>297</v>
      </c>
      <c r="B25" s="401"/>
      <c r="C25" s="401"/>
      <c r="D25" s="401"/>
      <c r="E25" s="401"/>
      <c r="F25" s="401"/>
      <c r="G25" s="401"/>
      <c r="H25" s="401"/>
      <c r="I25" s="401"/>
      <c r="J25" s="401"/>
      <c r="K25" s="401"/>
    </row>
    <row r="26" spans="1:11" ht="28.9">
      <c r="A26" s="85" t="s">
        <v>1987</v>
      </c>
      <c r="B26" s="7" t="s">
        <v>1958</v>
      </c>
      <c r="C26" s="87" t="s">
        <v>1988</v>
      </c>
      <c r="D26" s="87"/>
      <c r="E26" s="89"/>
      <c r="F26" s="7" t="s">
        <v>33</v>
      </c>
      <c r="G26" s="150" t="s">
        <v>835</v>
      </c>
      <c r="H26" s="89"/>
      <c r="I26" s="7"/>
      <c r="J26" s="89"/>
      <c r="K26" s="89"/>
    </row>
    <row r="27" spans="1:11" ht="28.9">
      <c r="A27" s="80" t="s">
        <v>1989</v>
      </c>
      <c r="B27" s="7" t="s">
        <v>1958</v>
      </c>
      <c r="C27" s="87" t="s">
        <v>1990</v>
      </c>
      <c r="D27" s="87"/>
      <c r="E27" s="89"/>
      <c r="F27" s="7" t="s">
        <v>33</v>
      </c>
      <c r="G27" s="150" t="s">
        <v>835</v>
      </c>
      <c r="H27" s="89"/>
      <c r="I27" s="7"/>
      <c r="J27" s="89"/>
      <c r="K27" s="89"/>
    </row>
    <row r="28" spans="1:11">
      <c r="A28" s="407" t="s">
        <v>297</v>
      </c>
      <c r="B28" s="407"/>
      <c r="C28" s="407"/>
      <c r="D28" s="407"/>
      <c r="E28" s="407"/>
      <c r="F28" s="407"/>
      <c r="G28" s="407"/>
      <c r="H28" s="407"/>
      <c r="I28" s="407"/>
      <c r="J28" s="407"/>
      <c r="K28" s="407"/>
    </row>
    <row r="29" spans="1:11" s="149" customFormat="1">
      <c r="A29" s="154" t="s">
        <v>1991</v>
      </c>
      <c r="B29" s="153"/>
      <c r="C29" s="96" t="s">
        <v>1992</v>
      </c>
      <c r="D29" s="154"/>
      <c r="E29" s="154"/>
      <c r="F29" s="7" t="s">
        <v>215</v>
      </c>
      <c r="G29" s="123" t="s">
        <v>305</v>
      </c>
      <c r="H29" s="154"/>
      <c r="I29" s="154"/>
      <c r="J29" s="154"/>
      <c r="K29" s="154"/>
    </row>
    <row r="30" spans="1:11">
      <c r="A30" s="154" t="s">
        <v>1993</v>
      </c>
      <c r="B30" s="153"/>
      <c r="C30" s="154" t="s">
        <v>1994</v>
      </c>
      <c r="D30" s="154"/>
      <c r="E30" s="154"/>
      <c r="F30" s="7" t="s">
        <v>838</v>
      </c>
      <c r="G30" s="154" t="s">
        <v>46</v>
      </c>
      <c r="H30" s="152"/>
      <c r="I30" s="152"/>
      <c r="J30" s="152"/>
      <c r="K30" s="152"/>
    </row>
    <row r="31" spans="1:11" ht="28.9">
      <c r="A31" s="152" t="s">
        <v>1995</v>
      </c>
      <c r="B31" s="152"/>
      <c r="C31" s="100" t="s">
        <v>815</v>
      </c>
      <c r="D31" s="152"/>
      <c r="E31" s="152"/>
      <c r="F31" s="7" t="s">
        <v>277</v>
      </c>
      <c r="G31" s="155"/>
      <c r="H31" s="152"/>
      <c r="I31" s="152"/>
      <c r="J31" s="152"/>
      <c r="K31" s="152"/>
    </row>
    <row r="32" spans="1:11">
      <c r="A32" s="152" t="s">
        <v>1996</v>
      </c>
      <c r="B32" s="152" t="s">
        <v>1997</v>
      </c>
      <c r="C32" s="100" t="s">
        <v>1998</v>
      </c>
      <c r="D32" s="152"/>
      <c r="E32" s="152"/>
      <c r="F32" s="7" t="s">
        <v>1508</v>
      </c>
      <c r="G32" s="155" t="s">
        <v>46</v>
      </c>
      <c r="H32" s="152"/>
      <c r="I32" s="152"/>
      <c r="J32" s="152"/>
      <c r="K32" s="152"/>
    </row>
    <row r="33" spans="1:11">
      <c r="A33" s="152" t="s">
        <v>1999</v>
      </c>
      <c r="B33" s="152"/>
      <c r="C33" s="100" t="s">
        <v>2000</v>
      </c>
      <c r="D33" s="152"/>
      <c r="E33" s="152"/>
      <c r="F33" s="7" t="s">
        <v>33</v>
      </c>
      <c r="G33" s="150" t="s">
        <v>835</v>
      </c>
      <c r="H33" s="152"/>
      <c r="I33" s="152"/>
      <c r="J33" s="152"/>
      <c r="K33" s="152"/>
    </row>
  </sheetData>
  <protectedRanges>
    <protectedRange algorithmName="SHA-512" hashValue="ZguYlAdyb71IMfth0JhjlmtxX14hVx5omQi5ApBlH1eRzvDoMKrcH/U5ix8udScoKrPOyilweqooMB5Tej6y8g==" saltValue="7zSaR8crDg3BlTT9T4K2tg==" spinCount="100000" sqref="D4:K4" name="Interview_3_1_1_1"/>
    <protectedRange algorithmName="SHA-512" hashValue="ZguYlAdyb71IMfth0JhjlmtxX14hVx5omQi5ApBlH1eRzvDoMKrcH/U5ix8udScoKrPOyilweqooMB5Tej6y8g==" saltValue="7zSaR8crDg3BlTT9T4K2tg==" spinCount="100000" sqref="D9:K9" name="Interview_3_1_1_1_1"/>
    <protectedRange algorithmName="SHA-512" hashValue="ZguYlAdyb71IMfth0JhjlmtxX14hVx5omQi5ApBlH1eRzvDoMKrcH/U5ix8udScoKrPOyilweqooMB5Tej6y8g==" saltValue="7zSaR8crDg3BlTT9T4K2tg==" spinCount="100000" sqref="D13:K13" name="Interview_3_1_1_1_2"/>
    <protectedRange algorithmName="SHA-512" hashValue="ZguYlAdyb71IMfth0JhjlmtxX14hVx5omQi5ApBlH1eRzvDoMKrcH/U5ix8udScoKrPOyilweqooMB5Tej6y8g==" saltValue="7zSaR8crDg3BlTT9T4K2tg==" spinCount="100000" sqref="D19:K19" name="Interview_3_1_1_1_3"/>
    <protectedRange algorithmName="SHA-512" hashValue="ZguYlAdyb71IMfth0JhjlmtxX14hVx5omQi5ApBlH1eRzvDoMKrcH/U5ix8udScoKrPOyilweqooMB5Tej6y8g==" saltValue="7zSaR8crDg3BlTT9T4K2tg==" spinCount="100000" sqref="D25:K25" name="Interview_3_1_1_1_4"/>
    <protectedRange algorithmName="SHA-512" hashValue="ZguYlAdyb71IMfth0JhjlmtxX14hVx5omQi5ApBlH1eRzvDoMKrcH/U5ix8udScoKrPOyilweqooMB5Tej6y8g==" saltValue="7zSaR8crDg3BlTT9T4K2tg==" spinCount="100000" sqref="D28:K28" name="Interview_3_1_1_1_5"/>
  </protectedRanges>
  <mergeCells count="6">
    <mergeCell ref="A19:K19"/>
    <mergeCell ref="A25:K25"/>
    <mergeCell ref="A28:K28"/>
    <mergeCell ref="A4:K4"/>
    <mergeCell ref="A9:K9"/>
    <mergeCell ref="A13:K13"/>
  </mergeCells>
  <hyperlinks>
    <hyperlink ref="G8" location="'C&amp;C Lists'!A339" display="Responsibility" xr:uid="{C95682BC-0E4C-4047-BA2D-2186A98DC845}"/>
    <hyperlink ref="G12" location="'C&amp;C Lists'!A343" display="Order Methods" xr:uid="{1B2F7D6E-2854-454C-A003-0F71B5124E41}"/>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C79D437-2651-4724-8F63-3FFAE12F9C8A}">
          <x14:formula1>
            <xm:f>Constants!$A$2:$A$16</xm:f>
          </x14:formula1>
          <xm:sqref>F3 F10:F12 F5:F8 F14:F18 F20:F24 F26:F27 F29:F33</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B5E9F-9E91-4B7B-897D-DBB34147D332}">
  <sheetPr>
    <tabColor rgb="FFFF0000"/>
  </sheetPr>
  <dimension ref="B2:F60"/>
  <sheetViews>
    <sheetView topLeftCell="C7" workbookViewId="0">
      <selection activeCell="E7" sqref="E7"/>
    </sheetView>
  </sheetViews>
  <sheetFormatPr defaultRowHeight="14.45"/>
  <cols>
    <col min="2" max="2" width="12.85546875" bestFit="1" customWidth="1"/>
    <col min="3" max="4" width="23.7109375" bestFit="1" customWidth="1"/>
    <col min="5" max="5" width="9.42578125" bestFit="1" customWidth="1"/>
    <col min="6" max="6" width="139.140625" bestFit="1" customWidth="1"/>
  </cols>
  <sheetData>
    <row r="2" spans="2:6">
      <c r="B2" t="s">
        <v>20</v>
      </c>
      <c r="C2" t="s">
        <v>840</v>
      </c>
      <c r="D2" t="s">
        <v>841</v>
      </c>
      <c r="E2" t="s">
        <v>1290</v>
      </c>
    </row>
    <row r="3" spans="2:6">
      <c r="B3" t="str">
        <f>+_xlfn.XLOOKUP(C3,'AREA Level 2'!C:C,'AREA Level 2'!B:B)</f>
        <v>CAM_LV2_1</v>
      </c>
      <c r="C3" t="s">
        <v>869</v>
      </c>
      <c r="D3" t="s">
        <v>869</v>
      </c>
      <c r="E3" t="str">
        <f>+_xlfn.XLOOKUP(D3,Sheet4!D:D,Sheet4!A:A)</f>
        <v>CAM1</v>
      </c>
      <c r="F3" t="str">
        <f t="shared" ref="F3:F34" si="0">_xlfn.CONCAT(liststart,B3,listlareport,C3,listlat,D3,areavislv2,E3,areavisend)</f>
        <v>{ "v": "CAM_LV2_1", "n" : { "SYS": "Mayo-Banyo", "EN": "Mayo-Banyo" }, "vi" : [ { "r": "A-10", "o": "=", "t": "v", "v": "CAM1" } ] },</v>
      </c>
    </row>
    <row r="4" spans="2:6">
      <c r="B4" t="str">
        <f>+_xlfn.XLOOKUP(C4,'AREA Level 2'!C:C,'AREA Level 2'!B:B)</f>
        <v>CAM_LV2_2</v>
      </c>
      <c r="C4" t="s">
        <v>872</v>
      </c>
      <c r="D4" t="s">
        <v>872</v>
      </c>
      <c r="E4" t="str">
        <f>+_xlfn.XLOOKUP(D4,Sheet4!D:D,Sheet4!A:A)</f>
        <v>CAM1</v>
      </c>
      <c r="F4" t="str">
        <f t="shared" si="0"/>
        <v>{ "v": "CAM_LV2_2", "n" : { "SYS": "Vina", "EN": "Vina" }, "vi" : [ { "r": "A-10", "o": "=", "t": "v", "v": "CAM1" } ] },</v>
      </c>
    </row>
    <row r="5" spans="2:6">
      <c r="B5" t="str">
        <f>+_xlfn.XLOOKUP(C5,'AREA Level 2'!C:C,'AREA Level 2'!B:B)</f>
        <v>CAM_LV2_3</v>
      </c>
      <c r="C5" t="s">
        <v>874</v>
      </c>
      <c r="D5" t="s">
        <v>874</v>
      </c>
      <c r="E5" t="str">
        <f>+_xlfn.XLOOKUP(D5,Sheet4!D:D,Sheet4!A:A)</f>
        <v>CAM1</v>
      </c>
      <c r="F5" t="str">
        <f t="shared" si="0"/>
        <v>{ "v": "CAM_LV2_3", "n" : { "SYS": "Mbéré", "EN": "Mbéré" }, "vi" : [ { "r": "A-10", "o": "=", "t": "v", "v": "CAM1" } ] },</v>
      </c>
    </row>
    <row r="6" spans="2:6">
      <c r="B6" t="str">
        <f>+_xlfn.XLOOKUP(C6,'AREA Level 2'!C:C,'AREA Level 2'!B:B)</f>
        <v>CAM_LV2_4</v>
      </c>
      <c r="C6" t="s">
        <v>877</v>
      </c>
      <c r="D6" t="s">
        <v>877</v>
      </c>
      <c r="E6" t="str">
        <f>+_xlfn.XLOOKUP(D6,Sheet4!D:D,Sheet4!A:A)</f>
        <v>CAM1</v>
      </c>
      <c r="F6" t="str">
        <f t="shared" si="0"/>
        <v>{ "v": "CAM_LV2_4", "n" : { "SYS": "Faro-et-Déo", "EN": "Faro-et-Déo" }, "vi" : [ { "r": "A-10", "o": "=", "t": "v", "v": "CAM1" } ] },</v>
      </c>
    </row>
    <row r="7" spans="2:6">
      <c r="B7" t="str">
        <f>+_xlfn.XLOOKUP(C7,'AREA Level 2'!C:C,'AREA Level 2'!B:B)</f>
        <v>CAM_LV2_5</v>
      </c>
      <c r="C7" t="s">
        <v>887</v>
      </c>
      <c r="D7" t="s">
        <v>887</v>
      </c>
      <c r="E7" t="str">
        <f>+_xlfn.XLOOKUP(D7,Sheet4!D:D,Sheet4!A:A)</f>
        <v>CAM1</v>
      </c>
      <c r="F7" t="str">
        <f t="shared" si="0"/>
        <v>{ "v": "CAM_LV2_5", "n" : { "SYS": "Djérem", "EN": "Djérem" }, "vi" : [ { "r": "A-10", "o": "=", "t": "v", "v": "CAM1" } ] },</v>
      </c>
    </row>
    <row r="8" spans="2:6">
      <c r="B8" t="str">
        <f>+_xlfn.XLOOKUP(C8,'AREA Level 2'!C:C,'AREA Level 2'!B:B)</f>
        <v>CAM_LV2_6</v>
      </c>
      <c r="C8" t="s">
        <v>895</v>
      </c>
      <c r="D8" t="s">
        <v>895</v>
      </c>
      <c r="E8" t="str">
        <f>+_xlfn.XLOOKUP(D8,Sheet4!D:D,Sheet4!A:A)</f>
        <v>CAM2</v>
      </c>
      <c r="F8" t="str">
        <f t="shared" si="0"/>
        <v>{ "v": "CAM_LV2_6", "n" : { "SYS": "Mefou-et-Afamba", "EN": "Mefou-et-Afamba" }, "vi" : [ { "r": "A-10", "o": "=", "t": "v", "v": "CAM2" } ] },</v>
      </c>
    </row>
    <row r="9" spans="2:6">
      <c r="B9" t="str">
        <f>+_xlfn.XLOOKUP(C9,'AREA Level 2'!C:C,'AREA Level 2'!B:B)</f>
        <v>CAM_LV2_7</v>
      </c>
      <c r="C9" t="s">
        <v>897</v>
      </c>
      <c r="D9" t="s">
        <v>897</v>
      </c>
      <c r="E9" t="str">
        <f>+_xlfn.XLOOKUP(D9,Sheet4!D:D,Sheet4!A:A)</f>
        <v>CAM2</v>
      </c>
      <c r="F9" t="str">
        <f t="shared" si="0"/>
        <v>{ "v": "CAM_LV2_7", "n" : { "SYS": "Nyong-et-So'o", "EN": "Nyong-et-So'o" }, "vi" : [ { "r": "A-10", "o": "=", "t": "v", "v": "CAM2" } ] },</v>
      </c>
    </row>
    <row r="10" spans="2:6">
      <c r="B10" t="str">
        <f>+_xlfn.XLOOKUP(C10,'AREA Level 2'!C:C,'AREA Level 2'!B:B)</f>
        <v>CAM_LV2_8</v>
      </c>
      <c r="C10" t="s">
        <v>899</v>
      </c>
      <c r="D10" t="s">
        <v>899</v>
      </c>
      <c r="E10" t="str">
        <f>+_xlfn.XLOOKUP(D10,Sheet4!D:D,Sheet4!A:A)</f>
        <v>CAM2</v>
      </c>
      <c r="F10" t="str">
        <f t="shared" si="0"/>
        <v>{ "v": "CAM_LV2_8", "n" : { "SYS": "Mefou-et-Akono", "EN": "Mefou-et-Akono" }, "vi" : [ { "r": "A-10", "o": "=", "t": "v", "v": "CAM2" } ] },</v>
      </c>
    </row>
    <row r="11" spans="2:6">
      <c r="B11" t="str">
        <f>+_xlfn.XLOOKUP(C11,'AREA Level 2'!C:C,'AREA Level 2'!B:B)</f>
        <v>CAM_LV2_9</v>
      </c>
      <c r="C11" t="s">
        <v>901</v>
      </c>
      <c r="D11" t="s">
        <v>901</v>
      </c>
      <c r="E11" t="str">
        <f>+_xlfn.XLOOKUP(D11,Sheet4!D:D,Sheet4!A:A)</f>
        <v>CAM2</v>
      </c>
      <c r="F11" t="str">
        <f t="shared" si="0"/>
        <v>{ "v": "CAM_LV2_9", "n" : { "SYS": "Nyong-et-Mfoumou", "EN": "Nyong-et-Mfoumou" }, "vi" : [ { "r": "A-10", "o": "=", "t": "v", "v": "CAM2" } ] },</v>
      </c>
    </row>
    <row r="12" spans="2:6">
      <c r="B12" t="str">
        <f>+_xlfn.XLOOKUP(C12,'AREA Level 2'!C:C,'AREA Level 2'!B:B)</f>
        <v>CAM_LV2_10</v>
      </c>
      <c r="C12" t="s">
        <v>906</v>
      </c>
      <c r="D12" t="s">
        <v>906</v>
      </c>
      <c r="E12" t="str">
        <f>+_xlfn.XLOOKUP(D12,Sheet4!D:D,Sheet4!A:A)</f>
        <v>CAM2</v>
      </c>
      <c r="F12" t="str">
        <f t="shared" si="0"/>
        <v>{ "v": "CAM_LV2_10", "n" : { "SYS": "Mbam-et-Inoubou", "EN": "Mbam-et-Inoubou" }, "vi" : [ { "r": "A-10", "o": "=", "t": "v", "v": "CAM2" } ] },</v>
      </c>
    </row>
    <row r="13" spans="2:6">
      <c r="B13" t="str">
        <f>+_xlfn.XLOOKUP(C13,'AREA Level 2'!C:C,'AREA Level 2'!B:B)</f>
        <v>CAM_LV2_11</v>
      </c>
      <c r="C13" t="s">
        <v>908</v>
      </c>
      <c r="D13" t="s">
        <v>908</v>
      </c>
      <c r="E13" t="str">
        <f>+_xlfn.XLOOKUP(D13,Sheet4!D:D,Sheet4!A:A)</f>
        <v>CAM2</v>
      </c>
      <c r="F13" t="str">
        <f t="shared" si="0"/>
        <v>{ "v": "CAM_LV2_11", "n" : { "SYS": "Lekié", "EN": "Lekié" }, "vi" : [ { "r": "A-10", "o": "=", "t": "v", "v": "CAM2" } ] },</v>
      </c>
    </row>
    <row r="14" spans="2:6">
      <c r="B14" t="str">
        <f>+_xlfn.XLOOKUP(C14,'AREA Level 2'!C:C,'AREA Level 2'!B:B)</f>
        <v>CAM_LV2_12</v>
      </c>
      <c r="C14" t="s">
        <v>910</v>
      </c>
      <c r="D14" t="s">
        <v>910</v>
      </c>
      <c r="E14" t="str">
        <f>+_xlfn.XLOOKUP(D14,Sheet4!D:D,Sheet4!A:A)</f>
        <v>CAM2</v>
      </c>
      <c r="F14" t="str">
        <f t="shared" si="0"/>
        <v>{ "v": "CAM_LV2_12", "n" : { "SYS": "Haute-Sanaga", "EN": "Haute-Sanaga" }, "vi" : [ { "r": "A-10", "o": "=", "t": "v", "v": "CAM2" } ] },</v>
      </c>
    </row>
    <row r="15" spans="2:6">
      <c r="B15" t="str">
        <f>+_xlfn.XLOOKUP(C15,'AREA Level 2'!C:C,'AREA Level 2'!B:B)</f>
        <v>CAM_LV2_13</v>
      </c>
      <c r="C15" t="s">
        <v>913</v>
      </c>
      <c r="D15" t="s">
        <v>913</v>
      </c>
      <c r="E15" t="str">
        <f>+_xlfn.XLOOKUP(D15,Sheet4!D:D,Sheet4!A:A)</f>
        <v>CAM2</v>
      </c>
      <c r="F15" t="str">
        <f t="shared" si="0"/>
        <v>{ "v": "CAM_LV2_13", "n" : { "SYS": "Nyong-et-Kellé", "EN": "Nyong-et-Kellé" }, "vi" : [ { "r": "A-10", "o": "=", "t": "v", "v": "CAM2" } ] },</v>
      </c>
    </row>
    <row r="16" spans="2:6">
      <c r="B16" t="str">
        <f>+_xlfn.XLOOKUP(C16,'AREA Level 2'!C:C,'AREA Level 2'!B:B)</f>
        <v>CAM_LV2_14</v>
      </c>
      <c r="C16" t="s">
        <v>937</v>
      </c>
      <c r="D16" t="s">
        <v>937</v>
      </c>
      <c r="E16" t="str">
        <f>+_xlfn.XLOOKUP(D16,Sheet4!D:D,Sheet4!A:A)</f>
        <v>CAM2</v>
      </c>
      <c r="F16" t="str">
        <f t="shared" si="0"/>
        <v>{ "v": "CAM_LV2_14", "n" : { "SYS": "Mbam-et-Kim", "EN": "Mbam-et-Kim" }, "vi" : [ { "r": "A-10", "o": "=", "t": "v", "v": "CAM2" } ] },</v>
      </c>
    </row>
    <row r="17" spans="2:6">
      <c r="B17" t="str">
        <f>+_xlfn.XLOOKUP(C17,'AREA Level 2'!C:C,'AREA Level 2'!B:B)</f>
        <v>CAM_LV2_15</v>
      </c>
      <c r="C17" t="s">
        <v>966</v>
      </c>
      <c r="D17" t="s">
        <v>966</v>
      </c>
      <c r="E17" t="str">
        <f>+_xlfn.XLOOKUP(D17,Sheet4!D:D,Sheet4!A:A)</f>
        <v>CAM2</v>
      </c>
      <c r="F17" t="str">
        <f t="shared" si="0"/>
        <v>{ "v": "CAM_LV2_15", "n" : { "SYS": "Mfoundi", "EN": "Mfoundi" }, "vi" : [ { "r": "A-10", "o": "=", "t": "v", "v": "CAM2" } ] },</v>
      </c>
    </row>
    <row r="18" spans="2:6">
      <c r="B18" t="str">
        <f>+_xlfn.XLOOKUP(C18,'AREA Level 2'!C:C,'AREA Level 2'!B:B)</f>
        <v>CAM_LV2_16</v>
      </c>
      <c r="C18" t="s">
        <v>975</v>
      </c>
      <c r="D18" t="s">
        <v>975</v>
      </c>
      <c r="E18" t="str">
        <f>+_xlfn.XLOOKUP(D18,Sheet4!D:D,Sheet4!A:A)</f>
        <v>CAM3</v>
      </c>
      <c r="F18" t="str">
        <f t="shared" si="0"/>
        <v>{ "v": "CAM_LV2_16", "n" : { "SYS": "Haut-Nyong", "EN": "Haut-Nyong" }, "vi" : [ { "r": "A-10", "o": "=", "t": "v", "v": "CAM3" } ] },</v>
      </c>
    </row>
    <row r="19" spans="2:6">
      <c r="B19" t="str">
        <f>+_xlfn.XLOOKUP(C19,'AREA Level 2'!C:C,'AREA Level 2'!B:B)</f>
        <v>CAM_LV2_17</v>
      </c>
      <c r="C19" t="s">
        <v>977</v>
      </c>
      <c r="D19" t="s">
        <v>977</v>
      </c>
      <c r="E19" t="str">
        <f>+_xlfn.XLOOKUP(D19,Sheet4!D:D,Sheet4!A:A)</f>
        <v>CAM3</v>
      </c>
      <c r="F19" t="str">
        <f t="shared" si="0"/>
        <v>{ "v": "CAM_LV2_17", "n" : { "SYS": "Kadey", "EN": "Kadey" }, "vi" : [ { "r": "A-10", "o": "=", "t": "v", "v": "CAM3" } ] },</v>
      </c>
    </row>
    <row r="20" spans="2:6">
      <c r="B20" t="str">
        <f>+_xlfn.XLOOKUP(C20,'AREA Level 2'!C:C,'AREA Level 2'!B:B)</f>
        <v>CAM_LV2_18</v>
      </c>
      <c r="C20" t="s">
        <v>982</v>
      </c>
      <c r="D20" t="s">
        <v>982</v>
      </c>
      <c r="E20" t="str">
        <f>+_xlfn.XLOOKUP(D20,Sheet4!D:D,Sheet4!A:A)</f>
        <v>CAM3</v>
      </c>
      <c r="F20" t="str">
        <f t="shared" si="0"/>
        <v>{ "v": "CAM_LV2_18", "n" : { "SYS": "Lom-et-Djérem", "EN": "Lom-et-Djérem" }, "vi" : [ { "r": "A-10", "o": "=", "t": "v", "v": "CAM3" } ] },</v>
      </c>
    </row>
    <row r="21" spans="2:6">
      <c r="B21" t="str">
        <f>+_xlfn.XLOOKUP(C21,'AREA Level 2'!C:C,'AREA Level 2'!B:B)</f>
        <v>CAM_LV2_19</v>
      </c>
      <c r="C21" t="s">
        <v>992</v>
      </c>
      <c r="D21" t="s">
        <v>992</v>
      </c>
      <c r="E21" t="str">
        <f>+_xlfn.XLOOKUP(D21,Sheet4!D:D,Sheet4!A:A)</f>
        <v>CAM3</v>
      </c>
      <c r="F21" t="str">
        <f t="shared" si="0"/>
        <v>{ "v": "CAM_LV2_19", "n" : { "SYS": "Boumba-et-Ngoko", "EN": "Boumba-et-Ngoko" }, "vi" : [ { "r": "A-10", "o": "=", "t": "v", "v": "CAM3" } ] },</v>
      </c>
    </row>
    <row r="22" spans="2:6">
      <c r="B22" t="str">
        <f>+_xlfn.XLOOKUP(C22,'AREA Level 2'!C:C,'AREA Level 2'!B:B)</f>
        <v>CAM_LV2_20</v>
      </c>
      <c r="C22" t="s">
        <v>1013</v>
      </c>
      <c r="D22" t="s">
        <v>1013</v>
      </c>
      <c r="E22" t="str">
        <f>+_xlfn.XLOOKUP(D22,Sheet4!D:D,Sheet4!A:A)</f>
        <v>CAM4</v>
      </c>
      <c r="F22" t="str">
        <f t="shared" si="0"/>
        <v>{ "v": "CAM_LV2_20", "n" : { "SYS": "Mayo-Kani", "EN": "Mayo-Kani" }, "vi" : [ { "r": "A-10", "o": "=", "t": "v", "v": "CAM4" } ] },</v>
      </c>
    </row>
    <row r="23" spans="2:6">
      <c r="B23" t="str">
        <f>+_xlfn.XLOOKUP(C23,'AREA Level 2'!C:C,'AREA Level 2'!B:B)</f>
        <v>CAM_LV2_21</v>
      </c>
      <c r="C23" t="s">
        <v>1018</v>
      </c>
      <c r="D23" t="s">
        <v>1018</v>
      </c>
      <c r="E23" t="str">
        <f>+_xlfn.XLOOKUP(D23,Sheet4!D:D,Sheet4!A:A)</f>
        <v>CAM4</v>
      </c>
      <c r="F23" t="str">
        <f t="shared" si="0"/>
        <v>{ "v": "CAM_LV2_21", "n" : { "SYS": "Logone-et-Chari", "EN": "Logone-et-Chari" }, "vi" : [ { "r": "A-10", "o": "=", "t": "v", "v": "CAM4" } ] },</v>
      </c>
    </row>
    <row r="24" spans="2:6">
      <c r="B24" t="str">
        <f>+_xlfn.XLOOKUP(C24,'AREA Level 2'!C:C,'AREA Level 2'!B:B)</f>
        <v>CAM_LV2_22</v>
      </c>
      <c r="C24" t="s">
        <v>1020</v>
      </c>
      <c r="D24" t="s">
        <v>1020</v>
      </c>
      <c r="E24" t="str">
        <f>+_xlfn.XLOOKUP(D24,Sheet4!D:D,Sheet4!A:A)</f>
        <v>CAM4</v>
      </c>
      <c r="F24" t="str">
        <f t="shared" si="0"/>
        <v>{ "v": "CAM_LV2_22", "n" : { "SYS": "Diamaré", "EN": "Diamaré" }, "vi" : [ { "r": "A-10", "o": "=", "t": "v", "v": "CAM4" } ] },</v>
      </c>
    </row>
    <row r="25" spans="2:6">
      <c r="B25" t="str">
        <f>+_xlfn.XLOOKUP(C25,'AREA Level 2'!C:C,'AREA Level 2'!B:B)</f>
        <v>CAM_LV2_23</v>
      </c>
      <c r="C25" t="s">
        <v>1022</v>
      </c>
      <c r="D25" t="s">
        <v>1022</v>
      </c>
      <c r="E25" t="str">
        <f>+_xlfn.XLOOKUP(D25,Sheet4!D:D,Sheet4!A:A)</f>
        <v>CAM4</v>
      </c>
      <c r="F25" t="str">
        <f t="shared" si="0"/>
        <v>{ "v": "CAM_LV2_23", "n" : { "SYS": "Mayo-Tsanaga", "EN": "Mayo-Tsanaga" }, "vi" : [ { "r": "A-10", "o": "=", "t": "v", "v": "CAM4" } ] },</v>
      </c>
    </row>
    <row r="26" spans="2:6">
      <c r="B26" t="str">
        <f>+_xlfn.XLOOKUP(C26,'AREA Level 2'!C:C,'AREA Level 2'!B:B)</f>
        <v>CAM_LV2_24</v>
      </c>
      <c r="C26" t="s">
        <v>1026</v>
      </c>
      <c r="D26" t="s">
        <v>1026</v>
      </c>
      <c r="E26" t="str">
        <f>+_xlfn.XLOOKUP(D26,Sheet4!D:D,Sheet4!A:A)</f>
        <v>CAM4</v>
      </c>
      <c r="F26" t="str">
        <f t="shared" si="0"/>
        <v>{ "v": "CAM_LV2_24", "n" : { "SYS": "Mayo-Danay", "EN": "Mayo-Danay" }, "vi" : [ { "r": "A-10", "o": "=", "t": "v", "v": "CAM4" } ] },</v>
      </c>
    </row>
    <row r="27" spans="2:6">
      <c r="B27" t="str">
        <f>+_xlfn.XLOOKUP(C27,'AREA Level 2'!C:C,'AREA Level 2'!B:B)</f>
        <v>CAM_LV2_25</v>
      </c>
      <c r="C27" t="s">
        <v>1042</v>
      </c>
      <c r="D27" t="s">
        <v>1042</v>
      </c>
      <c r="E27" t="str">
        <f>+_xlfn.XLOOKUP(D27,Sheet4!D:D,Sheet4!A:A)</f>
        <v>CAM4</v>
      </c>
      <c r="F27" t="str">
        <f t="shared" si="0"/>
        <v>{ "v": "CAM_LV2_25", "n" : { "SYS": "Mayo-Sava", "EN": "Mayo-Sava" }, "vi" : [ { "r": "A-10", "o": "=", "t": "v", "v": "CAM4" } ] },</v>
      </c>
    </row>
    <row r="28" spans="2:6">
      <c r="B28" t="str">
        <f>+_xlfn.XLOOKUP(C28,'AREA Level 2'!C:C,'AREA Level 2'!B:B)</f>
        <v>CAM_LV2_26</v>
      </c>
      <c r="C28" t="s">
        <v>1067</v>
      </c>
      <c r="D28" t="s">
        <v>1067</v>
      </c>
      <c r="E28" t="str">
        <f>+_xlfn.XLOOKUP(D28,Sheet4!D:D,Sheet4!A:A)</f>
        <v>CAM5</v>
      </c>
      <c r="F28" t="str">
        <f t="shared" si="0"/>
        <v>{ "v": "CAM_LV2_26", "n" : { "SYS": "Moungo", "EN": "Moungo" }, "vi" : [ { "r": "A-10", "o": "=", "t": "v", "v": "CAM5" } ] },</v>
      </c>
    </row>
    <row r="29" spans="2:6">
      <c r="B29" t="str">
        <f>+_xlfn.XLOOKUP(C29,'AREA Level 2'!C:C,'AREA Level 2'!B:B)</f>
        <v>CAM_LV2_27</v>
      </c>
      <c r="C29" t="s">
        <v>1070</v>
      </c>
      <c r="D29" t="s">
        <v>1070</v>
      </c>
      <c r="E29" t="str">
        <f>+_xlfn.XLOOKUP(D29,Sheet4!D:D,Sheet4!A:A)</f>
        <v>CAM5</v>
      </c>
      <c r="F29" t="str">
        <f t="shared" si="0"/>
        <v>{ "v": "CAM_LV2_27", "n" : { "SYS": "Sanaga-Maritime", "EN": "Sanaga-Maritime" }, "vi" : [ { "r": "A-10", "o": "=", "t": "v", "v": "CAM5" } ] },</v>
      </c>
    </row>
    <row r="30" spans="2:6">
      <c r="B30" t="str">
        <f>+_xlfn.XLOOKUP(C30,'AREA Level 2'!C:C,'AREA Level 2'!B:B)</f>
        <v>CAM_LV2_28</v>
      </c>
      <c r="C30" t="s">
        <v>1074</v>
      </c>
      <c r="D30" t="s">
        <v>1074</v>
      </c>
      <c r="E30" t="str">
        <f>+_xlfn.XLOOKUP(D30,Sheet4!D:D,Sheet4!A:A)</f>
        <v>CAM5</v>
      </c>
      <c r="F30" t="str">
        <f t="shared" si="0"/>
        <v>{ "v": "CAM_LV2_28", "n" : { "SYS": "Wouri", "EN": "Wouri" }, "vi" : [ { "r": "A-10", "o": "=", "t": "v", "v": "CAM5" } ] },</v>
      </c>
    </row>
    <row r="31" spans="2:6">
      <c r="B31" t="str">
        <f>+_xlfn.XLOOKUP(C31,'AREA Level 2'!C:C,'AREA Level 2'!B:B)</f>
        <v>CAM_LV2_29</v>
      </c>
      <c r="C31" t="s">
        <v>1095</v>
      </c>
      <c r="D31" t="s">
        <v>1095</v>
      </c>
      <c r="E31" t="str">
        <f>+_xlfn.XLOOKUP(D31,Sheet4!D:D,Sheet4!A:A)</f>
        <v>CAM5</v>
      </c>
      <c r="F31" t="str">
        <f t="shared" si="0"/>
        <v>{ "v": "CAM_LV2_29", "n" : { "SYS": "Nkam", "EN": "Nkam" }, "vi" : [ { "r": "A-10", "o": "=", "t": "v", "v": "CAM5" } ] },</v>
      </c>
    </row>
    <row r="32" spans="2:6">
      <c r="B32" t="str">
        <f>+_xlfn.XLOOKUP(C32,'AREA Level 2'!C:C,'AREA Level 2'!B:B)</f>
        <v>CAM_LV2_30</v>
      </c>
      <c r="C32" t="s">
        <v>1105</v>
      </c>
      <c r="D32" t="s">
        <v>1105</v>
      </c>
      <c r="E32" t="str">
        <f>+_xlfn.XLOOKUP(D32,Sheet4!D:D,Sheet4!A:A)</f>
        <v>CAM6</v>
      </c>
      <c r="F32" t="str">
        <f t="shared" si="0"/>
        <v>{ "v": "CAM_LV2_30", "n" : { "SYS": "Bénoué", "EN": "Bénoué" }, "vi" : [ { "r": "A-10", "o": "=", "t": "v", "v": "CAM6" } ] },</v>
      </c>
    </row>
    <row r="33" spans="2:6">
      <c r="B33" t="str">
        <f>+_xlfn.XLOOKUP(C33,'AREA Level 2'!C:C,'AREA Level 2'!B:B)</f>
        <v>CAM_LV2_31</v>
      </c>
      <c r="C33" t="s">
        <v>1107</v>
      </c>
      <c r="D33" t="s">
        <v>1107</v>
      </c>
      <c r="E33" t="str">
        <f>+_xlfn.XLOOKUP(D33,Sheet4!D:D,Sheet4!A:A)</f>
        <v>CAM6</v>
      </c>
      <c r="F33" t="str">
        <f t="shared" si="0"/>
        <v>{ "v": "CAM_LV2_31", "n" : { "SYS": "Faro", "EN": "Faro" }, "vi" : [ { "r": "A-10", "o": "=", "t": "v", "v": "CAM6" } ] },</v>
      </c>
    </row>
    <row r="34" spans="2:6">
      <c r="B34" t="str">
        <f>+_xlfn.XLOOKUP(C34,'AREA Level 2'!C:C,'AREA Level 2'!B:B)</f>
        <v>CAM_LV2_32</v>
      </c>
      <c r="C34" t="s">
        <v>1112</v>
      </c>
      <c r="D34" t="s">
        <v>1112</v>
      </c>
      <c r="E34" t="str">
        <f>+_xlfn.XLOOKUP(D34,Sheet4!D:D,Sheet4!A:A)</f>
        <v>CAM6</v>
      </c>
      <c r="F34" t="str">
        <f t="shared" si="0"/>
        <v>{ "v": "CAM_LV2_32", "n" : { "SYS": "Mayo-Louti", "EN": "Mayo-Louti" }, "vi" : [ { "r": "A-10", "o": "=", "t": "v", "v": "CAM6" } ] },</v>
      </c>
    </row>
    <row r="35" spans="2:6">
      <c r="B35" t="str">
        <f>+_xlfn.XLOOKUP(C35,'AREA Level 2'!C:C,'AREA Level 2'!B:B)</f>
        <v>CAM_LV2_33</v>
      </c>
      <c r="C35" t="s">
        <v>1119</v>
      </c>
      <c r="D35" t="s">
        <v>1119</v>
      </c>
      <c r="E35" t="str">
        <f>+_xlfn.XLOOKUP(D35,Sheet4!D:D,Sheet4!A:A)</f>
        <v>CAM6</v>
      </c>
      <c r="F35" t="str">
        <f t="shared" ref="F35:F60" si="1">_xlfn.CONCAT(liststart,B35,listlareport,C35,listlat,D35,areavislv2,E35,areavisend)</f>
        <v>{ "v": "CAM_LV2_33", "n" : { "SYS": "Mayo-Rey", "EN": "Mayo-Rey" }, "vi" : [ { "r": "A-10", "o": "=", "t": "v", "v": "CAM6" } ] },</v>
      </c>
    </row>
    <row r="36" spans="2:6">
      <c r="B36" t="str">
        <f>+_xlfn.XLOOKUP(C36,'AREA Level 2'!C:C,'AREA Level 2'!B:B)</f>
        <v>CAM_LV2_34</v>
      </c>
      <c r="C36" t="s">
        <v>1130</v>
      </c>
      <c r="D36" t="s">
        <v>1130</v>
      </c>
      <c r="E36" t="str">
        <f>+_xlfn.XLOOKUP(D36,Sheet4!D:D,Sheet4!A:A)</f>
        <v>CAM7</v>
      </c>
      <c r="F36" t="str">
        <f t="shared" si="1"/>
        <v>{ "v": "CAM_LV2_34", "n" : { "SYS": "Momo", "EN": "Momo" }, "vi" : [ { "r": "A-10", "o": "=", "t": "v", "v": "CAM7" } ] },</v>
      </c>
    </row>
    <row r="37" spans="2:6">
      <c r="B37" t="str">
        <f>+_xlfn.XLOOKUP(C37,'AREA Level 2'!C:C,'AREA Level 2'!B:B)</f>
        <v>CAM_LV2_35</v>
      </c>
      <c r="C37" t="s">
        <v>1132</v>
      </c>
      <c r="D37" t="s">
        <v>1132</v>
      </c>
      <c r="E37" t="str">
        <f>+_xlfn.XLOOKUP(D37,Sheet4!D:D,Sheet4!A:A)</f>
        <v>CAM7</v>
      </c>
      <c r="F37" t="str">
        <f t="shared" si="1"/>
        <v>{ "v": "CAM_LV2_35", "n" : { "SYS": "Donga-Mantung", "EN": "Donga-Mantung" }, "vi" : [ { "r": "A-10", "o": "=", "t": "v", "v": "CAM7" } ] },</v>
      </c>
    </row>
    <row r="38" spans="2:6">
      <c r="B38" t="str">
        <f>+_xlfn.XLOOKUP(C38,'AREA Level 2'!C:C,'AREA Level 2'!B:B)</f>
        <v>CAM_LV2_36</v>
      </c>
      <c r="C38" t="s">
        <v>1134</v>
      </c>
      <c r="D38" t="s">
        <v>1134</v>
      </c>
      <c r="E38" t="str">
        <f>+_xlfn.XLOOKUP(D38,Sheet4!D:D,Sheet4!A:A)</f>
        <v>CAM7</v>
      </c>
      <c r="F38" t="str">
        <f t="shared" si="1"/>
        <v>{ "v": "CAM_LV2_36", "n" : { "SYS": "Ngo-Ketunjia", "EN": "Ngo-Ketunjia" }, "vi" : [ { "r": "A-10", "o": "=", "t": "v", "v": "CAM7" } ] },</v>
      </c>
    </row>
    <row r="39" spans="2:6">
      <c r="B39" t="str">
        <f>+_xlfn.XLOOKUP(C39,'AREA Level 2'!C:C,'AREA Level 2'!B:B)</f>
        <v>CAM_LV2_37</v>
      </c>
      <c r="C39" t="s">
        <v>1136</v>
      </c>
      <c r="D39" t="s">
        <v>1136</v>
      </c>
      <c r="E39" t="str">
        <f>+_xlfn.XLOOKUP(D39,Sheet4!D:D,Sheet4!A:A)</f>
        <v>CAM7</v>
      </c>
      <c r="F39" t="str">
        <f t="shared" si="1"/>
        <v>{ "v": "CAM_LV2_37", "n" : { "SYS": "Mezam", "EN": "Mezam" }, "vi" : [ { "r": "A-10", "o": "=", "t": "v", "v": "CAM7" } ] },</v>
      </c>
    </row>
    <row r="40" spans="2:6">
      <c r="B40" t="str">
        <f>+_xlfn.XLOOKUP(C40,'AREA Level 2'!C:C,'AREA Level 2'!B:B)</f>
        <v>CAM_LV2_38</v>
      </c>
      <c r="C40" t="s">
        <v>1145</v>
      </c>
      <c r="D40" t="s">
        <v>1145</v>
      </c>
      <c r="E40" t="str">
        <f>+_xlfn.XLOOKUP(D40,Sheet4!D:D,Sheet4!A:A)</f>
        <v>CAM7</v>
      </c>
      <c r="F40" t="str">
        <f t="shared" si="1"/>
        <v>{ "v": "CAM_LV2_38", "n" : { "SYS": "Boyo", "EN": "Boyo" }, "vi" : [ { "r": "A-10", "o": "=", "t": "v", "v": "CAM7" } ] },</v>
      </c>
    </row>
    <row r="41" spans="2:6">
      <c r="B41" t="str">
        <f>+_xlfn.XLOOKUP(C41,'AREA Level 2'!C:C,'AREA Level 2'!B:B)</f>
        <v>CAM_LV2_39</v>
      </c>
      <c r="C41" t="s">
        <v>1149</v>
      </c>
      <c r="D41" t="s">
        <v>1149</v>
      </c>
      <c r="E41" t="str">
        <f>+_xlfn.XLOOKUP(D41,Sheet4!D:D,Sheet4!A:A)</f>
        <v>CAM7</v>
      </c>
      <c r="F41" t="str">
        <f t="shared" si="1"/>
        <v>{ "v": "CAM_LV2_39", "n" : { "SYS": "Menchum", "EN": "Menchum" }, "vi" : [ { "r": "A-10", "o": "=", "t": "v", "v": "CAM7" } ] },</v>
      </c>
    </row>
    <row r="42" spans="2:6">
      <c r="B42" t="str">
        <f>+_xlfn.XLOOKUP(C42,'AREA Level 2'!C:C,'AREA Level 2'!B:B)</f>
        <v>CAM_LV2_40</v>
      </c>
      <c r="C42" t="s">
        <v>1152</v>
      </c>
      <c r="D42" t="s">
        <v>1152</v>
      </c>
      <c r="E42" t="str">
        <f>+_xlfn.XLOOKUP(D42,Sheet4!D:D,Sheet4!A:A)</f>
        <v>CAM7</v>
      </c>
      <c r="F42" t="str">
        <f t="shared" si="1"/>
        <v>{ "v": "CAM_LV2_40", "n" : { "SYS": "Bui", "EN": "Bui" }, "vi" : [ { "r": "A-10", "o": "=", "t": "v", "v": "CAM7" } ] },</v>
      </c>
    </row>
    <row r="43" spans="2:6">
      <c r="B43" t="str">
        <f>+_xlfn.XLOOKUP(C43,'AREA Level 2'!C:C,'AREA Level 2'!B:B)</f>
        <v>CAM_LV2_41</v>
      </c>
      <c r="C43" t="s">
        <v>1172</v>
      </c>
      <c r="D43" t="s">
        <v>1172</v>
      </c>
      <c r="E43" t="str">
        <f>+_xlfn.XLOOKUP(D43,Sheet4!D:D,Sheet4!A:A)</f>
        <v>CAM8</v>
      </c>
      <c r="F43" t="str">
        <f t="shared" si="1"/>
        <v>{ "v": "CAM_LV2_41", "n" : { "SYS": "Bamboutos", "EN": "Bamboutos" }, "vi" : [ { "r": "A-10", "o": "=", "t": "v", "v": "CAM8" } ] },</v>
      </c>
    </row>
    <row r="44" spans="2:6">
      <c r="B44" t="str">
        <f>+_xlfn.XLOOKUP(C44,'AREA Level 2'!C:C,'AREA Level 2'!B:B)</f>
        <v>CAM_LV2_42</v>
      </c>
      <c r="C44" t="s">
        <v>1174</v>
      </c>
      <c r="D44" t="s">
        <v>1174</v>
      </c>
      <c r="E44" t="str">
        <f>+_xlfn.XLOOKUP(D44,Sheet4!D:D,Sheet4!A:A)</f>
        <v>CAM8</v>
      </c>
      <c r="F44" t="str">
        <f t="shared" si="1"/>
        <v>{ "v": "CAM_LV2_42", "n" : { "SYS": "Haut-Nkam", "EN": "Haut-Nkam" }, "vi" : [ { "r": "A-10", "o": "=", "t": "v", "v": "CAM8" } ] },</v>
      </c>
    </row>
    <row r="45" spans="2:6">
      <c r="B45" t="str">
        <f>+_xlfn.XLOOKUP(C45,'AREA Level 2'!C:C,'AREA Level 2'!B:B)</f>
        <v>CAM_LV2_43</v>
      </c>
      <c r="C45" t="s">
        <v>1176</v>
      </c>
      <c r="D45" t="s">
        <v>1176</v>
      </c>
      <c r="E45" t="str">
        <f>+_xlfn.XLOOKUP(D45,Sheet4!D:D,Sheet4!A:A)</f>
        <v>CAM8</v>
      </c>
      <c r="F45" t="str">
        <f t="shared" si="1"/>
        <v>{ "v": "CAM_LV2_43", "n" : { "SYS": "Mifi", "EN": "Mifi" }, "vi" : [ { "r": "A-10", "o": "=", "t": "v", "v": "CAM8" } ] },</v>
      </c>
    </row>
    <row r="46" spans="2:6">
      <c r="B46" t="str">
        <f>+_xlfn.XLOOKUP(C46,'AREA Level 2'!C:C,'AREA Level 2'!B:B)</f>
        <v>CAM_LV2_44</v>
      </c>
      <c r="C46" t="s">
        <v>1180</v>
      </c>
      <c r="D46" t="s">
        <v>1180</v>
      </c>
      <c r="E46" t="str">
        <f>+_xlfn.XLOOKUP(D46,Sheet4!D:D,Sheet4!A:A)</f>
        <v>CAM8</v>
      </c>
      <c r="F46" t="str">
        <f t="shared" si="1"/>
        <v>{ "v": "CAM_LV2_44", "n" : { "SYS": "Hauts-Plateaux", "EN": "Hauts-Plateaux" }, "vi" : [ { "r": "A-10", "o": "=", "t": "v", "v": "CAM8" } ] },</v>
      </c>
    </row>
    <row r="47" spans="2:6">
      <c r="B47" t="str">
        <f>+_xlfn.XLOOKUP(C47,'AREA Level 2'!C:C,'AREA Level 2'!B:B)</f>
        <v>CAM_LV2_45</v>
      </c>
      <c r="C47" t="s">
        <v>1186</v>
      </c>
      <c r="D47" t="s">
        <v>1186</v>
      </c>
      <c r="E47" t="str">
        <f>+_xlfn.XLOOKUP(D47,Sheet4!D:D,Sheet4!A:A)</f>
        <v>CAM8</v>
      </c>
      <c r="F47" t="str">
        <f t="shared" si="1"/>
        <v>{ "v": "CAM_LV2_45", "n" : { "SYS": "Ndé", "EN": "Ndé" }, "vi" : [ { "r": "A-10", "o": "=", "t": "v", "v": "CAM8" } ] },</v>
      </c>
    </row>
    <row r="48" spans="2:6">
      <c r="B48" t="str">
        <f>+_xlfn.XLOOKUP(C48,'AREA Level 2'!C:C,'AREA Level 2'!B:B)</f>
        <v>CAM_LV2_46</v>
      </c>
      <c r="C48" t="s">
        <v>1189</v>
      </c>
      <c r="D48" t="s">
        <v>1189</v>
      </c>
      <c r="E48" t="str">
        <f>+_xlfn.XLOOKUP(D48,Sheet4!D:D,Sheet4!A:A)</f>
        <v>CAM8</v>
      </c>
      <c r="F48" t="str">
        <f t="shared" si="1"/>
        <v>{ "v": "CAM_LV2_46", "n" : { "SYS": "Noun", "EN": "Noun" }, "vi" : [ { "r": "A-10", "o": "=", "t": "v", "v": "CAM8" } ] },</v>
      </c>
    </row>
    <row r="49" spans="2:6">
      <c r="B49" t="str">
        <f>+_xlfn.XLOOKUP(C49,'AREA Level 2'!C:C,'AREA Level 2'!B:B)</f>
        <v>CAM_LV2_47</v>
      </c>
      <c r="C49" t="s">
        <v>1196</v>
      </c>
      <c r="D49" t="s">
        <v>1196</v>
      </c>
      <c r="E49" t="str">
        <f>+_xlfn.XLOOKUP(D49,Sheet4!D:D,Sheet4!A:A)</f>
        <v>CAM8</v>
      </c>
      <c r="F49" t="str">
        <f t="shared" si="1"/>
        <v>{ "v": "CAM_LV2_47", "n" : { "SYS": "Koung-Khi", "EN": "Koung-Khi" }, "vi" : [ { "r": "A-10", "o": "=", "t": "v", "v": "CAM8" } ] },</v>
      </c>
    </row>
    <row r="50" spans="2:6">
      <c r="B50" t="str">
        <f>+_xlfn.XLOOKUP(C50,'AREA Level 2'!C:C,'AREA Level 2'!B:B)</f>
        <v>CAM_LV2_48</v>
      </c>
      <c r="C50" t="s">
        <v>1200</v>
      </c>
      <c r="D50" t="s">
        <v>1200</v>
      </c>
      <c r="E50" t="str">
        <f>+_xlfn.XLOOKUP(D50,Sheet4!D:D,Sheet4!A:A)</f>
        <v>CAM8</v>
      </c>
      <c r="F50" t="str">
        <f t="shared" si="1"/>
        <v>{ "v": "CAM_LV2_48", "n" : { "SYS": "Menoua", "EN": "Menoua" }, "vi" : [ { "r": "A-10", "o": "=", "t": "v", "v": "CAM8" } ] },</v>
      </c>
    </row>
    <row r="51" spans="2:6">
      <c r="B51" t="str">
        <f>+_xlfn.XLOOKUP(C51,'AREA Level 2'!C:C,'AREA Level 2'!B:B)</f>
        <v>CAM_LV2_49</v>
      </c>
      <c r="C51" t="s">
        <v>1220</v>
      </c>
      <c r="D51" t="s">
        <v>1220</v>
      </c>
      <c r="E51" t="str">
        <f>+_xlfn.XLOOKUP(D51,Sheet4!D:D,Sheet4!A:A)</f>
        <v>CAM9</v>
      </c>
      <c r="F51" t="str">
        <f t="shared" si="1"/>
        <v>{ "v": "CAM_LV2_49", "n" : { "SYS": "Océan", "EN": "Océan" }, "vi" : [ { "r": "A-10", "o": "=", "t": "v", "v": "CAM9" } ] },</v>
      </c>
    </row>
    <row r="52" spans="2:6">
      <c r="B52" t="str">
        <f>+_xlfn.XLOOKUP(C52,'AREA Level 2'!C:C,'AREA Level 2'!B:B)</f>
        <v>CAM_LV2_50</v>
      </c>
      <c r="C52" t="s">
        <v>1222</v>
      </c>
      <c r="D52" t="s">
        <v>1222</v>
      </c>
      <c r="E52" t="str">
        <f>+_xlfn.XLOOKUP(D52,Sheet4!D:D,Sheet4!A:A)</f>
        <v>CAM9</v>
      </c>
      <c r="F52" t="str">
        <f t="shared" si="1"/>
        <v>{ "v": "CAM_LV2_50", "n" : { "SYS": "Vallée-du-Ntem", "EN": "Vallée-du-Ntem" }, "vi" : [ { "r": "A-10", "o": "=", "t": "v", "v": "CAM9" } ] },</v>
      </c>
    </row>
    <row r="53" spans="2:6">
      <c r="B53" t="str">
        <f>+_xlfn.XLOOKUP(C53,'AREA Level 2'!C:C,'AREA Level 2'!B:B)</f>
        <v>CAM_LV2_51</v>
      </c>
      <c r="C53" t="s">
        <v>1224</v>
      </c>
      <c r="D53" t="s">
        <v>1224</v>
      </c>
      <c r="E53" t="str">
        <f>+_xlfn.XLOOKUP(D53,Sheet4!D:D,Sheet4!A:A)</f>
        <v>CAM9</v>
      </c>
      <c r="F53" t="str">
        <f t="shared" si="1"/>
        <v>{ "v": "CAM_LV2_51", "n" : { "SYS": "Dja-et-Lobo", "EN": "Dja-et-Lobo" }, "vi" : [ { "r": "A-10", "o": "=", "t": "v", "v": "CAM9" } ] },</v>
      </c>
    </row>
    <row r="54" spans="2:6">
      <c r="B54" t="str">
        <f>+_xlfn.XLOOKUP(C54,'AREA Level 2'!C:C,'AREA Level 2'!B:B)</f>
        <v>CAM_LV2_52</v>
      </c>
      <c r="C54" t="s">
        <v>1227</v>
      </c>
      <c r="D54" t="s">
        <v>1227</v>
      </c>
      <c r="E54" t="str">
        <f>+_xlfn.XLOOKUP(D54,Sheet4!D:D,Sheet4!A:A)</f>
        <v>CAM9</v>
      </c>
      <c r="F54" t="str">
        <f t="shared" si="1"/>
        <v>{ "v": "CAM_LV2_52", "n" : { "SYS": "Mvila", "EN": "Mvila" }, "vi" : [ { "r": "A-10", "o": "=", "t": "v", "v": "CAM9" } ] },</v>
      </c>
    </row>
    <row r="55" spans="2:6">
      <c r="B55" t="str">
        <f>+_xlfn.XLOOKUP(C55,'AREA Level 2'!C:C,'AREA Level 2'!B:B)</f>
        <v>CAM_LV2_53</v>
      </c>
      <c r="C55" t="s">
        <v>1253</v>
      </c>
      <c r="D55" t="s">
        <v>1253</v>
      </c>
      <c r="E55" t="str">
        <f>+_xlfn.XLOOKUP(D55,Sheet4!D:D,Sheet4!A:A)</f>
        <v>CAM10</v>
      </c>
      <c r="F55" t="str">
        <f t="shared" si="1"/>
        <v>{ "v": "CAM_LV2_53", "n" : { "SYS": "Manyu", "EN": "Manyu" }, "vi" : [ { "r": "A-10", "o": "=", "t": "v", "v": "CAM10" } ] },</v>
      </c>
    </row>
    <row r="56" spans="2:6">
      <c r="B56" t="str">
        <f>+_xlfn.XLOOKUP(C56,'AREA Level 2'!C:C,'AREA Level 2'!B:B)</f>
        <v>CAM_LV2_54</v>
      </c>
      <c r="C56" t="s">
        <v>1255</v>
      </c>
      <c r="D56" t="s">
        <v>1255</v>
      </c>
      <c r="E56" t="str">
        <f>+_xlfn.XLOOKUP(D56,Sheet4!D:D,Sheet4!A:A)</f>
        <v>CAM10</v>
      </c>
      <c r="F56" t="str">
        <f t="shared" si="1"/>
        <v>{ "v": "CAM_LV2_54", "n" : { "SYS": "Lebialem", "EN": "Lebialem" }, "vi" : [ { "r": "A-10", "o": "=", "t": "v", "v": "CAM10" } ] },</v>
      </c>
    </row>
    <row r="57" spans="2:6">
      <c r="B57" t="str">
        <f>+_xlfn.XLOOKUP(C57,'AREA Level 2'!C:C,'AREA Level 2'!B:B)</f>
        <v>CAM_LV2_55</v>
      </c>
      <c r="C57" t="s">
        <v>1257</v>
      </c>
      <c r="D57" t="s">
        <v>1257</v>
      </c>
      <c r="E57" t="str">
        <f>+_xlfn.XLOOKUP(D57,Sheet4!D:D,Sheet4!A:A)</f>
        <v>CAM10</v>
      </c>
      <c r="F57" t="str">
        <f t="shared" si="1"/>
        <v>{ "v": "CAM_LV2_55", "n" : { "SYS": "Ndian", "EN": "Ndian" }, "vi" : [ { "r": "A-10", "o": "=", "t": "v", "v": "CAM10" } ] },</v>
      </c>
    </row>
    <row r="58" spans="2:6">
      <c r="B58" t="str">
        <f>+_xlfn.XLOOKUP(C58,'AREA Level 2'!C:C,'AREA Level 2'!B:B)</f>
        <v>CAM_LV2_56</v>
      </c>
      <c r="C58" t="s">
        <v>1259</v>
      </c>
      <c r="D58" t="s">
        <v>1259</v>
      </c>
      <c r="E58" t="str">
        <f>+_xlfn.XLOOKUP(D58,Sheet4!D:D,Sheet4!A:A)</f>
        <v>CAM10</v>
      </c>
      <c r="F58" t="str">
        <f t="shared" si="1"/>
        <v>{ "v": "CAM_LV2_56", "n" : { "SYS": "Kupe-Manenguba", "EN": "Kupe-Manenguba" }, "vi" : [ { "r": "A-10", "o": "=", "t": "v", "v": "CAM10" } ] },</v>
      </c>
    </row>
    <row r="59" spans="2:6">
      <c r="B59" t="str">
        <f>+_xlfn.XLOOKUP(C59,'AREA Level 2'!C:C,'AREA Level 2'!B:B)</f>
        <v>CAM_LV2_57</v>
      </c>
      <c r="C59" t="s">
        <v>1261</v>
      </c>
      <c r="D59" t="s">
        <v>1261</v>
      </c>
      <c r="E59" t="str">
        <f>+_xlfn.XLOOKUP(D59,Sheet4!D:D,Sheet4!A:A)</f>
        <v>CAM10</v>
      </c>
      <c r="F59" t="str">
        <f t="shared" si="1"/>
        <v>{ "v": "CAM_LV2_57", "n" : { "SYS": "Fako", "EN": "Fako" }, "vi" : [ { "r": "A-10", "o": "=", "t": "v", "v": "CAM10" } ] },</v>
      </c>
    </row>
    <row r="60" spans="2:6">
      <c r="B60" t="str">
        <f>+_xlfn.XLOOKUP(C60,'AREA Level 2'!C:C,'AREA Level 2'!B:B)</f>
        <v>CAM_LV2_58</v>
      </c>
      <c r="C60" t="s">
        <v>1271</v>
      </c>
      <c r="D60" t="s">
        <v>1271</v>
      </c>
      <c r="E60" t="str">
        <f>+_xlfn.XLOOKUP(D60,Sheet4!D:D,Sheet4!A:A)</f>
        <v>CAM10</v>
      </c>
      <c r="F60" t="str">
        <f t="shared" si="1"/>
        <v>{ "v": "CAM_LV2_58", "n" : { "SYS": "Meme", "EN": "Meme" }, "vi" : [ { "r": "A-10", "o": "=", "t": "v", "v": "CAM10" } ] },</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FF0000"/>
  </sheetPr>
  <dimension ref="A1:XEP170"/>
  <sheetViews>
    <sheetView topLeftCell="A2" zoomScaleNormal="100" zoomScalePageLayoutView="90" workbookViewId="0">
      <selection activeCell="D31" sqref="D31"/>
    </sheetView>
  </sheetViews>
  <sheetFormatPr defaultColWidth="0" defaultRowHeight="14.45"/>
  <cols>
    <col min="1" max="1" width="14.140625" customWidth="1"/>
    <col min="2" max="3" width="41.85546875" customWidth="1"/>
    <col min="4" max="4" width="14" customWidth="1"/>
    <col min="5" max="5" width="9.7109375" customWidth="1"/>
    <col min="6" max="6" width="34.28515625" customWidth="1"/>
    <col min="7" max="7" width="19" customWidth="1"/>
    <col min="8" max="8" width="19.42578125" customWidth="1"/>
    <col min="9" max="9" width="21.85546875" customWidth="1"/>
    <col min="10" max="10" width="23" customWidth="1"/>
    <col min="11" max="11" width="19.7109375" customWidth="1"/>
    <col min="12" max="12" width="8.7109375" style="119" customWidth="1"/>
    <col min="13" max="16370" width="8.7109375" style="119" hidden="1"/>
    <col min="16371" max="16384" width="3.28515625" style="119" hidden="1"/>
  </cols>
  <sheetData>
    <row r="1" spans="1:11" ht="13.9">
      <c r="A1" s="118"/>
      <c r="B1" s="118"/>
      <c r="C1" s="118"/>
      <c r="D1" s="118"/>
      <c r="E1" s="118"/>
      <c r="F1" s="118"/>
      <c r="G1" s="118"/>
      <c r="H1" s="118"/>
      <c r="I1" s="118"/>
      <c r="J1" s="118"/>
      <c r="K1" s="118"/>
    </row>
    <row r="2" spans="1:11" ht="82.9">
      <c r="A2" s="171" t="s">
        <v>151</v>
      </c>
      <c r="B2" s="172" t="s">
        <v>2001</v>
      </c>
      <c r="C2" s="172" t="s">
        <v>2002</v>
      </c>
      <c r="D2" s="172" t="s">
        <v>2003</v>
      </c>
      <c r="E2" s="172" t="s">
        <v>2004</v>
      </c>
      <c r="F2" s="339" t="s">
        <v>2005</v>
      </c>
      <c r="G2" s="172" t="s">
        <v>2006</v>
      </c>
      <c r="H2" s="172" t="s">
        <v>2007</v>
      </c>
      <c r="I2" s="172" t="s">
        <v>2008</v>
      </c>
      <c r="J2" s="118"/>
      <c r="K2" s="118"/>
    </row>
    <row r="3" spans="1:11">
      <c r="A3" s="173">
        <v>1</v>
      </c>
      <c r="B3" s="231" t="s">
        <v>2009</v>
      </c>
      <c r="C3" s="231"/>
      <c r="D3" s="173"/>
      <c r="E3" s="173" t="s">
        <v>2010</v>
      </c>
      <c r="F3" s="340"/>
      <c r="G3" s="173" t="s">
        <v>2011</v>
      </c>
      <c r="H3" s="173"/>
      <c r="I3" s="173"/>
      <c r="J3" s="118"/>
      <c r="K3" s="118"/>
    </row>
    <row r="4" spans="1:11" hidden="1">
      <c r="A4" s="173">
        <v>2</v>
      </c>
      <c r="B4" s="312" t="s">
        <v>1439</v>
      </c>
      <c r="C4" s="173"/>
      <c r="D4" s="173"/>
      <c r="E4" s="173" t="s">
        <v>2012</v>
      </c>
      <c r="F4" s="340"/>
      <c r="G4" s="173"/>
      <c r="H4" s="173"/>
      <c r="I4" s="173"/>
      <c r="J4" s="118"/>
      <c r="K4" s="118"/>
    </row>
    <row r="5" spans="1:11" hidden="1">
      <c r="A5" s="173">
        <v>3</v>
      </c>
      <c r="B5" s="312" t="s">
        <v>1441</v>
      </c>
      <c r="C5" s="173"/>
      <c r="D5" s="173"/>
      <c r="E5" s="173"/>
      <c r="F5" s="340"/>
      <c r="G5" s="173"/>
      <c r="H5" s="173"/>
      <c r="I5" s="173"/>
      <c r="J5" s="118"/>
      <c r="K5" s="118"/>
    </row>
    <row r="6" spans="1:11" hidden="1">
      <c r="A6" s="173">
        <v>4</v>
      </c>
      <c r="B6" s="312" t="s">
        <v>2013</v>
      </c>
      <c r="C6" s="173"/>
      <c r="D6" s="173"/>
      <c r="E6" s="173"/>
      <c r="F6" s="340"/>
      <c r="G6" s="173"/>
      <c r="H6" s="173"/>
      <c r="I6" s="173"/>
      <c r="J6" s="118"/>
      <c r="K6" s="118"/>
    </row>
    <row r="7" spans="1:11">
      <c r="A7" s="173"/>
      <c r="B7" s="173"/>
      <c r="C7" s="173"/>
      <c r="D7" s="173"/>
      <c r="E7" s="173"/>
      <c r="F7" s="340"/>
      <c r="G7" s="173"/>
      <c r="H7" s="173"/>
      <c r="I7" s="173"/>
      <c r="J7" s="118"/>
      <c r="K7" s="118"/>
    </row>
    <row r="8" spans="1:11" ht="13.9">
      <c r="A8" s="118"/>
      <c r="B8" s="118"/>
      <c r="C8" s="118"/>
      <c r="D8" s="118"/>
      <c r="E8" s="118"/>
      <c r="F8" s="118"/>
      <c r="G8" s="118"/>
      <c r="H8" s="118"/>
      <c r="I8" s="118"/>
      <c r="J8" s="118"/>
      <c r="K8" s="118"/>
    </row>
    <row r="9" spans="1:11" ht="13.9">
      <c r="A9" s="171" t="s">
        <v>152</v>
      </c>
      <c r="B9" s="174" t="s">
        <v>2014</v>
      </c>
      <c r="C9" s="174"/>
      <c r="D9" s="174" t="s">
        <v>2004</v>
      </c>
      <c r="E9" s="174" t="s">
        <v>2004</v>
      </c>
      <c r="F9" s="174"/>
      <c r="G9" s="174" t="s">
        <v>2015</v>
      </c>
      <c r="H9" s="174" t="s">
        <v>2008</v>
      </c>
      <c r="I9" s="174" t="s">
        <v>2016</v>
      </c>
      <c r="J9" s="174" t="s">
        <v>2017</v>
      </c>
      <c r="K9" s="174" t="s">
        <v>2018</v>
      </c>
    </row>
    <row r="10" spans="1:11" ht="13.9">
      <c r="A10" s="175" t="s">
        <v>2019</v>
      </c>
      <c r="B10" s="175" t="s">
        <v>1492</v>
      </c>
      <c r="C10" s="175" t="s">
        <v>721</v>
      </c>
      <c r="D10" s="175"/>
      <c r="E10" s="175"/>
      <c r="F10" s="175"/>
      <c r="G10" s="175" t="s">
        <v>721</v>
      </c>
      <c r="H10" s="175"/>
      <c r="I10" s="175">
        <v>10</v>
      </c>
      <c r="J10" s="175">
        <v>1</v>
      </c>
      <c r="K10" s="175"/>
    </row>
    <row r="11" spans="1:11" ht="13.9">
      <c r="A11" s="175" t="s">
        <v>2020</v>
      </c>
      <c r="B11" s="175" t="s">
        <v>1493</v>
      </c>
      <c r="C11" s="175" t="s">
        <v>721</v>
      </c>
      <c r="D11" s="175"/>
      <c r="E11" s="175"/>
      <c r="F11" s="175"/>
      <c r="G11" s="175" t="s">
        <v>721</v>
      </c>
      <c r="H11" s="175"/>
      <c r="I11" s="175">
        <v>10</v>
      </c>
      <c r="J11" s="175">
        <v>1</v>
      </c>
      <c r="K11" s="175"/>
    </row>
    <row r="12" spans="1:11" ht="13.9">
      <c r="A12" s="175" t="s">
        <v>2021</v>
      </c>
      <c r="B12" s="175" t="s">
        <v>1494</v>
      </c>
      <c r="C12" s="175" t="s">
        <v>725</v>
      </c>
      <c r="D12" s="175"/>
      <c r="E12" s="175"/>
      <c r="F12" s="175"/>
      <c r="G12" s="175" t="s">
        <v>725</v>
      </c>
      <c r="H12" s="175"/>
      <c r="I12" s="175">
        <v>10</v>
      </c>
      <c r="J12" s="175">
        <v>1</v>
      </c>
      <c r="K12" s="175"/>
    </row>
    <row r="13" spans="1:11" ht="13.9">
      <c r="A13" s="175" t="s">
        <v>2022</v>
      </c>
      <c r="B13" s="175" t="s">
        <v>1495</v>
      </c>
      <c r="C13" s="175" t="s">
        <v>723</v>
      </c>
      <c r="D13" s="175"/>
      <c r="E13" s="175"/>
      <c r="F13" s="175"/>
      <c r="G13" s="175" t="s">
        <v>723</v>
      </c>
      <c r="H13" s="175"/>
      <c r="I13" s="175">
        <v>10</v>
      </c>
      <c r="J13" s="175">
        <v>1</v>
      </c>
      <c r="K13" s="175"/>
    </row>
    <row r="14" spans="1:11" ht="13.9">
      <c r="A14" s="175" t="s">
        <v>2023</v>
      </c>
      <c r="B14" s="175" t="s">
        <v>1496</v>
      </c>
      <c r="C14" s="175" t="s">
        <v>723</v>
      </c>
      <c r="D14" s="175"/>
      <c r="E14" s="175"/>
      <c r="F14" s="175"/>
      <c r="G14" s="175" t="s">
        <v>723</v>
      </c>
      <c r="H14" s="175"/>
      <c r="I14" s="175">
        <v>10</v>
      </c>
      <c r="J14" s="175">
        <v>1</v>
      </c>
      <c r="K14" s="175"/>
    </row>
    <row r="15" spans="1:11" ht="13.9">
      <c r="A15" s="175" t="s">
        <v>2024</v>
      </c>
      <c r="B15" s="175" t="s">
        <v>1497</v>
      </c>
      <c r="C15" s="175" t="s">
        <v>723</v>
      </c>
      <c r="D15" s="175"/>
      <c r="E15" s="175"/>
      <c r="F15" s="175"/>
      <c r="G15" s="175" t="s">
        <v>723</v>
      </c>
      <c r="H15" s="175"/>
      <c r="I15" s="175">
        <v>10</v>
      </c>
      <c r="J15" s="175">
        <v>1</v>
      </c>
      <c r="K15" s="175"/>
    </row>
    <row r="16" spans="1:11" ht="13.9">
      <c r="A16" s="175" t="s">
        <v>2025</v>
      </c>
      <c r="B16" s="175" t="s">
        <v>1498</v>
      </c>
      <c r="C16" s="175" t="s">
        <v>723</v>
      </c>
      <c r="D16" s="175"/>
      <c r="E16" s="175"/>
      <c r="F16" s="175"/>
      <c r="G16" s="175" t="s">
        <v>723</v>
      </c>
      <c r="H16" s="175"/>
      <c r="I16" s="175">
        <v>10</v>
      </c>
      <c r="J16" s="175">
        <v>1</v>
      </c>
      <c r="K16" s="175"/>
    </row>
    <row r="17" spans="1:11" ht="13.9">
      <c r="A17" s="175" t="s">
        <v>2026</v>
      </c>
      <c r="B17" s="175" t="s">
        <v>1499</v>
      </c>
      <c r="C17" s="175" t="s">
        <v>727</v>
      </c>
      <c r="D17" s="175"/>
      <c r="E17" s="175"/>
      <c r="F17" s="175"/>
      <c r="G17" s="175" t="s">
        <v>727</v>
      </c>
      <c r="H17" s="175"/>
      <c r="I17" s="175">
        <v>10</v>
      </c>
      <c r="J17" s="175">
        <v>1</v>
      </c>
      <c r="K17" s="175"/>
    </row>
    <row r="18" spans="1:11" ht="13.9">
      <c r="A18" s="175" t="s">
        <v>2027</v>
      </c>
      <c r="B18" s="175" t="s">
        <v>2028</v>
      </c>
      <c r="C18" s="175" t="s">
        <v>727</v>
      </c>
      <c r="D18" s="175"/>
      <c r="E18" s="175"/>
      <c r="F18" s="175"/>
      <c r="G18" s="175" t="s">
        <v>727</v>
      </c>
      <c r="H18" s="175"/>
      <c r="I18" s="175">
        <v>10</v>
      </c>
      <c r="J18" s="175"/>
      <c r="K18" s="175"/>
    </row>
    <row r="19" spans="1:11" ht="13.9">
      <c r="A19" s="175" t="s">
        <v>2029</v>
      </c>
      <c r="B19" s="175" t="s">
        <v>1500</v>
      </c>
      <c r="C19" s="175" t="s">
        <v>727</v>
      </c>
      <c r="D19" s="175"/>
      <c r="E19" s="175"/>
      <c r="F19" s="175"/>
      <c r="G19" s="175" t="s">
        <v>727</v>
      </c>
      <c r="H19" s="175"/>
      <c r="I19" s="175">
        <v>10</v>
      </c>
      <c r="J19" s="175">
        <v>1</v>
      </c>
      <c r="K19" s="175"/>
    </row>
    <row r="20" spans="1:11" ht="13.9">
      <c r="A20" s="175" t="s">
        <v>2030</v>
      </c>
      <c r="B20" s="175" t="s">
        <v>1501</v>
      </c>
      <c r="C20" s="175" t="s">
        <v>727</v>
      </c>
      <c r="D20" s="175"/>
      <c r="E20" s="175"/>
      <c r="F20" s="175"/>
      <c r="G20" s="175" t="s">
        <v>727</v>
      </c>
      <c r="H20" s="175"/>
      <c r="I20" s="175">
        <v>10</v>
      </c>
      <c r="J20" s="175">
        <v>1</v>
      </c>
      <c r="K20" s="175"/>
    </row>
    <row r="21" spans="1:11" ht="13.9">
      <c r="A21" s="175" t="s">
        <v>2031</v>
      </c>
      <c r="B21" s="175" t="s">
        <v>926</v>
      </c>
      <c r="C21" s="175" t="s">
        <v>729</v>
      </c>
      <c r="D21" s="175"/>
      <c r="E21" s="175"/>
      <c r="F21" s="175"/>
      <c r="G21" s="175" t="s">
        <v>729</v>
      </c>
      <c r="H21" s="175"/>
      <c r="I21" s="175">
        <v>10</v>
      </c>
      <c r="J21" s="175">
        <v>1</v>
      </c>
      <c r="K21" s="175"/>
    </row>
    <row r="22" spans="1:11" ht="13.9">
      <c r="A22" s="175" t="s">
        <v>2032</v>
      </c>
      <c r="B22" s="175" t="s">
        <v>1502</v>
      </c>
      <c r="C22" s="175" t="s">
        <v>729</v>
      </c>
      <c r="D22" s="175"/>
      <c r="E22" s="175"/>
      <c r="F22" s="175"/>
      <c r="G22" s="175" t="s">
        <v>729</v>
      </c>
      <c r="H22" s="175"/>
      <c r="I22" s="175">
        <v>10</v>
      </c>
      <c r="J22" s="175">
        <v>1</v>
      </c>
      <c r="K22" s="175"/>
    </row>
    <row r="23" spans="1:11" ht="13.9">
      <c r="A23" s="175" t="s">
        <v>2033</v>
      </c>
      <c r="B23" s="175" t="s">
        <v>1503</v>
      </c>
      <c r="C23" s="175" t="s">
        <v>2034</v>
      </c>
      <c r="D23" s="175"/>
      <c r="E23" s="175"/>
      <c r="F23" s="175"/>
      <c r="G23" s="175" t="s">
        <v>2034</v>
      </c>
      <c r="H23" s="175"/>
      <c r="I23" s="175">
        <v>10</v>
      </c>
      <c r="J23" s="175">
        <v>1</v>
      </c>
      <c r="K23" s="175"/>
    </row>
    <row r="24" spans="1:11" ht="13.9">
      <c r="A24" s="175"/>
      <c r="B24" s="175"/>
      <c r="C24" s="175"/>
      <c r="D24" s="175"/>
      <c r="E24" s="175"/>
      <c r="F24" s="175"/>
      <c r="G24" s="175"/>
      <c r="H24" s="175"/>
      <c r="I24" s="175">
        <v>10</v>
      </c>
      <c r="J24" s="175">
        <v>1</v>
      </c>
      <c r="K24" s="175"/>
    </row>
    <row r="25" spans="1:11" ht="13.9">
      <c r="A25" s="175"/>
      <c r="B25" s="175"/>
      <c r="C25" s="175"/>
      <c r="D25" s="175"/>
      <c r="E25" s="175"/>
      <c r="F25" s="175"/>
      <c r="G25" s="175"/>
      <c r="H25" s="175"/>
      <c r="I25" s="175"/>
      <c r="J25" s="175"/>
      <c r="K25" s="175"/>
    </row>
    <row r="26" spans="1:11" ht="13.9">
      <c r="A26" s="175"/>
      <c r="B26" s="175"/>
      <c r="C26" s="175"/>
      <c r="D26" s="175"/>
      <c r="E26" s="175"/>
      <c r="F26" s="175"/>
      <c r="G26" s="175"/>
      <c r="H26" s="175"/>
      <c r="I26" s="175"/>
      <c r="J26" s="175"/>
      <c r="K26" s="175"/>
    </row>
    <row r="27" spans="1:11" ht="13.9">
      <c r="A27" s="175"/>
      <c r="B27" s="175"/>
      <c r="C27" s="175"/>
      <c r="D27" s="175"/>
      <c r="E27" s="175"/>
      <c r="F27" s="175"/>
      <c r="G27" s="175"/>
      <c r="H27" s="175"/>
      <c r="I27" s="175"/>
      <c r="J27" s="175"/>
      <c r="K27" s="175"/>
    </row>
    <row r="28" spans="1:11" ht="13.9">
      <c r="A28" s="175"/>
      <c r="B28" s="175"/>
      <c r="C28" s="175"/>
      <c r="D28" s="175"/>
      <c r="E28" s="175"/>
      <c r="F28" s="175"/>
      <c r="G28" s="175"/>
      <c r="H28" s="175"/>
      <c r="I28" s="175"/>
      <c r="J28" s="175"/>
      <c r="K28" s="175"/>
    </row>
    <row r="29" spans="1:11" ht="13.9">
      <c r="A29" s="175"/>
      <c r="B29" s="175"/>
      <c r="C29" s="175"/>
      <c r="D29" s="175"/>
      <c r="E29" s="175"/>
      <c r="F29" s="175"/>
      <c r="G29" s="175"/>
      <c r="H29" s="175"/>
      <c r="I29" s="175"/>
      <c r="J29" s="175"/>
      <c r="K29" s="175"/>
    </row>
    <row r="30" spans="1:11" ht="13.9">
      <c r="A30" s="175"/>
      <c r="B30" s="175"/>
      <c r="C30" s="175"/>
      <c r="D30" s="175"/>
      <c r="E30" s="175"/>
      <c r="F30" s="175"/>
      <c r="G30" s="175"/>
      <c r="H30" s="175"/>
      <c r="I30" s="175"/>
      <c r="J30" s="175"/>
      <c r="K30" s="175"/>
    </row>
    <row r="31" spans="1:11" ht="13.9">
      <c r="A31" s="175"/>
      <c r="B31" s="175"/>
      <c r="C31" s="175"/>
      <c r="D31" s="175"/>
      <c r="E31" s="175"/>
      <c r="F31" s="175"/>
      <c r="G31" s="175"/>
      <c r="H31" s="175"/>
      <c r="I31" s="175"/>
      <c r="J31" s="175"/>
      <c r="K31" s="175"/>
    </row>
    <row r="32" spans="1:11" ht="13.9">
      <c r="A32" s="175"/>
      <c r="B32" s="175"/>
      <c r="C32" s="175"/>
      <c r="D32" s="175"/>
      <c r="E32" s="175"/>
      <c r="F32" s="175"/>
      <c r="G32" s="175"/>
      <c r="H32" s="175"/>
      <c r="I32" s="175"/>
      <c r="J32" s="175"/>
      <c r="K32" s="175"/>
    </row>
    <row r="33" spans="1:11" ht="13.9">
      <c r="A33" s="175"/>
      <c r="B33" s="175"/>
      <c r="C33" s="175"/>
      <c r="D33" s="175"/>
      <c r="E33" s="175"/>
      <c r="F33" s="175"/>
      <c r="G33" s="175"/>
      <c r="H33" s="175"/>
      <c r="I33" s="175"/>
      <c r="J33" s="175"/>
      <c r="K33" s="175"/>
    </row>
    <row r="34" spans="1:11" ht="13.9" hidden="1">
      <c r="A34" s="175">
        <v>27</v>
      </c>
      <c r="B34" s="175"/>
      <c r="C34" s="175"/>
      <c r="D34" s="175"/>
      <c r="E34" s="175"/>
      <c r="F34" s="175"/>
      <c r="G34" s="175"/>
      <c r="H34" s="175"/>
      <c r="I34" s="175"/>
      <c r="J34" s="175"/>
      <c r="K34" s="175"/>
    </row>
    <row r="35" spans="1:11" ht="13.9" hidden="1">
      <c r="A35" s="175">
        <v>28</v>
      </c>
      <c r="B35" s="175"/>
      <c r="C35" s="175"/>
      <c r="D35" s="175"/>
      <c r="E35" s="175"/>
      <c r="F35" s="175"/>
      <c r="G35" s="175"/>
      <c r="H35" s="175"/>
      <c r="I35" s="175"/>
      <c r="J35" s="175"/>
      <c r="K35" s="175"/>
    </row>
    <row r="36" spans="1:11" ht="13.9" hidden="1">
      <c r="A36" s="175">
        <v>29</v>
      </c>
      <c r="B36" s="175"/>
      <c r="C36" s="175"/>
      <c r="D36" s="175"/>
      <c r="E36" s="175"/>
      <c r="F36" s="175"/>
      <c r="G36" s="175"/>
      <c r="H36" s="175"/>
      <c r="I36" s="175"/>
      <c r="J36" s="175"/>
      <c r="K36" s="175"/>
    </row>
    <row r="37" spans="1:11" ht="13.9" hidden="1">
      <c r="A37" s="175">
        <v>30</v>
      </c>
      <c r="B37" s="175"/>
      <c r="C37" s="175"/>
      <c r="D37" s="175"/>
      <c r="E37" s="175"/>
      <c r="F37" s="175"/>
      <c r="G37" s="175"/>
      <c r="H37" s="175"/>
      <c r="I37" s="175"/>
      <c r="J37" s="175"/>
      <c r="K37" s="175"/>
    </row>
    <row r="38" spans="1:11" ht="13.9" hidden="1">
      <c r="A38" s="175">
        <v>31</v>
      </c>
      <c r="B38" s="175"/>
      <c r="C38" s="175"/>
      <c r="D38" s="175"/>
      <c r="E38" s="175"/>
      <c r="F38" s="175"/>
      <c r="G38" s="175"/>
      <c r="H38" s="175"/>
      <c r="I38" s="175"/>
      <c r="J38" s="175"/>
      <c r="K38" s="175"/>
    </row>
    <row r="39" spans="1:11" ht="13.9" hidden="1">
      <c r="A39" s="175">
        <v>32</v>
      </c>
      <c r="B39" s="175"/>
      <c r="C39" s="175"/>
      <c r="D39" s="175"/>
      <c r="E39" s="175"/>
      <c r="F39" s="175"/>
      <c r="G39" s="175"/>
      <c r="H39" s="175"/>
      <c r="I39" s="175"/>
      <c r="J39" s="175"/>
      <c r="K39" s="175"/>
    </row>
    <row r="40" spans="1:11" ht="13.9" hidden="1">
      <c r="A40" s="175">
        <v>33</v>
      </c>
      <c r="B40" s="175"/>
      <c r="C40" s="175"/>
      <c r="D40" s="175"/>
      <c r="E40" s="175"/>
      <c r="F40" s="175"/>
      <c r="G40" s="175"/>
      <c r="H40" s="175"/>
      <c r="I40" s="175"/>
      <c r="J40" s="175"/>
      <c r="K40" s="175"/>
    </row>
    <row r="41" spans="1:11" ht="13.9" hidden="1">
      <c r="A41" s="175">
        <v>34</v>
      </c>
      <c r="B41" s="175"/>
      <c r="C41" s="175"/>
      <c r="D41" s="175"/>
      <c r="E41" s="175"/>
      <c r="F41" s="175"/>
      <c r="G41" s="175"/>
      <c r="H41" s="175"/>
      <c r="I41" s="175"/>
      <c r="J41" s="175"/>
      <c r="K41" s="175"/>
    </row>
    <row r="42" spans="1:11" ht="13.9" hidden="1">
      <c r="A42" s="175">
        <v>35</v>
      </c>
      <c r="B42" s="175"/>
      <c r="C42" s="175"/>
      <c r="D42" s="175"/>
      <c r="E42" s="175"/>
      <c r="F42" s="175"/>
      <c r="G42" s="175"/>
      <c r="H42" s="175"/>
      <c r="I42" s="175"/>
      <c r="J42" s="175"/>
      <c r="K42" s="175"/>
    </row>
    <row r="43" spans="1:11" ht="13.9" hidden="1">
      <c r="A43" s="175">
        <v>36</v>
      </c>
      <c r="B43" s="175"/>
      <c r="C43" s="175"/>
      <c r="D43" s="175"/>
      <c r="E43" s="175"/>
      <c r="F43" s="175"/>
      <c r="G43" s="175"/>
      <c r="H43" s="175"/>
      <c r="I43" s="175"/>
      <c r="J43" s="175"/>
      <c r="K43" s="175"/>
    </row>
    <row r="44" spans="1:11" ht="13.9" hidden="1">
      <c r="A44" s="175">
        <v>37</v>
      </c>
      <c r="B44" s="175"/>
      <c r="C44" s="175"/>
      <c r="D44" s="175"/>
      <c r="E44" s="175"/>
      <c r="F44" s="175"/>
      <c r="G44" s="175"/>
      <c r="H44" s="175"/>
      <c r="I44" s="175"/>
      <c r="J44" s="175"/>
      <c r="K44" s="175"/>
    </row>
    <row r="45" spans="1:11" ht="13.9" hidden="1">
      <c r="A45" s="175">
        <v>38</v>
      </c>
      <c r="B45" s="175"/>
      <c r="C45" s="175"/>
      <c r="D45" s="175"/>
      <c r="E45" s="175"/>
      <c r="F45" s="175"/>
      <c r="G45" s="175"/>
      <c r="H45" s="175"/>
      <c r="I45" s="175"/>
      <c r="J45" s="175"/>
      <c r="K45" s="175"/>
    </row>
    <row r="46" spans="1:11" ht="13.9" hidden="1">
      <c r="A46" s="175">
        <v>39</v>
      </c>
      <c r="B46" s="175"/>
      <c r="C46" s="175"/>
      <c r="D46" s="175"/>
      <c r="E46" s="175"/>
      <c r="F46" s="175"/>
      <c r="G46" s="175"/>
      <c r="H46" s="175"/>
      <c r="I46" s="175"/>
      <c r="J46" s="175"/>
      <c r="K46" s="175"/>
    </row>
    <row r="47" spans="1:11" ht="13.9" hidden="1">
      <c r="A47" s="175">
        <v>40</v>
      </c>
      <c r="B47" s="175"/>
      <c r="C47" s="175"/>
      <c r="D47" s="175"/>
      <c r="E47" s="175"/>
      <c r="F47" s="175"/>
      <c r="G47" s="175"/>
      <c r="H47" s="175"/>
      <c r="I47" s="175"/>
      <c r="J47" s="175"/>
      <c r="K47" s="175"/>
    </row>
    <row r="48" spans="1:11" ht="13.9" hidden="1">
      <c r="A48" s="175">
        <v>41</v>
      </c>
      <c r="B48" s="175"/>
      <c r="C48" s="175"/>
      <c r="D48" s="175"/>
      <c r="E48" s="175"/>
      <c r="F48" s="175"/>
      <c r="G48" s="175"/>
      <c r="H48" s="175"/>
      <c r="I48" s="175"/>
      <c r="J48" s="175"/>
      <c r="K48" s="175"/>
    </row>
    <row r="49" spans="1:11" ht="13.9" hidden="1">
      <c r="A49" s="175">
        <v>42</v>
      </c>
      <c r="B49" s="175"/>
      <c r="C49" s="175"/>
      <c r="D49" s="175"/>
      <c r="E49" s="175"/>
      <c r="F49" s="175"/>
      <c r="G49" s="175"/>
      <c r="H49" s="175"/>
      <c r="I49" s="175"/>
      <c r="J49" s="175"/>
      <c r="K49" s="175"/>
    </row>
    <row r="50" spans="1:11" ht="13.9" hidden="1">
      <c r="A50" s="175">
        <v>43</v>
      </c>
      <c r="B50" s="175"/>
      <c r="C50" s="175"/>
      <c r="D50" s="175"/>
      <c r="E50" s="175"/>
      <c r="F50" s="175"/>
      <c r="G50" s="175"/>
      <c r="H50" s="175"/>
      <c r="I50" s="175"/>
      <c r="J50" s="175"/>
      <c r="K50" s="175"/>
    </row>
    <row r="51" spans="1:11" ht="13.9" hidden="1">
      <c r="A51" s="175">
        <v>44</v>
      </c>
      <c r="B51" s="175"/>
      <c r="C51" s="175"/>
      <c r="D51" s="175"/>
      <c r="E51" s="175"/>
      <c r="F51" s="175"/>
      <c r="G51" s="175"/>
      <c r="H51" s="175"/>
      <c r="I51" s="175"/>
      <c r="J51" s="175"/>
      <c r="K51" s="175"/>
    </row>
    <row r="52" spans="1:11" ht="13.9" hidden="1">
      <c r="A52" s="175">
        <v>45</v>
      </c>
      <c r="B52" s="175"/>
      <c r="C52" s="175"/>
      <c r="D52" s="175"/>
      <c r="E52" s="175"/>
      <c r="F52" s="175"/>
      <c r="G52" s="175"/>
      <c r="H52" s="175"/>
      <c r="I52" s="175"/>
      <c r="J52" s="175"/>
      <c r="K52" s="175"/>
    </row>
    <row r="53" spans="1:11" ht="13.9" hidden="1">
      <c r="A53" s="175">
        <v>46</v>
      </c>
      <c r="B53" s="175"/>
      <c r="C53" s="175"/>
      <c r="D53" s="175"/>
      <c r="E53" s="175"/>
      <c r="F53" s="175"/>
      <c r="G53" s="175"/>
      <c r="H53" s="175"/>
      <c r="I53" s="175"/>
      <c r="J53" s="175"/>
      <c r="K53" s="175"/>
    </row>
    <row r="54" spans="1:11" ht="13.9" hidden="1">
      <c r="A54" s="175">
        <v>47</v>
      </c>
      <c r="B54" s="175"/>
      <c r="C54" s="175"/>
      <c r="D54" s="175"/>
      <c r="E54" s="175"/>
      <c r="F54" s="175"/>
      <c r="G54" s="175"/>
      <c r="H54" s="175"/>
      <c r="I54" s="175"/>
      <c r="J54" s="175"/>
      <c r="K54" s="175"/>
    </row>
    <row r="55" spans="1:11" ht="13.9" hidden="1">
      <c r="A55" s="175">
        <v>48</v>
      </c>
      <c r="B55" s="175"/>
      <c r="C55" s="175"/>
      <c r="D55" s="175"/>
      <c r="E55" s="175"/>
      <c r="F55" s="175"/>
      <c r="G55" s="175"/>
      <c r="H55" s="175"/>
      <c r="I55" s="175"/>
      <c r="J55" s="175"/>
      <c r="K55" s="175"/>
    </row>
    <row r="56" spans="1:11" customFormat="1"/>
    <row r="57" spans="1:11" ht="13.9">
      <c r="A57" s="171" t="s">
        <v>394</v>
      </c>
      <c r="B57" s="174" t="s">
        <v>2035</v>
      </c>
      <c r="C57" s="174"/>
      <c r="D57" s="174" t="s">
        <v>2004</v>
      </c>
      <c r="E57" s="174" t="s">
        <v>2004</v>
      </c>
      <c r="F57" s="174"/>
      <c r="G57" s="174" t="s">
        <v>2015</v>
      </c>
      <c r="H57" s="174" t="s">
        <v>2008</v>
      </c>
      <c r="I57" s="174" t="s">
        <v>2016</v>
      </c>
      <c r="J57" s="174" t="s">
        <v>2017</v>
      </c>
      <c r="K57" s="174" t="s">
        <v>2018</v>
      </c>
    </row>
    <row r="58" spans="1:11" ht="13.9">
      <c r="A58" s="175">
        <v>1</v>
      </c>
      <c r="B58" s="175"/>
      <c r="C58" s="175"/>
      <c r="D58" s="175"/>
      <c r="E58" s="175"/>
      <c r="F58" s="175"/>
      <c r="G58" s="175"/>
      <c r="H58" s="175"/>
      <c r="I58" s="175"/>
      <c r="J58" s="175"/>
      <c r="K58" s="175"/>
    </row>
    <row r="59" spans="1:11" ht="13.9">
      <c r="A59" s="175">
        <v>2</v>
      </c>
      <c r="B59" s="175"/>
      <c r="C59" s="175"/>
      <c r="D59" s="175"/>
      <c r="E59" s="175"/>
      <c r="F59" s="175"/>
      <c r="G59" s="175"/>
      <c r="H59" s="175"/>
      <c r="I59" s="175"/>
      <c r="J59" s="175"/>
      <c r="K59" s="175"/>
    </row>
    <row r="60" spans="1:11" ht="13.9">
      <c r="A60" s="175">
        <v>3</v>
      </c>
      <c r="B60" s="175"/>
      <c r="C60" s="175"/>
      <c r="D60" s="175"/>
      <c r="E60" s="175"/>
      <c r="F60" s="175"/>
      <c r="G60" s="175"/>
      <c r="H60" s="175"/>
      <c r="I60" s="175"/>
      <c r="J60" s="175"/>
      <c r="K60" s="175"/>
    </row>
    <row r="61" spans="1:11" ht="13.9">
      <c r="A61" s="175">
        <v>4</v>
      </c>
      <c r="B61" s="175"/>
      <c r="C61" s="175"/>
      <c r="D61" s="175"/>
      <c r="E61" s="175"/>
      <c r="F61" s="175"/>
      <c r="G61" s="175"/>
      <c r="H61" s="175"/>
      <c r="I61" s="175"/>
      <c r="J61" s="175"/>
      <c r="K61" s="175"/>
    </row>
    <row r="62" spans="1:11" ht="13.9">
      <c r="A62" s="175">
        <v>5</v>
      </c>
      <c r="B62" s="175"/>
      <c r="C62" s="175"/>
      <c r="D62" s="175"/>
      <c r="E62" s="175"/>
      <c r="F62" s="175"/>
      <c r="G62" s="175"/>
      <c r="H62" s="175"/>
      <c r="I62" s="175"/>
      <c r="J62" s="175"/>
      <c r="K62" s="175"/>
    </row>
    <row r="63" spans="1:11" ht="13.9">
      <c r="A63" s="175">
        <v>6</v>
      </c>
      <c r="B63" s="175"/>
      <c r="C63" s="175"/>
      <c r="D63" s="175"/>
      <c r="E63" s="175"/>
      <c r="F63" s="175"/>
      <c r="G63" s="175"/>
      <c r="H63" s="175"/>
      <c r="I63" s="175"/>
      <c r="J63" s="175"/>
      <c r="K63" s="175"/>
    </row>
    <row r="64" spans="1:11" ht="13.9">
      <c r="A64" s="175">
        <v>7</v>
      </c>
      <c r="B64" s="175"/>
      <c r="C64" s="175"/>
      <c r="D64" s="175"/>
      <c r="E64" s="175"/>
      <c r="F64" s="175"/>
      <c r="G64" s="175"/>
      <c r="H64" s="175"/>
      <c r="I64" s="175"/>
      <c r="J64" s="175"/>
      <c r="K64" s="175"/>
    </row>
    <row r="65" spans="1:11" ht="13.9">
      <c r="A65" s="175">
        <v>8</v>
      </c>
      <c r="B65" s="175"/>
      <c r="C65" s="175"/>
      <c r="D65" s="175"/>
      <c r="E65" s="175"/>
      <c r="F65" s="175"/>
      <c r="G65" s="175"/>
      <c r="H65" s="175"/>
      <c r="I65" s="175"/>
      <c r="J65" s="175"/>
      <c r="K65" s="175"/>
    </row>
    <row r="66" spans="1:11" ht="13.9">
      <c r="A66" s="175">
        <v>9</v>
      </c>
      <c r="B66" s="175"/>
      <c r="C66" s="175"/>
      <c r="D66" s="175"/>
      <c r="E66" s="175"/>
      <c r="F66" s="175"/>
      <c r="G66" s="175"/>
      <c r="H66" s="175"/>
      <c r="I66" s="175"/>
      <c r="J66" s="175"/>
      <c r="K66" s="175"/>
    </row>
    <row r="67" spans="1:11" ht="13.9">
      <c r="A67" s="175">
        <v>10</v>
      </c>
      <c r="B67" s="175"/>
      <c r="C67" s="175"/>
      <c r="D67" s="175"/>
      <c r="E67" s="175"/>
      <c r="F67" s="175"/>
      <c r="G67" s="175"/>
      <c r="H67" s="175"/>
      <c r="I67" s="175"/>
      <c r="J67" s="175"/>
      <c r="K67" s="175"/>
    </row>
    <row r="68" spans="1:11" ht="13.9">
      <c r="A68" s="175">
        <v>11</v>
      </c>
      <c r="B68" s="175"/>
      <c r="C68" s="175"/>
      <c r="D68" s="175"/>
      <c r="E68" s="175"/>
      <c r="F68" s="175"/>
      <c r="G68" s="175"/>
      <c r="H68" s="175"/>
      <c r="I68" s="175"/>
      <c r="J68" s="175"/>
      <c r="K68" s="175"/>
    </row>
    <row r="69" spans="1:11" ht="13.9">
      <c r="A69" s="175">
        <v>12</v>
      </c>
      <c r="B69" s="175"/>
      <c r="C69" s="175"/>
      <c r="D69" s="175"/>
      <c r="E69" s="175"/>
      <c r="F69" s="175"/>
      <c r="G69" s="175"/>
      <c r="H69" s="175"/>
      <c r="I69" s="175"/>
      <c r="J69" s="175"/>
      <c r="K69" s="175"/>
    </row>
    <row r="70" spans="1:11" ht="13.9">
      <c r="A70" s="175">
        <v>13</v>
      </c>
      <c r="B70" s="175"/>
      <c r="C70" s="175"/>
      <c r="D70" s="175"/>
      <c r="E70" s="175"/>
      <c r="F70" s="175"/>
      <c r="G70" s="175"/>
      <c r="H70" s="175"/>
      <c r="I70" s="175"/>
      <c r="J70" s="175"/>
      <c r="K70" s="175"/>
    </row>
    <row r="71" spans="1:11" ht="13.9">
      <c r="A71" s="175">
        <v>14</v>
      </c>
      <c r="B71" s="175"/>
      <c r="C71" s="175"/>
      <c r="D71" s="175"/>
      <c r="E71" s="175"/>
      <c r="F71" s="175"/>
      <c r="G71" s="175"/>
      <c r="H71" s="175"/>
      <c r="I71" s="175"/>
      <c r="J71" s="175"/>
      <c r="K71" s="175"/>
    </row>
    <row r="72" spans="1:11" ht="13.9">
      <c r="A72" s="175">
        <v>15</v>
      </c>
      <c r="B72" s="175"/>
      <c r="C72" s="175"/>
      <c r="D72" s="175"/>
      <c r="E72" s="175"/>
      <c r="F72" s="175"/>
      <c r="G72" s="175"/>
      <c r="H72" s="175"/>
      <c r="I72" s="175"/>
      <c r="J72" s="175"/>
      <c r="K72" s="175"/>
    </row>
    <row r="73" spans="1:11" ht="13.9">
      <c r="A73" s="175">
        <v>16</v>
      </c>
      <c r="B73" s="175"/>
      <c r="C73" s="175"/>
      <c r="D73" s="175"/>
      <c r="E73" s="175"/>
      <c r="F73" s="175"/>
      <c r="G73" s="175"/>
      <c r="H73" s="175"/>
      <c r="I73" s="175"/>
      <c r="J73" s="175"/>
      <c r="K73" s="175"/>
    </row>
    <row r="74" spans="1:11" ht="13.9">
      <c r="A74" s="175">
        <v>17</v>
      </c>
      <c r="B74" s="175"/>
      <c r="C74" s="175"/>
      <c r="D74" s="175"/>
      <c r="E74" s="175"/>
      <c r="F74" s="175"/>
      <c r="G74" s="175"/>
      <c r="H74" s="175"/>
      <c r="I74" s="175"/>
      <c r="J74" s="175"/>
      <c r="K74" s="175"/>
    </row>
    <row r="75" spans="1:11" ht="13.9">
      <c r="A75" s="175">
        <v>18</v>
      </c>
      <c r="B75" s="175"/>
      <c r="C75" s="175"/>
      <c r="D75" s="175"/>
      <c r="E75" s="175"/>
      <c r="F75" s="175"/>
      <c r="G75" s="175"/>
      <c r="H75" s="175"/>
      <c r="I75" s="175"/>
      <c r="J75" s="175"/>
      <c r="K75" s="175"/>
    </row>
    <row r="76" spans="1:11" ht="13.9">
      <c r="A76" s="175">
        <v>19</v>
      </c>
      <c r="B76" s="175"/>
      <c r="C76" s="175"/>
      <c r="D76" s="175"/>
      <c r="E76" s="175"/>
      <c r="F76" s="175"/>
      <c r="G76" s="175"/>
      <c r="H76" s="175"/>
      <c r="I76" s="175"/>
      <c r="J76" s="175"/>
      <c r="K76" s="175"/>
    </row>
    <row r="77" spans="1:11">
      <c r="A77" s="175">
        <v>20</v>
      </c>
      <c r="B77" s="176"/>
      <c r="C77" s="176"/>
      <c r="D77" s="176"/>
      <c r="E77" s="176"/>
      <c r="F77" s="176"/>
      <c r="G77" s="176"/>
      <c r="H77" s="176"/>
      <c r="I77" s="176"/>
      <c r="J77" s="176"/>
      <c r="K77" s="176"/>
    </row>
    <row r="78" spans="1:11">
      <c r="A78" s="175">
        <v>21</v>
      </c>
      <c r="B78" s="176"/>
      <c r="C78" s="176"/>
      <c r="D78" s="176"/>
      <c r="E78" s="176"/>
      <c r="F78" s="176"/>
      <c r="G78" s="176"/>
      <c r="H78" s="176"/>
      <c r="I78" s="176"/>
      <c r="J78" s="176"/>
      <c r="K78" s="176"/>
    </row>
    <row r="79" spans="1:11">
      <c r="A79" s="175">
        <v>22</v>
      </c>
      <c r="B79" s="176"/>
      <c r="C79" s="176"/>
      <c r="D79" s="176"/>
      <c r="E79" s="176"/>
      <c r="F79" s="176"/>
      <c r="G79" s="176"/>
      <c r="H79" s="176"/>
      <c r="I79" s="176"/>
      <c r="J79" s="176"/>
      <c r="K79" s="176"/>
    </row>
    <row r="80" spans="1:11">
      <c r="A80" s="175">
        <v>23</v>
      </c>
      <c r="B80" s="176"/>
      <c r="C80" s="176"/>
      <c r="D80" s="176"/>
      <c r="E80" s="176"/>
      <c r="F80" s="176"/>
      <c r="G80" s="176"/>
      <c r="H80" s="176"/>
      <c r="I80" s="176"/>
      <c r="J80" s="176"/>
      <c r="K80" s="176"/>
    </row>
    <row r="81" spans="1:11">
      <c r="A81" s="175">
        <v>24</v>
      </c>
      <c r="B81" s="176"/>
      <c r="C81" s="176"/>
      <c r="D81" s="176"/>
      <c r="E81" s="176"/>
      <c r="F81" s="176"/>
      <c r="G81" s="176"/>
      <c r="H81" s="176"/>
      <c r="I81" s="176"/>
      <c r="J81" s="176"/>
      <c r="K81" s="176"/>
    </row>
    <row r="82" spans="1:11">
      <c r="A82" s="175">
        <v>25</v>
      </c>
      <c r="B82" s="176"/>
      <c r="C82" s="176"/>
      <c r="D82" s="176"/>
      <c r="E82" s="176"/>
      <c r="F82" s="176"/>
      <c r="G82" s="176"/>
      <c r="H82" s="176"/>
      <c r="I82" s="176"/>
      <c r="J82" s="176"/>
      <c r="K82" s="176"/>
    </row>
    <row r="83" spans="1:11">
      <c r="A83" s="175">
        <v>26</v>
      </c>
      <c r="B83" s="176"/>
      <c r="C83" s="176"/>
      <c r="D83" s="176"/>
      <c r="E83" s="176"/>
      <c r="F83" s="176"/>
      <c r="G83" s="176"/>
      <c r="H83" s="176"/>
      <c r="I83" s="176"/>
      <c r="J83" s="176"/>
      <c r="K83" s="176"/>
    </row>
    <row r="84" spans="1:11">
      <c r="A84" s="175">
        <v>27</v>
      </c>
      <c r="B84" s="176"/>
      <c r="C84" s="176"/>
      <c r="D84" s="176"/>
      <c r="E84" s="176"/>
      <c r="F84" s="176"/>
      <c r="G84" s="176"/>
      <c r="H84" s="176"/>
      <c r="I84" s="176"/>
      <c r="J84" s="176"/>
      <c r="K84" s="176"/>
    </row>
    <row r="85" spans="1:11">
      <c r="A85" s="175">
        <v>28</v>
      </c>
      <c r="B85" s="176"/>
      <c r="C85" s="176"/>
      <c r="D85" s="176"/>
      <c r="E85" s="176"/>
      <c r="F85" s="176"/>
      <c r="G85" s="176"/>
      <c r="H85" s="176"/>
      <c r="I85" s="176"/>
      <c r="J85" s="176"/>
      <c r="K85" s="176"/>
    </row>
    <row r="86" spans="1:11">
      <c r="A86" s="175">
        <v>29</v>
      </c>
      <c r="B86" s="176"/>
      <c r="C86" s="176"/>
      <c r="D86" s="176"/>
      <c r="E86" s="176"/>
      <c r="F86" s="176"/>
      <c r="G86" s="176"/>
      <c r="H86" s="176"/>
      <c r="I86" s="176"/>
      <c r="J86" s="176"/>
      <c r="K86" s="176"/>
    </row>
    <row r="87" spans="1:11">
      <c r="A87" s="175">
        <v>30</v>
      </c>
      <c r="B87" s="176"/>
      <c r="C87" s="176"/>
      <c r="D87" s="176"/>
      <c r="E87" s="176"/>
      <c r="F87" s="176"/>
      <c r="G87" s="176"/>
      <c r="H87" s="176"/>
      <c r="I87" s="176"/>
      <c r="J87" s="176"/>
      <c r="K87" s="176"/>
    </row>
    <row r="88" spans="1:11">
      <c r="A88" s="175">
        <v>31</v>
      </c>
      <c r="B88" s="176"/>
      <c r="C88" s="176"/>
      <c r="D88" s="176"/>
      <c r="E88" s="176"/>
      <c r="F88" s="176"/>
      <c r="G88" s="176"/>
      <c r="H88" s="176"/>
      <c r="I88" s="176"/>
      <c r="J88" s="176"/>
      <c r="K88" s="176"/>
    </row>
    <row r="89" spans="1:11">
      <c r="A89" s="175">
        <v>32</v>
      </c>
      <c r="B89" s="176"/>
      <c r="C89" s="176"/>
      <c r="D89" s="176"/>
      <c r="E89" s="176"/>
      <c r="F89" s="176"/>
      <c r="G89" s="176"/>
      <c r="H89" s="176"/>
      <c r="I89" s="176"/>
      <c r="J89" s="176"/>
      <c r="K89" s="176"/>
    </row>
    <row r="90" spans="1:11">
      <c r="A90" s="175">
        <v>33</v>
      </c>
      <c r="B90" s="176"/>
      <c r="C90" s="176"/>
      <c r="D90" s="176"/>
      <c r="E90" s="176"/>
      <c r="F90" s="176"/>
      <c r="G90" s="176"/>
      <c r="H90" s="176"/>
      <c r="I90" s="176"/>
      <c r="J90" s="176"/>
      <c r="K90" s="176"/>
    </row>
    <row r="91" spans="1:11">
      <c r="A91" s="175">
        <v>34</v>
      </c>
      <c r="B91" s="176"/>
      <c r="C91" s="176"/>
      <c r="D91" s="176"/>
      <c r="E91" s="176"/>
      <c r="F91" s="176"/>
      <c r="G91" s="176"/>
      <c r="H91" s="176"/>
      <c r="I91" s="176"/>
      <c r="J91" s="176"/>
      <c r="K91" s="176"/>
    </row>
    <row r="92" spans="1:11">
      <c r="A92" s="175">
        <v>35</v>
      </c>
      <c r="B92" s="176"/>
      <c r="C92" s="176"/>
      <c r="D92" s="176"/>
      <c r="E92" s="176"/>
      <c r="F92" s="176"/>
      <c r="G92" s="176"/>
      <c r="H92" s="176"/>
      <c r="I92" s="176"/>
      <c r="J92" s="176"/>
      <c r="K92" s="176"/>
    </row>
    <row r="93" spans="1:11">
      <c r="A93" s="175">
        <v>36</v>
      </c>
      <c r="B93" s="176"/>
      <c r="C93" s="176"/>
      <c r="D93" s="176"/>
      <c r="E93" s="176"/>
      <c r="F93" s="176"/>
      <c r="G93" s="176"/>
      <c r="H93" s="176"/>
      <c r="I93" s="176"/>
      <c r="J93" s="176"/>
      <c r="K93" s="176"/>
    </row>
    <row r="94" spans="1:11">
      <c r="A94" s="175">
        <v>37</v>
      </c>
      <c r="B94" s="176"/>
      <c r="C94" s="176"/>
      <c r="D94" s="176"/>
      <c r="E94" s="176"/>
      <c r="F94" s="176"/>
      <c r="G94" s="176"/>
      <c r="H94" s="176"/>
      <c r="I94" s="176"/>
      <c r="J94" s="176"/>
      <c r="K94" s="176"/>
    </row>
    <row r="95" spans="1:11">
      <c r="A95" s="175">
        <v>38</v>
      </c>
      <c r="B95" s="176"/>
      <c r="C95" s="176"/>
      <c r="D95" s="176"/>
      <c r="E95" s="176"/>
      <c r="F95" s="176"/>
      <c r="G95" s="176"/>
      <c r="H95" s="176"/>
      <c r="I95" s="176"/>
      <c r="J95" s="176"/>
      <c r="K95" s="176"/>
    </row>
    <row r="96" spans="1:11">
      <c r="A96" s="175">
        <v>39</v>
      </c>
      <c r="B96" s="176"/>
      <c r="C96" s="176"/>
      <c r="D96" s="176"/>
      <c r="E96" s="176"/>
      <c r="F96" s="176"/>
      <c r="G96" s="176"/>
      <c r="H96" s="176"/>
      <c r="I96" s="176"/>
      <c r="J96" s="176"/>
      <c r="K96" s="176"/>
    </row>
    <row r="97" spans="1:11">
      <c r="A97" s="175">
        <v>40</v>
      </c>
      <c r="B97" s="176"/>
      <c r="C97" s="176"/>
      <c r="D97" s="176"/>
      <c r="E97" s="176"/>
      <c r="F97" s="176"/>
      <c r="G97" s="176"/>
      <c r="H97" s="176"/>
      <c r="I97" s="176"/>
      <c r="J97" s="176"/>
      <c r="K97" s="176"/>
    </row>
    <row r="98" spans="1:11">
      <c r="A98" s="175">
        <v>41</v>
      </c>
      <c r="B98" s="176"/>
      <c r="C98" s="176"/>
      <c r="D98" s="176"/>
      <c r="E98" s="176"/>
      <c r="F98" s="176"/>
      <c r="G98" s="176"/>
      <c r="H98" s="176"/>
      <c r="I98" s="176"/>
      <c r="J98" s="176"/>
      <c r="K98" s="176"/>
    </row>
    <row r="99" spans="1:11">
      <c r="A99" s="175">
        <v>42</v>
      </c>
      <c r="B99" s="176"/>
      <c r="C99" s="176"/>
      <c r="D99" s="176"/>
      <c r="E99" s="176"/>
      <c r="F99" s="176"/>
      <c r="G99" s="176"/>
      <c r="H99" s="176"/>
      <c r="I99" s="176"/>
      <c r="J99" s="176"/>
      <c r="K99" s="176"/>
    </row>
    <row r="100" spans="1:11">
      <c r="A100" s="175">
        <v>43</v>
      </c>
      <c r="B100" s="176"/>
      <c r="C100" s="176"/>
      <c r="D100" s="176"/>
      <c r="E100" s="176"/>
      <c r="F100" s="176"/>
      <c r="G100" s="176"/>
      <c r="H100" s="176"/>
      <c r="I100" s="176"/>
      <c r="J100" s="176"/>
      <c r="K100" s="176"/>
    </row>
    <row r="101" spans="1:11">
      <c r="A101" s="175">
        <v>44</v>
      </c>
      <c r="B101" s="176"/>
      <c r="C101" s="176"/>
      <c r="D101" s="176"/>
      <c r="E101" s="176"/>
      <c r="F101" s="176"/>
      <c r="G101" s="176"/>
      <c r="H101" s="176"/>
      <c r="I101" s="176"/>
      <c r="J101" s="176"/>
      <c r="K101" s="176"/>
    </row>
    <row r="102" spans="1:11">
      <c r="A102" s="175">
        <v>45</v>
      </c>
      <c r="B102" s="176"/>
      <c r="C102" s="176"/>
      <c r="D102" s="176"/>
      <c r="E102" s="176"/>
      <c r="F102" s="176"/>
      <c r="G102" s="176"/>
      <c r="H102" s="176"/>
      <c r="I102" s="176"/>
      <c r="J102" s="176"/>
      <c r="K102" s="176"/>
    </row>
    <row r="103" spans="1:11">
      <c r="A103" s="175">
        <v>46</v>
      </c>
      <c r="B103" s="176"/>
      <c r="C103" s="176"/>
      <c r="D103" s="176"/>
      <c r="E103" s="176"/>
      <c r="F103" s="176"/>
      <c r="G103" s="176"/>
      <c r="H103" s="176"/>
      <c r="I103" s="176"/>
      <c r="J103" s="176"/>
      <c r="K103" s="176"/>
    </row>
    <row r="104" spans="1:11">
      <c r="A104" s="175">
        <v>47</v>
      </c>
      <c r="B104" s="176"/>
      <c r="C104" s="176"/>
      <c r="D104" s="176"/>
      <c r="E104" s="176"/>
      <c r="F104" s="176"/>
      <c r="G104" s="176"/>
      <c r="H104" s="176"/>
      <c r="I104" s="176"/>
      <c r="J104" s="176"/>
      <c r="K104" s="176"/>
    </row>
    <row r="105" spans="1:11">
      <c r="A105" s="175">
        <v>48</v>
      </c>
      <c r="B105" s="176"/>
      <c r="C105" s="176"/>
      <c r="D105" s="176"/>
      <c r="E105" s="176"/>
      <c r="F105" s="176"/>
      <c r="G105" s="176"/>
      <c r="H105" s="176"/>
      <c r="I105" s="176"/>
      <c r="J105" s="176"/>
      <c r="K105" s="176"/>
    </row>
    <row r="106" spans="1:11" ht="13.9">
      <c r="A106" s="118"/>
      <c r="B106" s="118"/>
      <c r="C106" s="118"/>
      <c r="D106" s="118"/>
      <c r="E106" s="118"/>
      <c r="F106" s="118"/>
      <c r="G106" s="118"/>
      <c r="H106" s="118"/>
      <c r="I106" s="118"/>
      <c r="J106" s="118"/>
      <c r="K106" s="118"/>
    </row>
    <row r="107" spans="1:11" ht="13.9">
      <c r="A107" s="118"/>
      <c r="B107" s="118"/>
      <c r="C107" s="118"/>
      <c r="D107" s="118"/>
      <c r="E107" s="118"/>
      <c r="F107" s="118"/>
      <c r="G107" s="118"/>
      <c r="H107" s="118"/>
      <c r="I107" s="118"/>
      <c r="J107" s="118"/>
      <c r="K107" s="118"/>
    </row>
    <row r="108" spans="1:11" ht="13.9">
      <c r="A108" s="118"/>
      <c r="B108" s="118"/>
      <c r="C108" s="118"/>
      <c r="D108" s="118"/>
      <c r="E108" s="118"/>
      <c r="F108" s="118"/>
      <c r="G108" s="118"/>
      <c r="H108" s="118"/>
      <c r="I108" s="118"/>
      <c r="J108" s="118"/>
      <c r="K108" s="118"/>
    </row>
    <row r="109" spans="1:11" ht="13.9">
      <c r="A109" s="118"/>
      <c r="B109" s="118"/>
      <c r="C109" s="118"/>
      <c r="D109" s="118"/>
      <c r="E109" s="118"/>
      <c r="F109" s="118"/>
      <c r="G109" s="118"/>
      <c r="H109" s="118"/>
      <c r="I109" s="118"/>
      <c r="J109" s="118"/>
      <c r="K109" s="118"/>
    </row>
    <row r="110" spans="1:11" ht="13.9">
      <c r="A110" s="118"/>
      <c r="B110" s="118"/>
      <c r="C110" s="118"/>
      <c r="D110" s="118"/>
      <c r="E110" s="118"/>
      <c r="F110" s="118"/>
      <c r="G110" s="118"/>
      <c r="H110" s="118"/>
      <c r="I110" s="118"/>
      <c r="J110" s="118"/>
      <c r="K110" s="118"/>
    </row>
    <row r="111" spans="1:11" ht="13.9">
      <c r="A111" s="118"/>
      <c r="B111" s="118"/>
      <c r="C111" s="118"/>
      <c r="D111" s="118"/>
      <c r="E111" s="118"/>
      <c r="F111" s="118"/>
      <c r="G111" s="118"/>
      <c r="H111" s="118"/>
      <c r="I111" s="118"/>
      <c r="J111" s="118"/>
      <c r="K111" s="118"/>
    </row>
    <row r="112" spans="1:11" ht="13.9">
      <c r="A112" s="118"/>
      <c r="B112" s="118"/>
      <c r="C112" s="118"/>
      <c r="D112" s="118"/>
      <c r="E112" s="118"/>
      <c r="F112" s="118"/>
      <c r="G112" s="118"/>
      <c r="H112" s="118"/>
      <c r="I112" s="118"/>
      <c r="J112" s="118"/>
      <c r="K112" s="118"/>
    </row>
    <row r="113" spans="1:11" ht="13.9">
      <c r="A113" s="118"/>
      <c r="B113" s="118"/>
      <c r="C113" s="118"/>
      <c r="D113" s="118"/>
      <c r="E113" s="118"/>
      <c r="F113" s="118"/>
      <c r="G113" s="118"/>
      <c r="H113" s="118"/>
      <c r="I113" s="118"/>
      <c r="J113" s="118"/>
      <c r="K113" s="118"/>
    </row>
    <row r="114" spans="1:11" ht="13.9">
      <c r="A114" s="118"/>
      <c r="B114" s="118"/>
      <c r="C114" s="118"/>
      <c r="D114" s="118"/>
      <c r="E114" s="118"/>
      <c r="F114" s="118"/>
      <c r="G114" s="118"/>
      <c r="H114" s="118"/>
      <c r="I114" s="118"/>
      <c r="J114" s="118"/>
      <c r="K114" s="118"/>
    </row>
    <row r="115" spans="1:11" ht="13.9">
      <c r="A115" s="118"/>
      <c r="B115" s="118"/>
      <c r="C115" s="118"/>
      <c r="D115" s="118"/>
      <c r="E115" s="118"/>
      <c r="F115" s="118"/>
      <c r="G115" s="118"/>
      <c r="H115" s="118"/>
      <c r="I115" s="118"/>
      <c r="J115" s="118"/>
      <c r="K115" s="118"/>
    </row>
    <row r="116" spans="1:11" ht="13.9">
      <c r="A116" s="118"/>
      <c r="B116" s="118"/>
      <c r="C116" s="118"/>
      <c r="D116" s="118"/>
      <c r="E116" s="118"/>
      <c r="F116" s="118"/>
      <c r="G116" s="118"/>
      <c r="H116" s="118"/>
      <c r="I116" s="118"/>
      <c r="J116" s="118"/>
      <c r="K116" s="118"/>
    </row>
    <row r="117" spans="1:11" ht="13.9">
      <c r="A117" s="118"/>
      <c r="B117" s="118"/>
      <c r="C117" s="118"/>
      <c r="D117" s="118"/>
      <c r="E117" s="118"/>
      <c r="F117" s="118"/>
      <c r="G117" s="118"/>
      <c r="H117" s="118"/>
      <c r="I117" s="118"/>
      <c r="J117" s="118"/>
      <c r="K117" s="118"/>
    </row>
    <row r="118" spans="1:11" ht="13.9">
      <c r="A118" s="118"/>
      <c r="B118" s="118"/>
      <c r="C118" s="118"/>
      <c r="D118" s="118"/>
      <c r="E118" s="118"/>
      <c r="F118" s="118"/>
      <c r="G118" s="118"/>
      <c r="H118" s="118"/>
      <c r="I118" s="118"/>
      <c r="J118" s="118"/>
      <c r="K118" s="118"/>
    </row>
    <row r="119" spans="1:11" ht="13.9">
      <c r="A119" s="118"/>
      <c r="B119" s="118"/>
      <c r="C119" s="118"/>
      <c r="D119" s="118"/>
      <c r="E119" s="118"/>
      <c r="F119" s="118"/>
      <c r="G119" s="118"/>
      <c r="H119" s="118"/>
      <c r="I119" s="118"/>
      <c r="J119" s="118"/>
      <c r="K119" s="118"/>
    </row>
    <row r="120" spans="1:11" ht="13.9">
      <c r="A120" s="118"/>
      <c r="B120" s="118"/>
      <c r="C120" s="118"/>
      <c r="D120" s="118"/>
      <c r="E120" s="118"/>
      <c r="F120" s="118"/>
      <c r="G120" s="118"/>
      <c r="H120" s="118"/>
      <c r="I120" s="118"/>
      <c r="J120" s="118"/>
      <c r="K120" s="118"/>
    </row>
    <row r="121" spans="1:11" ht="13.9">
      <c r="A121" s="118"/>
      <c r="B121" s="118"/>
      <c r="C121" s="118"/>
      <c r="D121" s="118"/>
      <c r="E121" s="118"/>
      <c r="F121" s="118"/>
      <c r="G121" s="118"/>
      <c r="H121" s="118"/>
      <c r="I121" s="118"/>
      <c r="J121" s="118"/>
      <c r="K121" s="118"/>
    </row>
    <row r="122" spans="1:11" ht="13.9">
      <c r="A122" s="118"/>
      <c r="B122" s="118"/>
      <c r="C122" s="118"/>
      <c r="D122" s="118"/>
      <c r="E122" s="118"/>
      <c r="F122" s="118"/>
      <c r="G122" s="118"/>
      <c r="H122" s="118"/>
      <c r="I122" s="118"/>
      <c r="J122" s="118"/>
      <c r="K122" s="118"/>
    </row>
    <row r="123" spans="1:11" ht="13.9">
      <c r="A123" s="118"/>
      <c r="B123" s="118"/>
      <c r="C123" s="118"/>
      <c r="D123" s="118"/>
      <c r="E123" s="118"/>
      <c r="F123" s="118"/>
      <c r="G123" s="118"/>
      <c r="H123" s="118"/>
      <c r="I123" s="118"/>
      <c r="J123" s="118"/>
      <c r="K123" s="118"/>
    </row>
    <row r="124" spans="1:11" ht="13.9">
      <c r="A124" s="118"/>
      <c r="B124" s="118"/>
      <c r="C124" s="118"/>
      <c r="D124" s="118"/>
      <c r="E124" s="118"/>
      <c r="F124" s="118"/>
      <c r="G124" s="118"/>
      <c r="H124" s="118"/>
      <c r="I124" s="118"/>
      <c r="J124" s="118"/>
      <c r="K124" s="118"/>
    </row>
    <row r="125" spans="1:11" ht="13.15" customHeight="1">
      <c r="A125" s="118"/>
      <c r="B125" s="118"/>
      <c r="C125" s="118"/>
      <c r="D125" s="118"/>
      <c r="E125" s="118"/>
      <c r="F125" s="118"/>
      <c r="G125" s="118"/>
      <c r="H125" s="118"/>
      <c r="I125" s="118"/>
      <c r="J125" s="118"/>
      <c r="K125" s="118"/>
    </row>
    <row r="126" spans="1:11" ht="13.9">
      <c r="A126" s="118"/>
      <c r="B126" s="118"/>
      <c r="C126" s="118"/>
      <c r="D126" s="118"/>
      <c r="E126" s="118"/>
      <c r="F126" s="118"/>
      <c r="G126" s="118"/>
      <c r="H126" s="118"/>
      <c r="I126" s="118"/>
      <c r="J126" s="118"/>
      <c r="K126" s="118"/>
    </row>
    <row r="127" spans="1:11" ht="13.9">
      <c r="A127" s="118"/>
      <c r="B127" s="118"/>
      <c r="C127" s="118"/>
      <c r="D127" s="118"/>
      <c r="E127" s="118"/>
      <c r="F127" s="118"/>
      <c r="G127" s="118"/>
      <c r="H127" s="118"/>
      <c r="I127" s="118"/>
      <c r="J127" s="118"/>
      <c r="K127" s="118"/>
    </row>
    <row r="128" spans="1:11" ht="13.9">
      <c r="A128" s="118"/>
      <c r="B128" s="118"/>
      <c r="C128" s="118"/>
      <c r="D128" s="118"/>
      <c r="E128" s="118"/>
      <c r="F128" s="118"/>
      <c r="G128" s="118"/>
      <c r="H128" s="118"/>
      <c r="I128" s="118"/>
      <c r="J128" s="118"/>
      <c r="K128" s="118"/>
    </row>
    <row r="129" spans="1:11" ht="13.9">
      <c r="A129" s="118"/>
      <c r="B129" s="118"/>
      <c r="C129" s="118"/>
      <c r="D129" s="118"/>
      <c r="E129" s="118"/>
      <c r="F129" s="118"/>
      <c r="G129" s="118"/>
      <c r="H129" s="118"/>
      <c r="I129" s="118"/>
      <c r="J129" s="118"/>
      <c r="K129" s="118"/>
    </row>
    <row r="130" spans="1:11" ht="13.9">
      <c r="A130" s="118"/>
      <c r="B130" s="118"/>
      <c r="C130" s="118"/>
      <c r="D130" s="118"/>
      <c r="E130" s="118"/>
      <c r="F130" s="118"/>
      <c r="G130" s="118"/>
      <c r="H130" s="118"/>
      <c r="I130" s="118"/>
      <c r="J130" s="118"/>
      <c r="K130" s="118"/>
    </row>
    <row r="131" spans="1:11" ht="13.9">
      <c r="A131" s="118"/>
      <c r="B131" s="118"/>
      <c r="C131" s="118"/>
      <c r="D131" s="118"/>
      <c r="E131" s="118"/>
      <c r="F131" s="118"/>
      <c r="G131" s="118"/>
      <c r="H131" s="118"/>
      <c r="I131" s="118"/>
      <c r="J131" s="118"/>
      <c r="K131" s="118"/>
    </row>
    <row r="132" spans="1:11" ht="13.9">
      <c r="A132" s="118"/>
      <c r="B132" s="118"/>
      <c r="C132" s="118"/>
      <c r="D132" s="118"/>
      <c r="E132" s="118"/>
      <c r="F132" s="118"/>
      <c r="G132" s="118"/>
      <c r="H132" s="118"/>
      <c r="I132" s="118"/>
      <c r="J132" s="118"/>
      <c r="K132" s="118"/>
    </row>
    <row r="133" spans="1:11" ht="13.9">
      <c r="A133" s="118"/>
      <c r="B133" s="118"/>
      <c r="C133" s="118"/>
      <c r="D133" s="118"/>
      <c r="E133" s="118"/>
      <c r="F133" s="118"/>
      <c r="G133" s="118"/>
      <c r="H133" s="118"/>
      <c r="I133" s="118"/>
      <c r="J133" s="118"/>
      <c r="K133" s="118"/>
    </row>
    <row r="134" spans="1:11" ht="13.9">
      <c r="A134" s="118"/>
      <c r="B134" s="118"/>
      <c r="C134" s="118"/>
      <c r="D134" s="118"/>
      <c r="E134" s="118"/>
      <c r="F134" s="118"/>
      <c r="G134" s="118"/>
      <c r="H134" s="118"/>
      <c r="I134" s="118"/>
      <c r="J134" s="118"/>
      <c r="K134" s="118"/>
    </row>
    <row r="135" spans="1:11" ht="13.9">
      <c r="A135" s="118"/>
      <c r="B135" s="118"/>
      <c r="C135" s="118"/>
      <c r="D135" s="118"/>
      <c r="E135" s="118"/>
      <c r="F135" s="118"/>
      <c r="G135" s="118"/>
      <c r="H135" s="118"/>
      <c r="I135" s="118"/>
      <c r="J135" s="118"/>
      <c r="K135" s="118"/>
    </row>
    <row r="136" spans="1:11" ht="13.9">
      <c r="A136" s="118"/>
      <c r="B136" s="118"/>
      <c r="C136" s="118"/>
      <c r="D136" s="118"/>
      <c r="E136" s="118"/>
      <c r="F136" s="118"/>
      <c r="G136" s="118"/>
      <c r="H136" s="118"/>
      <c r="I136" s="118"/>
      <c r="J136" s="118"/>
      <c r="K136" s="118"/>
    </row>
    <row r="137" spans="1:11" ht="13.9">
      <c r="A137" s="118"/>
      <c r="B137" s="118"/>
      <c r="C137" s="118"/>
      <c r="D137" s="118"/>
      <c r="E137" s="118"/>
      <c r="F137" s="118"/>
      <c r="G137" s="118"/>
      <c r="H137" s="118"/>
      <c r="I137" s="118"/>
      <c r="J137" s="118"/>
      <c r="K137" s="118"/>
    </row>
    <row r="138" spans="1:11" ht="13.9">
      <c r="A138" s="118"/>
      <c r="B138" s="118"/>
      <c r="C138" s="118"/>
      <c r="D138" s="118"/>
      <c r="E138" s="118"/>
      <c r="F138" s="118"/>
      <c r="G138" s="118"/>
      <c r="H138" s="118"/>
      <c r="I138" s="118"/>
      <c r="J138" s="118"/>
      <c r="K138" s="118"/>
    </row>
    <row r="139" spans="1:11" ht="13.9">
      <c r="A139" s="118"/>
      <c r="B139" s="118"/>
      <c r="C139" s="118"/>
      <c r="D139" s="118"/>
      <c r="E139" s="118"/>
      <c r="F139" s="118"/>
      <c r="G139" s="118"/>
      <c r="H139" s="118"/>
      <c r="I139" s="118"/>
      <c r="J139" s="118"/>
      <c r="K139" s="118"/>
    </row>
    <row r="140" spans="1:11" ht="13.9">
      <c r="A140" s="118"/>
      <c r="B140" s="118"/>
      <c r="C140" s="118"/>
      <c r="D140" s="118"/>
      <c r="E140" s="118"/>
      <c r="F140" s="118"/>
      <c r="G140" s="118"/>
      <c r="H140" s="118"/>
      <c r="I140" s="118"/>
      <c r="J140" s="118"/>
      <c r="K140" s="118"/>
    </row>
    <row r="141" spans="1:11" ht="13.9">
      <c r="A141" s="118"/>
      <c r="B141" s="118"/>
      <c r="C141" s="118"/>
      <c r="D141" s="118"/>
      <c r="E141" s="118"/>
      <c r="F141" s="118"/>
      <c r="G141" s="118"/>
      <c r="H141" s="118"/>
      <c r="I141" s="118"/>
      <c r="J141" s="118"/>
      <c r="K141" s="118"/>
    </row>
    <row r="142" spans="1:11" ht="13.9">
      <c r="A142" s="118"/>
      <c r="B142" s="118"/>
      <c r="C142" s="118"/>
      <c r="D142" s="118"/>
      <c r="E142" s="118"/>
      <c r="F142" s="118"/>
      <c r="G142" s="118"/>
      <c r="H142" s="118"/>
      <c r="I142" s="118"/>
      <c r="J142" s="118"/>
      <c r="K142" s="118"/>
    </row>
    <row r="143" spans="1:11" ht="13.9">
      <c r="A143" s="118"/>
      <c r="B143" s="118"/>
      <c r="C143" s="118"/>
      <c r="D143" s="118"/>
      <c r="E143" s="118"/>
      <c r="F143" s="118"/>
      <c r="G143" s="118"/>
      <c r="H143" s="118"/>
      <c r="I143" s="118"/>
      <c r="J143" s="118"/>
      <c r="K143" s="118"/>
    </row>
    <row r="144" spans="1:11" ht="13.9">
      <c r="A144" s="118"/>
      <c r="B144" s="118"/>
      <c r="C144" s="118"/>
      <c r="D144" s="118"/>
      <c r="E144" s="118"/>
      <c r="F144" s="118"/>
      <c r="G144" s="118"/>
      <c r="H144" s="118"/>
      <c r="I144" s="118"/>
      <c r="J144" s="118"/>
      <c r="K144" s="118"/>
    </row>
    <row r="145" spans="1:11" ht="13.9">
      <c r="A145" s="118"/>
      <c r="B145" s="118"/>
      <c r="C145" s="118"/>
      <c r="D145" s="118"/>
      <c r="E145" s="118"/>
      <c r="F145" s="118"/>
      <c r="G145" s="118"/>
      <c r="H145" s="118"/>
      <c r="I145" s="118"/>
      <c r="J145" s="118"/>
      <c r="K145" s="118"/>
    </row>
    <row r="146" spans="1:11" ht="13.9">
      <c r="A146" s="118"/>
      <c r="B146" s="118"/>
      <c r="C146" s="118"/>
      <c r="D146" s="118"/>
      <c r="E146" s="118"/>
      <c r="F146" s="118"/>
      <c r="G146" s="118"/>
      <c r="H146" s="118"/>
      <c r="I146" s="118"/>
      <c r="J146" s="118"/>
      <c r="K146" s="118"/>
    </row>
    <row r="147" spans="1:11" ht="13.9">
      <c r="A147" s="118"/>
      <c r="B147" s="118"/>
      <c r="C147" s="118"/>
      <c r="D147" s="118"/>
      <c r="E147" s="118"/>
      <c r="F147" s="118"/>
      <c r="G147" s="118"/>
      <c r="H147" s="118"/>
      <c r="I147" s="118"/>
      <c r="J147" s="118"/>
      <c r="K147" s="118"/>
    </row>
    <row r="148" spans="1:11" ht="13.9">
      <c r="A148" s="118"/>
      <c r="B148" s="118"/>
      <c r="C148" s="118"/>
      <c r="D148" s="118"/>
      <c r="E148" s="118"/>
      <c r="F148" s="118"/>
      <c r="G148" s="118"/>
      <c r="H148" s="118"/>
      <c r="I148" s="118"/>
      <c r="J148" s="118"/>
      <c r="K148" s="118"/>
    </row>
    <row r="149" spans="1:11" ht="13.9">
      <c r="A149" s="118"/>
      <c r="B149" s="118"/>
      <c r="C149" s="118"/>
      <c r="D149" s="118"/>
      <c r="E149" s="118"/>
      <c r="F149" s="118"/>
      <c r="G149" s="118"/>
      <c r="H149" s="118"/>
      <c r="I149" s="118"/>
      <c r="J149" s="118"/>
      <c r="K149" s="118"/>
    </row>
    <row r="150" spans="1:11" ht="13.9">
      <c r="A150" s="118"/>
      <c r="B150" s="118"/>
      <c r="C150" s="118"/>
      <c r="D150" s="118"/>
      <c r="E150" s="118"/>
      <c r="F150" s="118"/>
      <c r="G150" s="118"/>
      <c r="H150" s="118"/>
      <c r="I150" s="118"/>
      <c r="J150" s="118"/>
      <c r="K150" s="118"/>
    </row>
    <row r="151" spans="1:11" ht="13.9">
      <c r="A151" s="118"/>
      <c r="B151" s="118"/>
      <c r="C151" s="118"/>
      <c r="D151" s="118"/>
      <c r="E151" s="118"/>
      <c r="F151" s="118"/>
      <c r="G151" s="118"/>
      <c r="H151" s="118"/>
      <c r="I151" s="118"/>
      <c r="J151" s="118"/>
      <c r="K151" s="118"/>
    </row>
    <row r="152" spans="1:11" ht="13.9">
      <c r="A152" s="118"/>
      <c r="B152" s="118"/>
      <c r="C152" s="118"/>
      <c r="D152" s="118"/>
      <c r="E152" s="118"/>
      <c r="F152" s="118"/>
      <c r="G152" s="118"/>
      <c r="H152" s="118"/>
      <c r="I152" s="118"/>
      <c r="J152" s="118"/>
      <c r="K152" s="118"/>
    </row>
    <row r="153" spans="1:11" ht="13.9">
      <c r="A153" s="118"/>
      <c r="B153" s="118"/>
      <c r="C153" s="118"/>
      <c r="D153" s="118"/>
      <c r="E153" s="118"/>
      <c r="F153" s="118"/>
      <c r="G153" s="118"/>
      <c r="H153" s="118"/>
      <c r="I153" s="118"/>
      <c r="J153" s="118"/>
      <c r="K153" s="118"/>
    </row>
    <row r="154" spans="1:11" ht="13.9">
      <c r="A154" s="118"/>
      <c r="B154" s="118"/>
      <c r="C154" s="118"/>
      <c r="D154" s="118"/>
      <c r="E154" s="118"/>
      <c r="F154" s="118"/>
      <c r="G154" s="118"/>
      <c r="H154" s="118"/>
      <c r="I154" s="118"/>
      <c r="J154" s="118"/>
      <c r="K154" s="118"/>
    </row>
    <row r="155" spans="1:11" ht="13.9">
      <c r="A155" s="118"/>
      <c r="B155" s="118"/>
      <c r="C155" s="118"/>
      <c r="D155" s="118"/>
      <c r="E155" s="118"/>
      <c r="F155" s="118"/>
      <c r="G155" s="118"/>
      <c r="H155" s="118"/>
      <c r="I155" s="118"/>
      <c r="J155" s="118"/>
      <c r="K155" s="118"/>
    </row>
    <row r="156" spans="1:11" ht="13.9">
      <c r="A156" s="118"/>
      <c r="B156" s="118"/>
      <c r="C156" s="118"/>
      <c r="D156" s="118"/>
      <c r="E156" s="118"/>
      <c r="F156" s="118"/>
      <c r="G156" s="118"/>
      <c r="H156" s="118"/>
      <c r="I156" s="118"/>
      <c r="J156" s="118"/>
      <c r="K156" s="118"/>
    </row>
    <row r="157" spans="1:11" ht="13.9">
      <c r="A157" s="118"/>
      <c r="B157" s="118"/>
      <c r="C157" s="118"/>
      <c r="D157" s="118"/>
      <c r="E157" s="118"/>
      <c r="F157" s="118"/>
      <c r="G157" s="118"/>
      <c r="H157" s="118"/>
      <c r="I157" s="118"/>
      <c r="J157" s="118"/>
      <c r="K157" s="118"/>
    </row>
    <row r="158" spans="1:11" ht="13.9">
      <c r="A158" s="118"/>
      <c r="B158" s="118"/>
      <c r="C158" s="118"/>
      <c r="D158" s="118"/>
      <c r="E158" s="118"/>
      <c r="F158" s="118"/>
      <c r="G158" s="118"/>
      <c r="H158" s="118"/>
      <c r="I158" s="118"/>
      <c r="J158" s="118"/>
      <c r="K158" s="118"/>
    </row>
    <row r="159" spans="1:11" ht="13.9">
      <c r="A159" s="118"/>
      <c r="B159" s="118"/>
      <c r="C159" s="118"/>
      <c r="D159" s="118"/>
      <c r="E159" s="118"/>
      <c r="F159" s="118"/>
      <c r="G159" s="118"/>
      <c r="H159" s="118"/>
      <c r="I159" s="118"/>
      <c r="J159" s="118"/>
      <c r="K159" s="118"/>
    </row>
    <row r="160" spans="1:11" ht="13.9">
      <c r="A160" s="118"/>
      <c r="B160" s="118"/>
      <c r="C160" s="118"/>
      <c r="D160" s="118"/>
      <c r="E160" s="118"/>
      <c r="F160" s="118"/>
      <c r="G160" s="118"/>
      <c r="H160" s="118"/>
      <c r="I160" s="118"/>
      <c r="J160" s="118"/>
      <c r="K160" s="118"/>
    </row>
    <row r="161" spans="1:11" ht="13.9">
      <c r="A161" s="118"/>
      <c r="B161" s="118"/>
      <c r="C161" s="118"/>
      <c r="D161" s="118"/>
      <c r="E161" s="118"/>
      <c r="F161" s="118"/>
      <c r="G161" s="118"/>
      <c r="H161" s="118"/>
      <c r="I161" s="118"/>
      <c r="J161" s="118"/>
      <c r="K161" s="118"/>
    </row>
    <row r="170" spans="1:11" s="120" customFormat="1">
      <c r="A170"/>
      <c r="B170"/>
      <c r="C170"/>
      <c r="D170"/>
      <c r="E170"/>
      <c r="F170"/>
      <c r="G170"/>
      <c r="H170"/>
      <c r="I170"/>
      <c r="J170"/>
      <c r="K170"/>
    </row>
  </sheetData>
  <autoFilter ref="A9:K9" xr:uid="{00000000-0001-0000-0D00-000000000000}">
    <sortState xmlns:xlrd2="http://schemas.microsoft.com/office/spreadsheetml/2017/richdata2" ref="A10:K35">
      <sortCondition ref="B9"/>
    </sortState>
  </autoFilter>
  <sortState xmlns:xlrd2="http://schemas.microsoft.com/office/spreadsheetml/2017/richdata2" ref="H10:K34">
    <sortCondition ref="H9"/>
  </sortState>
  <phoneticPr fontId="19" type="noConversion"/>
  <pageMargins left="0.7" right="0.7" top="0.75" bottom="0.75" header="0.3" footer="0.3"/>
  <pageSetup paperSize="9" scale="96"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16086-64C7-49C6-99E3-AB5849BC320C}">
  <sheetPr>
    <tabColor theme="5" tint="-0.249977111117893"/>
  </sheetPr>
  <dimension ref="B2:E12"/>
  <sheetViews>
    <sheetView workbookViewId="0">
      <selection activeCell="A10" sqref="A10"/>
    </sheetView>
  </sheetViews>
  <sheetFormatPr defaultRowHeight="14.45"/>
  <cols>
    <col min="2" max="2" width="12.85546875" bestFit="1" customWidth="1"/>
    <col min="3" max="4" width="23.7109375" bestFit="1" customWidth="1"/>
    <col min="5" max="5" width="63.5703125" customWidth="1"/>
    <col min="7" max="7" width="11.28515625" bestFit="1" customWidth="1"/>
  </cols>
  <sheetData>
    <row r="2" spans="2:5">
      <c r="B2" t="s">
        <v>20</v>
      </c>
      <c r="C2" t="s">
        <v>840</v>
      </c>
      <c r="D2" t="s">
        <v>841</v>
      </c>
    </row>
    <row r="3" spans="2:5">
      <c r="B3" t="s">
        <v>842</v>
      </c>
      <c r="C3" s="319" t="s">
        <v>843</v>
      </c>
      <c r="D3" s="319" t="s">
        <v>843</v>
      </c>
      <c r="E3" t="str">
        <f t="shared" ref="E3:E12" si="0">_xlfn.CONCAT(liststart,B3,listlareport,C3,listlat,D3,listend)</f>
        <v>{ "v": "CAM1", "n" : { "SYS": "Adamaoua", "EN": "Adamaoua"} },</v>
      </c>
    </row>
    <row r="4" spans="2:5">
      <c r="B4" t="s">
        <v>844</v>
      </c>
      <c r="C4" s="319" t="s">
        <v>845</v>
      </c>
      <c r="D4" s="319" t="s">
        <v>845</v>
      </c>
      <c r="E4" t="str">
        <f t="shared" si="0"/>
        <v>{ "v": "CAM2", "n" : { "SYS": "Centre", "EN": "Centre"} },</v>
      </c>
    </row>
    <row r="5" spans="2:5">
      <c r="B5" t="s">
        <v>846</v>
      </c>
      <c r="C5" s="319" t="s">
        <v>847</v>
      </c>
      <c r="D5" s="319" t="s">
        <v>847</v>
      </c>
      <c r="E5" t="str">
        <f t="shared" si="0"/>
        <v>{ "v": "CAM3", "n" : { "SYS": "Est", "EN": "Est"} },</v>
      </c>
    </row>
    <row r="6" spans="2:5">
      <c r="B6" t="s">
        <v>848</v>
      </c>
      <c r="C6" s="319" t="s">
        <v>849</v>
      </c>
      <c r="D6" s="319" t="s">
        <v>849</v>
      </c>
      <c r="E6" t="str">
        <f t="shared" si="0"/>
        <v>{ "v": "CAM4", "n" : { "SYS": "Extrême-Nord", "EN": "Extrême-Nord"} },</v>
      </c>
    </row>
    <row r="7" spans="2:5">
      <c r="B7" t="s">
        <v>850</v>
      </c>
      <c r="C7" s="319" t="s">
        <v>851</v>
      </c>
      <c r="D7" s="319" t="s">
        <v>851</v>
      </c>
      <c r="E7" t="str">
        <f t="shared" si="0"/>
        <v>{ "v": "CAM5", "n" : { "SYS": "Littoral", "EN": "Littoral"} },</v>
      </c>
    </row>
    <row r="8" spans="2:5">
      <c r="B8" t="s">
        <v>852</v>
      </c>
      <c r="C8" s="319" t="s">
        <v>853</v>
      </c>
      <c r="D8" s="319" t="s">
        <v>853</v>
      </c>
      <c r="E8" t="str">
        <f t="shared" si="0"/>
        <v>{ "v": "CAM6", "n" : { "SYS": "Nord", "EN": "Nord"} },</v>
      </c>
    </row>
    <row r="9" spans="2:5">
      <c r="B9" t="s">
        <v>854</v>
      </c>
      <c r="C9" s="319" t="s">
        <v>855</v>
      </c>
      <c r="D9" s="319" t="s">
        <v>855</v>
      </c>
      <c r="E9" t="str">
        <f t="shared" si="0"/>
        <v>{ "v": "CAM7", "n" : { "SYS": "Nord-Ouest", "EN": "Nord-Ouest"} },</v>
      </c>
    </row>
    <row r="10" spans="2:5">
      <c r="B10" t="s">
        <v>856</v>
      </c>
      <c r="C10" s="319" t="s">
        <v>857</v>
      </c>
      <c r="D10" s="319" t="s">
        <v>857</v>
      </c>
      <c r="E10" t="str">
        <f t="shared" si="0"/>
        <v>{ "v": "CAM8", "n" : { "SYS": "Ouest", "EN": "Ouest"} },</v>
      </c>
    </row>
    <row r="11" spans="2:5">
      <c r="B11" t="s">
        <v>858</v>
      </c>
      <c r="C11" s="319" t="s">
        <v>859</v>
      </c>
      <c r="D11" s="319" t="s">
        <v>859</v>
      </c>
      <c r="E11" t="str">
        <f t="shared" si="0"/>
        <v>{ "v": "CAM9", "n" : { "SYS": "Sud", "EN": "Sud"} },</v>
      </c>
    </row>
    <row r="12" spans="2:5">
      <c r="B12" t="s">
        <v>860</v>
      </c>
      <c r="C12" s="319" t="s">
        <v>861</v>
      </c>
      <c r="D12" s="319" t="s">
        <v>861</v>
      </c>
      <c r="E12" t="str">
        <f t="shared" si="0"/>
        <v>{ "v": "CAM10", "n" : { "SYS": "Sud-Ouest", "EN": "Sud-Ouest"} },</v>
      </c>
    </row>
  </sheetData>
  <conditionalFormatting sqref="C3:C12">
    <cfRule type="duplicateValues" dxfId="16"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EC17-DF08-41EA-8C88-117C8612A266}">
  <sheetPr filterMode="1">
    <tabColor rgb="FFFF0000"/>
  </sheetPr>
  <dimension ref="B2:F365"/>
  <sheetViews>
    <sheetView workbookViewId="0">
      <selection activeCell="B270" sqref="B270"/>
    </sheetView>
  </sheetViews>
  <sheetFormatPr defaultRowHeight="14.45"/>
  <cols>
    <col min="2" max="2" width="12.85546875" bestFit="1" customWidth="1"/>
    <col min="3" max="4" width="23.7109375" bestFit="1" customWidth="1"/>
    <col min="5" max="5" width="20.28515625" customWidth="1"/>
    <col min="6" max="6" width="139.140625" bestFit="1" customWidth="1"/>
  </cols>
  <sheetData>
    <row r="2" spans="2:6">
      <c r="B2" t="s">
        <v>20</v>
      </c>
      <c r="C2" t="s">
        <v>840</v>
      </c>
      <c r="D2" t="s">
        <v>841</v>
      </c>
      <c r="E2" t="s">
        <v>2036</v>
      </c>
    </row>
    <row r="3" spans="2:6" hidden="1">
      <c r="B3" t="s">
        <v>2037</v>
      </c>
      <c r="C3" t="s">
        <v>870</v>
      </c>
      <c r="D3" t="s">
        <v>870</v>
      </c>
      <c r="E3" t="s">
        <v>2038</v>
      </c>
      <c r="F3" t="str">
        <f t="shared" ref="F3:F66" si="0">_xlfn.CONCAT(liststart,B3,listlareport,C3,listlat,D3,area_vis_lv21,E3,areavisend)</f>
        <v>{ "v": "CAM_LV3_1", "n" : { "SYS": "Bankim", "EN": "Bankim" }, "vi" : [ { "r": "A-20", "o": "=", "t": "v", "v": "CAM_LV2_1" } ] },</v>
      </c>
    </row>
    <row r="4" spans="2:6" hidden="1">
      <c r="B4" t="s">
        <v>2039</v>
      </c>
      <c r="C4" t="s">
        <v>871</v>
      </c>
      <c r="D4" t="s">
        <v>871</v>
      </c>
      <c r="E4" t="s">
        <v>2038</v>
      </c>
      <c r="F4" t="str">
        <f t="shared" si="0"/>
        <v>{ "v": "CAM_LV3_2", "n" : { "SYS": "Banyo", "EN": "Banyo" }, "vi" : [ { "r": "A-20", "o": "=", "t": "v", "v": "CAM_LV2_1" } ] },</v>
      </c>
    </row>
    <row r="5" spans="2:6" hidden="1">
      <c r="B5" t="s">
        <v>2040</v>
      </c>
      <c r="C5" t="s">
        <v>873</v>
      </c>
      <c r="D5" t="s">
        <v>873</v>
      </c>
      <c r="E5" t="s">
        <v>2041</v>
      </c>
      <c r="F5" t="str">
        <f t="shared" si="0"/>
        <v>{ "v": "CAM_LV3_3", "n" : { "SYS": "Belel", "EN": "Belel" }, "vi" : [ { "r": "A-20", "o": "=", "t": "v", "v": "CAM_LV2_2" } ] },</v>
      </c>
    </row>
    <row r="6" spans="2:6" ht="12" hidden="1" customHeight="1">
      <c r="B6" t="s">
        <v>2042</v>
      </c>
      <c r="C6" t="s">
        <v>875</v>
      </c>
      <c r="D6" t="s">
        <v>875</v>
      </c>
      <c r="E6" t="s">
        <v>2043</v>
      </c>
      <c r="F6" t="str">
        <f t="shared" si="0"/>
        <v>{ "v": "CAM_LV3_4", "n" : { "SYS": "Dir", "EN": "Dir" }, "vi" : [ { "r": "A-20", "o": "=", "t": "v", "v": "CAM_LV2_3" } ] },</v>
      </c>
    </row>
    <row r="7" spans="2:6" hidden="1">
      <c r="B7" t="s">
        <v>2044</v>
      </c>
      <c r="C7" t="s">
        <v>876</v>
      </c>
      <c r="D7" t="s">
        <v>876</v>
      </c>
      <c r="E7" t="s">
        <v>2043</v>
      </c>
      <c r="F7" t="str">
        <f t="shared" si="0"/>
        <v>{ "v": "CAM_LV3_5", "n" : { "SYS": "Djohong", "EN": "Djohong" }, "vi" : [ { "r": "A-20", "o": "=", "t": "v", "v": "CAM_LV2_3" } ] },</v>
      </c>
    </row>
    <row r="8" spans="2:6" hidden="1">
      <c r="B8" t="s">
        <v>2045</v>
      </c>
      <c r="C8" t="s">
        <v>878</v>
      </c>
      <c r="D8" t="s">
        <v>878</v>
      </c>
      <c r="E8" t="s">
        <v>2046</v>
      </c>
      <c r="F8" t="str">
        <f t="shared" si="0"/>
        <v>{ "v": "CAM_LV3_6", "n" : { "SYS": "Galim-Tignere", "EN": "Galim-Tignere" }, "vi" : [ { "r": "A-20", "o": "=", "t": "v", "v": "CAM_LV2_4" } ] },</v>
      </c>
    </row>
    <row r="9" spans="2:6" hidden="1">
      <c r="B9" t="s">
        <v>2047</v>
      </c>
      <c r="C9" t="s">
        <v>879</v>
      </c>
      <c r="D9" t="s">
        <v>879</v>
      </c>
      <c r="E9" t="s">
        <v>2046</v>
      </c>
      <c r="F9" t="str">
        <f t="shared" si="0"/>
        <v>{ "v": "CAM_LV3_7", "n" : { "SYS": "Kontcha", "EN": "Kontcha" }, "vi" : [ { "r": "A-20", "o": "=", "t": "v", "v": "CAM_LV2_4" } ] },</v>
      </c>
    </row>
    <row r="10" spans="2:6" hidden="1">
      <c r="B10" t="s">
        <v>2048</v>
      </c>
      <c r="C10" t="s">
        <v>880</v>
      </c>
      <c r="D10" t="s">
        <v>880</v>
      </c>
      <c r="E10" t="s">
        <v>2041</v>
      </c>
      <c r="F10" t="str">
        <f t="shared" si="0"/>
        <v>{ "v": "CAM_LV3_8", "n" : { "SYS": "Martap", "EN": "Martap" }, "vi" : [ { "r": "A-20", "o": "=", "t": "v", "v": "CAM_LV2_2" } ] },</v>
      </c>
    </row>
    <row r="11" spans="2:6" hidden="1">
      <c r="B11" t="s">
        <v>2049</v>
      </c>
      <c r="C11" t="s">
        <v>881</v>
      </c>
      <c r="D11" t="s">
        <v>881</v>
      </c>
      <c r="E11" t="s">
        <v>2046</v>
      </c>
      <c r="F11" t="str">
        <f t="shared" si="0"/>
        <v>{ "v": "CAM_LV3_9", "n" : { "SYS": "Mayo-Baleo", "EN": "Mayo-Baleo" }, "vi" : [ { "r": "A-20", "o": "=", "t": "v", "v": "CAM_LV2_4" } ] },</v>
      </c>
    </row>
    <row r="12" spans="2:6" hidden="1">
      <c r="B12" t="s">
        <v>2050</v>
      </c>
      <c r="C12" t="s">
        <v>882</v>
      </c>
      <c r="D12" t="s">
        <v>882</v>
      </c>
      <c r="E12" t="s">
        <v>2038</v>
      </c>
      <c r="F12" t="str">
        <f t="shared" si="0"/>
        <v>{ "v": "CAM_LV3_10", "n" : { "SYS": "Mayo-Darle", "EN": "Mayo-Darle" }, "vi" : [ { "r": "A-20", "o": "=", "t": "v", "v": "CAM_LV2_1" } ] },</v>
      </c>
    </row>
    <row r="13" spans="2:6" hidden="1">
      <c r="B13" t="s">
        <v>2051</v>
      </c>
      <c r="C13" t="s">
        <v>883</v>
      </c>
      <c r="D13" t="s">
        <v>883</v>
      </c>
      <c r="E13" t="s">
        <v>2041</v>
      </c>
      <c r="F13" t="str">
        <f t="shared" si="0"/>
        <v>{ "v": "CAM_LV3_11", "n" : { "SYS": "Mbe", "EN": "Mbe" }, "vi" : [ { "r": "A-20", "o": "=", "t": "v", "v": "CAM_LV2_2" } ] },</v>
      </c>
    </row>
    <row r="14" spans="2:6" hidden="1">
      <c r="B14" t="s">
        <v>2052</v>
      </c>
      <c r="C14" t="s">
        <v>884</v>
      </c>
      <c r="D14" t="s">
        <v>884</v>
      </c>
      <c r="E14" t="s">
        <v>2043</v>
      </c>
      <c r="F14" t="str">
        <f t="shared" si="0"/>
        <v>{ "v": "CAM_LV3_12", "n" : { "SYS": "Meiganga", "EN": "Meiganga" }, "vi" : [ { "r": "A-20", "o": "=", "t": "v", "v": "CAM_LV2_3" } ] },</v>
      </c>
    </row>
    <row r="15" spans="2:6" hidden="1">
      <c r="B15" t="s">
        <v>2053</v>
      </c>
      <c r="C15" t="s">
        <v>885</v>
      </c>
      <c r="D15" t="s">
        <v>885</v>
      </c>
      <c r="E15" t="s">
        <v>2041</v>
      </c>
      <c r="F15" t="str">
        <f t="shared" si="0"/>
        <v>{ "v": "CAM_LV3_13", "n" : { "SYS": "Nganha", "EN": "Nganha" }, "vi" : [ { "r": "A-20", "o": "=", "t": "v", "v": "CAM_LV2_2" } ] },</v>
      </c>
    </row>
    <row r="16" spans="2:6" hidden="1">
      <c r="B16" t="s">
        <v>2054</v>
      </c>
      <c r="C16" t="s">
        <v>886</v>
      </c>
      <c r="D16" t="s">
        <v>886</v>
      </c>
      <c r="E16" t="s">
        <v>2043</v>
      </c>
      <c r="F16" t="str">
        <f t="shared" si="0"/>
        <v>{ "v": "CAM_LV3_14", "n" : { "SYS": "Ngaoui", "EN": "Ngaoui" }, "vi" : [ { "r": "A-20", "o": "=", "t": "v", "v": "CAM_LV2_3" } ] },</v>
      </c>
    </row>
    <row r="17" spans="2:6" hidden="1">
      <c r="B17" t="s">
        <v>2055</v>
      </c>
      <c r="C17" t="s">
        <v>888</v>
      </c>
      <c r="D17" t="s">
        <v>888</v>
      </c>
      <c r="E17" t="s">
        <v>2056</v>
      </c>
      <c r="F17" t="str">
        <f t="shared" si="0"/>
        <v>{ "v": "CAM_LV3_15", "n" : { "SYS": "Ngaoundal", "EN": "Ngaoundal" }, "vi" : [ { "r": "A-20", "o": "=", "t": "v", "v": "CAM_LV2_5" } ] },</v>
      </c>
    </row>
    <row r="18" spans="2:6" hidden="1">
      <c r="B18" t="s">
        <v>2057</v>
      </c>
      <c r="C18" t="s">
        <v>889</v>
      </c>
      <c r="D18" t="s">
        <v>889</v>
      </c>
      <c r="E18" t="s">
        <v>2041</v>
      </c>
      <c r="F18" t="str">
        <f t="shared" si="0"/>
        <v>{ "v": "CAM_LV3_16", "n" : { "SYS": "Ngaoundere 1er", "EN": "Ngaoundere 1er" }, "vi" : [ { "r": "A-20", "o": "=", "t": "v", "v": "CAM_LV2_2" } ] },</v>
      </c>
    </row>
    <row r="19" spans="2:6" hidden="1">
      <c r="B19" t="s">
        <v>2058</v>
      </c>
      <c r="C19" t="s">
        <v>890</v>
      </c>
      <c r="D19" t="s">
        <v>890</v>
      </c>
      <c r="E19" t="s">
        <v>2041</v>
      </c>
      <c r="F19" t="str">
        <f t="shared" si="0"/>
        <v>{ "v": "CAM_LV3_17", "n" : { "SYS": "Ngaoundere 2e", "EN": "Ngaoundere 2e" }, "vi" : [ { "r": "A-20", "o": "=", "t": "v", "v": "CAM_LV2_2" } ] },</v>
      </c>
    </row>
    <row r="20" spans="2:6" hidden="1">
      <c r="B20" t="s">
        <v>2059</v>
      </c>
      <c r="C20" t="s">
        <v>891</v>
      </c>
      <c r="D20" t="s">
        <v>891</v>
      </c>
      <c r="E20" t="s">
        <v>2041</v>
      </c>
      <c r="F20" t="str">
        <f t="shared" si="0"/>
        <v>{ "v": "CAM_LV3_18", "n" : { "SYS": "Ngaoundere 3e", "EN": "Ngaoundere 3e" }, "vi" : [ { "r": "A-20", "o": "=", "t": "v", "v": "CAM_LV2_2" } ] },</v>
      </c>
    </row>
    <row r="21" spans="2:6" hidden="1">
      <c r="B21" t="s">
        <v>2060</v>
      </c>
      <c r="C21" t="s">
        <v>892</v>
      </c>
      <c r="D21" t="s">
        <v>892</v>
      </c>
      <c r="E21" t="s">
        <v>2041</v>
      </c>
      <c r="F21" t="str">
        <f t="shared" si="0"/>
        <v>{ "v": "CAM_LV3_19", "n" : { "SYS": "Nyambaka", "EN": "Nyambaka" }, "vi" : [ { "r": "A-20", "o": "=", "t": "v", "v": "CAM_LV2_2" } ] },</v>
      </c>
    </row>
    <row r="22" spans="2:6" hidden="1">
      <c r="B22" t="s">
        <v>2061</v>
      </c>
      <c r="C22" t="s">
        <v>893</v>
      </c>
      <c r="D22" t="s">
        <v>893</v>
      </c>
      <c r="E22" t="s">
        <v>2056</v>
      </c>
      <c r="F22" t="str">
        <f t="shared" si="0"/>
        <v>{ "v": "CAM_LV3_20", "n" : { "SYS": "Tibati", "EN": "Tibati" }, "vi" : [ { "r": "A-20", "o": "=", "t": "v", "v": "CAM_LV2_5" } ] },</v>
      </c>
    </row>
    <row r="23" spans="2:6" hidden="1">
      <c r="B23" t="s">
        <v>2062</v>
      </c>
      <c r="C23" t="s">
        <v>894</v>
      </c>
      <c r="D23" t="s">
        <v>894</v>
      </c>
      <c r="E23" t="s">
        <v>2046</v>
      </c>
      <c r="F23" t="str">
        <f t="shared" si="0"/>
        <v>{ "v": "CAM_LV3_21", "n" : { "SYS": "Tignere", "EN": "Tignere" }, "vi" : [ { "r": "A-20", "o": "=", "t": "v", "v": "CAM_LV2_4" } ] },</v>
      </c>
    </row>
    <row r="24" spans="2:6" hidden="1">
      <c r="B24" t="s">
        <v>2063</v>
      </c>
      <c r="C24" t="s">
        <v>896</v>
      </c>
      <c r="D24" t="s">
        <v>896</v>
      </c>
      <c r="E24" t="s">
        <v>2064</v>
      </c>
      <c r="F24" t="str">
        <f t="shared" si="0"/>
        <v>{ "v": "CAM_LV3_22", "n" : { "SYS": "Afanloum", "EN": "Afanloum" }, "vi" : [ { "r": "A-20", "o": "=", "t": "v", "v": "CAM_LV2_6" } ] },</v>
      </c>
    </row>
    <row r="25" spans="2:6" hidden="1">
      <c r="B25" t="s">
        <v>2065</v>
      </c>
      <c r="C25" t="s">
        <v>898</v>
      </c>
      <c r="D25" t="s">
        <v>898</v>
      </c>
      <c r="E25" t="s">
        <v>2066</v>
      </c>
      <c r="F25" t="str">
        <f t="shared" si="0"/>
        <v>{ "v": "CAM_LV3_23", "n" : { "SYS": "Akoeman", "EN": "Akoeman" }, "vi" : [ { "r": "A-20", "o": "=", "t": "v", "v": "CAM_LV2_7" } ] },</v>
      </c>
    </row>
    <row r="26" spans="2:6" hidden="1">
      <c r="B26" t="s">
        <v>2067</v>
      </c>
      <c r="C26" t="s">
        <v>900</v>
      </c>
      <c r="D26" t="s">
        <v>900</v>
      </c>
      <c r="E26" t="s">
        <v>2068</v>
      </c>
      <c r="F26" t="str">
        <f t="shared" si="0"/>
        <v>{ "v": "CAM_LV3_24", "n" : { "SYS": "Akono", "EN": "Akono" }, "vi" : [ { "r": "A-20", "o": "=", "t": "v", "v": "CAM_LV2_8" } ] },</v>
      </c>
    </row>
    <row r="27" spans="2:6" hidden="1">
      <c r="B27" t="s">
        <v>2069</v>
      </c>
      <c r="C27" t="s">
        <v>902</v>
      </c>
      <c r="D27" t="s">
        <v>902</v>
      </c>
      <c r="E27" t="s">
        <v>2070</v>
      </c>
      <c r="F27" t="str">
        <f t="shared" si="0"/>
        <v>{ "v": "CAM_LV3_25", "n" : { "SYS": "Akonolinga", "EN": "Akonolinga" }, "vi" : [ { "r": "A-20", "o": "=", "t": "v", "v": "CAM_LV2_9" } ] },</v>
      </c>
    </row>
    <row r="28" spans="2:6" hidden="1">
      <c r="B28" t="s">
        <v>2071</v>
      </c>
      <c r="C28" t="s">
        <v>903</v>
      </c>
      <c r="D28" t="s">
        <v>903</v>
      </c>
      <c r="E28" t="s">
        <v>2064</v>
      </c>
      <c r="F28" t="str">
        <f t="shared" si="0"/>
        <v>{ "v": "CAM_LV3_26", "n" : { "SYS": "Olanguina", "EN": "Olanguina" }, "vi" : [ { "r": "A-20", "o": "=", "t": "v", "v": "CAM_LV2_6" } ] },</v>
      </c>
    </row>
    <row r="29" spans="2:6" hidden="1">
      <c r="B29" t="s">
        <v>2072</v>
      </c>
      <c r="C29" t="s">
        <v>904</v>
      </c>
      <c r="D29" t="s">
        <v>904</v>
      </c>
      <c r="E29" t="s">
        <v>2064</v>
      </c>
      <c r="F29" t="str">
        <f t="shared" si="0"/>
        <v>{ "v": "CAM_LV3_27", "n" : { "SYS": "Awae", "EN": "Awae" }, "vi" : [ { "r": "A-20", "o": "=", "t": "v", "v": "CAM_LV2_6" } ] },</v>
      </c>
    </row>
    <row r="30" spans="2:6" hidden="1">
      <c r="B30" t="s">
        <v>2073</v>
      </c>
      <c r="C30" t="s">
        <v>905</v>
      </c>
      <c r="D30" t="s">
        <v>905</v>
      </c>
      <c r="E30" t="s">
        <v>2070</v>
      </c>
      <c r="F30" t="str">
        <f t="shared" si="0"/>
        <v>{ "v": "CAM_LV3_28", "n" : { "SYS": "Ayos", "EN": "Ayos" }, "vi" : [ { "r": "A-20", "o": "=", "t": "v", "v": "CAM_LV2_9" } ] },</v>
      </c>
    </row>
    <row r="31" spans="2:6" hidden="1">
      <c r="B31" t="s">
        <v>2074</v>
      </c>
      <c r="C31" t="s">
        <v>907</v>
      </c>
      <c r="D31" t="s">
        <v>907</v>
      </c>
      <c r="E31" t="s">
        <v>2075</v>
      </c>
      <c r="F31" t="str">
        <f t="shared" si="0"/>
        <v>{ "v": "CAM_LV3_29", "n" : { "SYS": "Bafia", "EN": "Bafia" }, "vi" : [ { "r": "A-20", "o": "=", "t": "v", "v": "CAM_LV2_10" } ] },</v>
      </c>
    </row>
    <row r="32" spans="2:6" hidden="1">
      <c r="B32" t="s">
        <v>2076</v>
      </c>
      <c r="C32" t="s">
        <v>909</v>
      </c>
      <c r="D32" t="s">
        <v>909</v>
      </c>
      <c r="E32" t="s">
        <v>2077</v>
      </c>
      <c r="F32" t="str">
        <f t="shared" si="0"/>
        <v>{ "v": "CAM_LV3_30", "n" : { "SYS": "Batchenga", "EN": "Batchenga" }, "vi" : [ { "r": "A-20", "o": "=", "t": "v", "v": "CAM_LV2_11" } ] },</v>
      </c>
    </row>
    <row r="33" spans="2:6" hidden="1">
      <c r="B33" t="s">
        <v>2078</v>
      </c>
      <c r="C33" t="s">
        <v>911</v>
      </c>
      <c r="D33" t="s">
        <v>911</v>
      </c>
      <c r="E33" t="s">
        <v>2079</v>
      </c>
      <c r="F33" t="str">
        <f t="shared" si="0"/>
        <v>{ "v": "CAM_LV3_31", "n" : { "SYS": "Bibey", "EN": "Bibey" }, "vi" : [ { "r": "A-20", "o": "=", "t": "v", "v": "CAM_LV2_12" } ] },</v>
      </c>
    </row>
    <row r="34" spans="2:6" hidden="1">
      <c r="B34" t="s">
        <v>2080</v>
      </c>
      <c r="C34" t="s">
        <v>912</v>
      </c>
      <c r="D34" t="s">
        <v>912</v>
      </c>
      <c r="E34" t="s">
        <v>2068</v>
      </c>
      <c r="F34" t="str">
        <f t="shared" si="0"/>
        <v>{ "v": "CAM_LV3_32", "n" : { "SYS": "Bikok", "EN": "Bikok" }, "vi" : [ { "r": "A-20", "o": "=", "t": "v", "v": "CAM_LV2_8" } ] },</v>
      </c>
    </row>
    <row r="35" spans="2:6" hidden="1">
      <c r="B35" t="s">
        <v>2081</v>
      </c>
      <c r="C35" t="s">
        <v>914</v>
      </c>
      <c r="D35" t="s">
        <v>914</v>
      </c>
      <c r="E35" t="s">
        <v>2082</v>
      </c>
      <c r="F35" t="str">
        <f t="shared" si="0"/>
        <v>{ "v": "CAM_LV3_33", "n" : { "SYS": "Biyouha", "EN": "Biyouha" }, "vi" : [ { "r": "A-20", "o": "=", "t": "v", "v": "CAM_LV2_13" } ] },</v>
      </c>
    </row>
    <row r="36" spans="2:6" hidden="1">
      <c r="B36" t="s">
        <v>2083</v>
      </c>
      <c r="C36" t="s">
        <v>915</v>
      </c>
      <c r="D36" t="s">
        <v>915</v>
      </c>
      <c r="E36" t="s">
        <v>2075</v>
      </c>
      <c r="F36" t="str">
        <f t="shared" si="0"/>
        <v>{ "v": "CAM_LV3_34", "n" : { "SYS": "Bokito", "EN": "Bokito" }, "vi" : [ { "r": "A-20", "o": "=", "t": "v", "v": "CAM_LV2_10" } ] },</v>
      </c>
    </row>
    <row r="37" spans="2:6" hidden="1">
      <c r="B37" t="s">
        <v>2084</v>
      </c>
      <c r="C37" t="s">
        <v>916</v>
      </c>
      <c r="D37" t="s">
        <v>916</v>
      </c>
      <c r="E37" t="s">
        <v>2082</v>
      </c>
      <c r="F37" t="str">
        <f t="shared" si="0"/>
        <v>{ "v": "CAM_LV3_35", "n" : { "SYS": "Bondjock", "EN": "Bondjock" }, "vi" : [ { "r": "A-20", "o": "=", "t": "v", "v": "CAM_LV2_13" } ] },</v>
      </c>
    </row>
    <row r="38" spans="2:6" hidden="1">
      <c r="B38" t="s">
        <v>2085</v>
      </c>
      <c r="C38" t="s">
        <v>917</v>
      </c>
      <c r="D38" t="s">
        <v>917</v>
      </c>
      <c r="E38" t="s">
        <v>2082</v>
      </c>
      <c r="F38" t="str">
        <f t="shared" si="0"/>
        <v>{ "v": "CAM_LV3_36", "n" : { "SYS": "Bot-Makak", "EN": "Bot-Makak" }, "vi" : [ { "r": "A-20", "o": "=", "t": "v", "v": "CAM_LV2_13" } ] },</v>
      </c>
    </row>
    <row r="39" spans="2:6" hidden="1">
      <c r="B39" t="s">
        <v>2086</v>
      </c>
      <c r="C39" t="s">
        <v>918</v>
      </c>
      <c r="D39" t="s">
        <v>918</v>
      </c>
      <c r="E39" t="s">
        <v>2075</v>
      </c>
      <c r="F39" t="str">
        <f t="shared" si="0"/>
        <v>{ "v": "CAM_LV3_37", "n" : { "SYS": "Deuk", "EN": "Deuk" }, "vi" : [ { "r": "A-20", "o": "=", "t": "v", "v": "CAM_LV2_10" } ] },</v>
      </c>
    </row>
    <row r="40" spans="2:6" hidden="1">
      <c r="B40" t="s">
        <v>2087</v>
      </c>
      <c r="C40" t="s">
        <v>919</v>
      </c>
      <c r="D40" t="s">
        <v>919</v>
      </c>
      <c r="E40" t="s">
        <v>2082</v>
      </c>
      <c r="F40" t="str">
        <f t="shared" si="0"/>
        <v>{ "v": "CAM_LV3_38", "n" : { "SYS": "Dibang", "EN": "Dibang" }, "vi" : [ { "r": "A-20", "o": "=", "t": "v", "v": "CAM_LV2_13" } ] },</v>
      </c>
    </row>
    <row r="41" spans="2:6" hidden="1">
      <c r="B41" t="s">
        <v>2088</v>
      </c>
      <c r="C41" t="s">
        <v>920</v>
      </c>
      <c r="D41" t="s">
        <v>920</v>
      </c>
      <c r="E41" t="s">
        <v>2066</v>
      </c>
      <c r="F41" t="str">
        <f t="shared" si="0"/>
        <v>{ "v": "CAM_LV3_39", "n" : { "SYS": "Dzeng", "EN": "Dzeng" }, "vi" : [ { "r": "A-20", "o": "=", "t": "v", "v": "CAM_LV2_7" } ] },</v>
      </c>
    </row>
    <row r="42" spans="2:6" hidden="1">
      <c r="B42" t="s">
        <v>2089</v>
      </c>
      <c r="C42" t="s">
        <v>921</v>
      </c>
      <c r="D42" t="s">
        <v>921</v>
      </c>
      <c r="E42" t="s">
        <v>2077</v>
      </c>
      <c r="F42" t="str">
        <f t="shared" si="0"/>
        <v>{ "v": "CAM_LV3_40", "n" : { "SYS": "Ebebda", "EN": "Ebebda" }, "vi" : [ { "r": "A-20", "o": "=", "t": "v", "v": "CAM_LV2_11" } ] },</v>
      </c>
    </row>
    <row r="43" spans="2:6" hidden="1">
      <c r="B43" t="s">
        <v>2090</v>
      </c>
      <c r="C43" t="s">
        <v>922</v>
      </c>
      <c r="D43" t="s">
        <v>922</v>
      </c>
      <c r="E43" t="s">
        <v>2064</v>
      </c>
      <c r="F43" t="str">
        <f t="shared" si="0"/>
        <v>{ "v": "CAM_LV3_41", "n" : { "SYS": "Edzendouan", "EN": "Edzendouan" }, "vi" : [ { "r": "A-20", "o": "=", "t": "v", "v": "CAM_LV2_6" } ] },</v>
      </c>
    </row>
    <row r="44" spans="2:6" hidden="1">
      <c r="B44" t="s">
        <v>2091</v>
      </c>
      <c r="C44" t="s">
        <v>923</v>
      </c>
      <c r="D44" t="s">
        <v>923</v>
      </c>
      <c r="E44" t="s">
        <v>2077</v>
      </c>
      <c r="F44" t="str">
        <f t="shared" si="0"/>
        <v>{ "v": "CAM_LV3_42", "n" : { "SYS": "Elig-Mfomo", "EN": "Elig-Mfomo" }, "vi" : [ { "r": "A-20", "o": "=", "t": "v", "v": "CAM_LV2_11" } ] },</v>
      </c>
    </row>
    <row r="45" spans="2:6" hidden="1">
      <c r="B45" t="s">
        <v>2092</v>
      </c>
      <c r="C45" t="s">
        <v>924</v>
      </c>
      <c r="D45" t="s">
        <v>924</v>
      </c>
      <c r="E45" t="s">
        <v>2070</v>
      </c>
      <c r="F45" t="str">
        <f t="shared" si="0"/>
        <v>{ "v": "CAM_LV3_43", "n" : { "SYS": "Endom", "EN": "Endom" }, "vi" : [ { "r": "A-20", "o": "=", "t": "v", "v": "CAM_LV2_9" } ] },</v>
      </c>
    </row>
    <row r="46" spans="2:6" hidden="1">
      <c r="B46" t="s">
        <v>2093</v>
      </c>
      <c r="C46" t="s">
        <v>925</v>
      </c>
      <c r="D46" t="s">
        <v>925</v>
      </c>
      <c r="E46" t="s">
        <v>2082</v>
      </c>
      <c r="F46" t="str">
        <f t="shared" si="0"/>
        <v>{ "v": "CAM_LV3_44", "n" : { "SYS": "Eseka", "EN": "Eseka" }, "vi" : [ { "r": "A-20", "o": "=", "t": "v", "v": "CAM_LV2_13" } ] },</v>
      </c>
    </row>
    <row r="47" spans="2:6" hidden="1">
      <c r="B47" t="s">
        <v>2094</v>
      </c>
      <c r="C47" t="s">
        <v>926</v>
      </c>
      <c r="D47" t="s">
        <v>926</v>
      </c>
      <c r="E47" t="s">
        <v>2064</v>
      </c>
      <c r="F47" t="str">
        <f t="shared" si="0"/>
        <v>{ "v": "CAM_LV3_45", "n" : { "SYS": "Esse", "EN": "Esse" }, "vi" : [ { "r": "A-20", "o": "=", "t": "v", "v": "CAM_LV2_6" } ] },</v>
      </c>
    </row>
    <row r="48" spans="2:6" hidden="1">
      <c r="B48" t="s">
        <v>2095</v>
      </c>
      <c r="C48" t="s">
        <v>927</v>
      </c>
      <c r="D48" t="s">
        <v>927</v>
      </c>
      <c r="E48" t="s">
        <v>2077</v>
      </c>
      <c r="F48" t="str">
        <f t="shared" si="0"/>
        <v>{ "v": "CAM_LV3_46", "n" : { "SYS": "Evodoula", "EN": "Evodoula" }, "vi" : [ { "r": "A-20", "o": "=", "t": "v", "v": "CAM_LV2_11" } ] },</v>
      </c>
    </row>
    <row r="49" spans="2:6" hidden="1">
      <c r="B49" t="s">
        <v>2096</v>
      </c>
      <c r="C49" t="s">
        <v>928</v>
      </c>
      <c r="D49" t="s">
        <v>928</v>
      </c>
      <c r="E49" t="s">
        <v>2075</v>
      </c>
      <c r="F49" t="str">
        <f t="shared" si="0"/>
        <v>{ "v": "CAM_LV3_47", "n" : { "SYS": "Kiiki", "EN": "Kiiki" }, "vi" : [ { "r": "A-20", "o": "=", "t": "v", "v": "CAM_LV2_10" } ] },</v>
      </c>
    </row>
    <row r="50" spans="2:6" hidden="1">
      <c r="B50" t="s">
        <v>2097</v>
      </c>
      <c r="C50" t="s">
        <v>929</v>
      </c>
      <c r="D50" t="s">
        <v>929</v>
      </c>
      <c r="E50" t="s">
        <v>2075</v>
      </c>
      <c r="F50" t="str">
        <f t="shared" si="0"/>
        <v>{ "v": "CAM_LV3_48", "n" : { "SYS": "Kon Yambetta", "EN": "Kon Yambetta" }, "vi" : [ { "r": "A-20", "o": "=", "t": "v", "v": "CAM_LV2_10" } ] },</v>
      </c>
    </row>
    <row r="51" spans="2:6" hidden="1">
      <c r="B51" t="s">
        <v>2098</v>
      </c>
      <c r="C51" t="s">
        <v>930</v>
      </c>
      <c r="D51" t="s">
        <v>930</v>
      </c>
      <c r="E51" t="s">
        <v>2079</v>
      </c>
      <c r="F51" t="str">
        <f t="shared" si="0"/>
        <v>{ "v": "CAM_LV3_49", "n" : { "SYS": "Lembe Yezoum", "EN": "Lembe Yezoum" }, "vi" : [ { "r": "A-20", "o": "=", "t": "v", "v": "CAM_LV2_12" } ] },</v>
      </c>
    </row>
    <row r="52" spans="2:6" hidden="1">
      <c r="B52" t="s">
        <v>2099</v>
      </c>
      <c r="C52" t="s">
        <v>931</v>
      </c>
      <c r="D52" t="s">
        <v>931</v>
      </c>
      <c r="E52" t="s">
        <v>2077</v>
      </c>
      <c r="F52" t="str">
        <f t="shared" si="0"/>
        <v>{ "v": "CAM_LV3_50", "n" : { "SYS": "Lobo", "EN": "Lobo" }, "vi" : [ { "r": "A-20", "o": "=", "t": "v", "v": "CAM_LV2_11" } ] },</v>
      </c>
    </row>
    <row r="53" spans="2:6" hidden="1">
      <c r="B53" t="s">
        <v>2100</v>
      </c>
      <c r="C53" t="s">
        <v>932</v>
      </c>
      <c r="D53" t="s">
        <v>932</v>
      </c>
      <c r="E53" t="s">
        <v>2082</v>
      </c>
      <c r="F53" t="str">
        <f t="shared" si="0"/>
        <v>{ "v": "CAM_LV3_51", "n" : { "SYS": "Makak", "EN": "Makak" }, "vi" : [ { "r": "A-20", "o": "=", "t": "v", "v": "CAM_LV2_13" } ] },</v>
      </c>
    </row>
    <row r="54" spans="2:6" hidden="1">
      <c r="B54" t="s">
        <v>2101</v>
      </c>
      <c r="C54" t="s">
        <v>933</v>
      </c>
      <c r="D54" t="s">
        <v>933</v>
      </c>
      <c r="E54" t="s">
        <v>2075</v>
      </c>
      <c r="F54" t="str">
        <f t="shared" si="0"/>
        <v>{ "v": "CAM_LV3_52", "n" : { "SYS": "Makenene", "EN": "Makenene" }, "vi" : [ { "r": "A-20", "o": "=", "t": "v", "v": "CAM_LV2_10" } ] },</v>
      </c>
    </row>
    <row r="55" spans="2:6" hidden="1">
      <c r="B55" t="s">
        <v>2102</v>
      </c>
      <c r="C55" t="s">
        <v>934</v>
      </c>
      <c r="D55" t="s">
        <v>934</v>
      </c>
      <c r="E55" t="s">
        <v>2082</v>
      </c>
      <c r="F55" t="str">
        <f t="shared" si="0"/>
        <v>{ "v": "CAM_LV3_53", "n" : { "SYS": "Matomb", "EN": "Matomb" }, "vi" : [ { "r": "A-20", "o": "=", "t": "v", "v": "CAM_LV2_13" } ] },</v>
      </c>
    </row>
    <row r="56" spans="2:6" hidden="1">
      <c r="B56" t="s">
        <v>2103</v>
      </c>
      <c r="C56" t="s">
        <v>935</v>
      </c>
      <c r="D56" t="s">
        <v>935</v>
      </c>
      <c r="E56" t="s">
        <v>2066</v>
      </c>
      <c r="F56" t="str">
        <f t="shared" si="0"/>
        <v>{ "v": "CAM_LV3_54", "n" : { "SYS": "Mbalmayo", "EN": "Mbalmayo" }, "vi" : [ { "r": "A-20", "o": "=", "t": "v", "v": "CAM_LV2_7" } ] },</v>
      </c>
    </row>
    <row r="57" spans="2:6" hidden="1">
      <c r="B57" t="s">
        <v>2104</v>
      </c>
      <c r="C57" t="s">
        <v>936</v>
      </c>
      <c r="D57" t="s">
        <v>936</v>
      </c>
      <c r="E57" t="s">
        <v>2079</v>
      </c>
      <c r="F57" t="str">
        <f t="shared" si="0"/>
        <v>{ "v": "CAM_LV3_55", "n" : { "SYS": "Mbandjock", "EN": "Mbandjock" }, "vi" : [ { "r": "A-20", "o": "=", "t": "v", "v": "CAM_LV2_12" } ] },</v>
      </c>
    </row>
    <row r="58" spans="2:6" hidden="1">
      <c r="B58" t="s">
        <v>2105</v>
      </c>
      <c r="C58" t="s">
        <v>938</v>
      </c>
      <c r="D58" t="s">
        <v>938</v>
      </c>
      <c r="E58" t="s">
        <v>2106</v>
      </c>
      <c r="F58" t="str">
        <f t="shared" si="0"/>
        <v>{ "v": "CAM_LV3_56", "n" : { "SYS": "Mbangassina", "EN": "Mbangassina" }, "vi" : [ { "r": "A-20", "o": "=", "t": "v", "v": "CAM_LV2_14" } ] },</v>
      </c>
    </row>
    <row r="59" spans="2:6" hidden="1">
      <c r="B59" t="s">
        <v>2107</v>
      </c>
      <c r="C59" t="s">
        <v>939</v>
      </c>
      <c r="D59" t="s">
        <v>939</v>
      </c>
      <c r="E59" t="s">
        <v>2068</v>
      </c>
      <c r="F59" t="str">
        <f t="shared" si="0"/>
        <v>{ "v": "CAM_LV3_57", "n" : { "SYS": "Mbankomo", "EN": "Mbankomo" }, "vi" : [ { "r": "A-20", "o": "=", "t": "v", "v": "CAM_LV2_8" } ] },</v>
      </c>
    </row>
    <row r="60" spans="2:6" hidden="1">
      <c r="B60" t="s">
        <v>2108</v>
      </c>
      <c r="C60" t="s">
        <v>940</v>
      </c>
      <c r="D60" t="s">
        <v>940</v>
      </c>
      <c r="E60" t="s">
        <v>2070</v>
      </c>
      <c r="F60" t="str">
        <f t="shared" si="0"/>
        <v>{ "v": "CAM_LV3_58", "n" : { "SYS": "Mengang", "EN": "Mengang" }, "vi" : [ { "r": "A-20", "o": "=", "t": "v", "v": "CAM_LV2_9" } ] },</v>
      </c>
    </row>
    <row r="61" spans="2:6" hidden="1">
      <c r="B61" t="s">
        <v>2109</v>
      </c>
      <c r="C61" t="s">
        <v>941</v>
      </c>
      <c r="D61" t="s">
        <v>941</v>
      </c>
      <c r="E61" t="s">
        <v>2066</v>
      </c>
      <c r="F61" t="str">
        <f t="shared" si="0"/>
        <v>{ "v": "CAM_LV3_59", "n" : { "SYS": "Mengueme", "EN": "Mengueme" }, "vi" : [ { "r": "A-20", "o": "=", "t": "v", "v": "CAM_LV2_7" } ] },</v>
      </c>
    </row>
    <row r="62" spans="2:6" hidden="1">
      <c r="B62" t="s">
        <v>2110</v>
      </c>
      <c r="C62" t="s">
        <v>942</v>
      </c>
      <c r="D62" t="s">
        <v>942</v>
      </c>
      <c r="E62" t="s">
        <v>2082</v>
      </c>
      <c r="F62" t="str">
        <f t="shared" si="0"/>
        <v>{ "v": "CAM_LV3_60", "n" : { "SYS": "Messondo", "EN": "Messondo" }, "vi" : [ { "r": "A-20", "o": "=", "t": "v", "v": "CAM_LV2_13" } ] },</v>
      </c>
    </row>
    <row r="63" spans="2:6" hidden="1">
      <c r="B63" t="s">
        <v>2111</v>
      </c>
      <c r="C63" t="s">
        <v>943</v>
      </c>
      <c r="D63" t="s">
        <v>943</v>
      </c>
      <c r="E63" t="s">
        <v>2064</v>
      </c>
      <c r="F63" t="str">
        <f t="shared" si="0"/>
        <v>{ "v": "CAM_LV3_61", "n" : { "SYS": "Mfou", "EN": "Mfou" }, "vi" : [ { "r": "A-20", "o": "=", "t": "v", "v": "CAM_LV2_6" } ] },</v>
      </c>
    </row>
    <row r="64" spans="2:6" hidden="1">
      <c r="B64" t="s">
        <v>2112</v>
      </c>
      <c r="C64" t="s">
        <v>944</v>
      </c>
      <c r="D64" t="s">
        <v>944</v>
      </c>
      <c r="E64" t="s">
        <v>2079</v>
      </c>
      <c r="F64" t="str">
        <f t="shared" si="0"/>
        <v>{ "v": "CAM_LV3_62", "n" : { "SYS": "Minta", "EN": "Minta" }, "vi" : [ { "r": "A-20", "o": "=", "t": "v", "v": "CAM_LV2_12" } ] },</v>
      </c>
    </row>
    <row r="65" spans="2:6" hidden="1">
      <c r="B65" t="s">
        <v>2113</v>
      </c>
      <c r="C65" t="s">
        <v>945</v>
      </c>
      <c r="D65" t="s">
        <v>945</v>
      </c>
      <c r="E65" t="s">
        <v>2077</v>
      </c>
      <c r="F65" t="str">
        <f t="shared" si="0"/>
        <v>{ "v": "CAM_LV3_63", "n" : { "SYS": "Monatele", "EN": "Monatele" }, "vi" : [ { "r": "A-20", "o": "=", "t": "v", "v": "CAM_LV2_11" } ] },</v>
      </c>
    </row>
    <row r="66" spans="2:6" hidden="1">
      <c r="B66" t="s">
        <v>2114</v>
      </c>
      <c r="C66" t="s">
        <v>946</v>
      </c>
      <c r="D66" t="s">
        <v>946</v>
      </c>
      <c r="E66" t="s">
        <v>2079</v>
      </c>
      <c r="F66" t="str">
        <f t="shared" si="0"/>
        <v>{ "v": "CAM_LV3_64", "n" : { "SYS": "Nanga-Eboko", "EN": "Nanga-Eboko" }, "vi" : [ { "r": "A-20", "o": "=", "t": "v", "v": "CAM_LV2_12" } ] },</v>
      </c>
    </row>
    <row r="67" spans="2:6" hidden="1">
      <c r="B67" t="s">
        <v>2115</v>
      </c>
      <c r="C67" t="s">
        <v>947</v>
      </c>
      <c r="D67" t="s">
        <v>947</v>
      </c>
      <c r="E67" t="s">
        <v>2075</v>
      </c>
      <c r="F67" t="str">
        <f t="shared" ref="F67:F130" si="1">_xlfn.CONCAT(liststart,B67,listlareport,C67,listlat,D67,area_vis_lv21,E67,areavisend)</f>
        <v>{ "v": "CAM_LV3_65", "n" : { "SYS": "Ndikinimeki", "EN": "Ndikinimeki" }, "vi" : [ { "r": "A-20", "o": "=", "t": "v", "v": "CAM_LV2_10" } ] },</v>
      </c>
    </row>
    <row r="68" spans="2:6" hidden="1">
      <c r="B68" t="s">
        <v>2116</v>
      </c>
      <c r="C68" t="s">
        <v>948</v>
      </c>
      <c r="D68" t="s">
        <v>948</v>
      </c>
      <c r="E68" t="s">
        <v>2106</v>
      </c>
      <c r="F68" t="str">
        <f t="shared" si="1"/>
        <v>{ "v": "CAM_LV3_66", "n" : { "SYS": "Ngambe-Tikar", "EN": "Ngambe-Tikar" }, "vi" : [ { "r": "A-20", "o": "=", "t": "v", "v": "CAM_LV2_14" } ] },</v>
      </c>
    </row>
    <row r="69" spans="2:6" hidden="1">
      <c r="B69" t="s">
        <v>2117</v>
      </c>
      <c r="C69" t="s">
        <v>949</v>
      </c>
      <c r="D69" t="s">
        <v>949</v>
      </c>
      <c r="E69" t="s">
        <v>2082</v>
      </c>
      <c r="F69" t="str">
        <f t="shared" si="1"/>
        <v>{ "v": "CAM_LV3_67", "n" : { "SYS": "Ngog-Mapubi", "EN": "Ngog-Mapubi" }, "vi" : [ { "r": "A-20", "o": "=", "t": "v", "v": "CAM_LV2_13" } ] },</v>
      </c>
    </row>
    <row r="70" spans="2:6" hidden="1">
      <c r="B70" t="s">
        <v>2118</v>
      </c>
      <c r="C70" t="s">
        <v>950</v>
      </c>
      <c r="D70" t="s">
        <v>950</v>
      </c>
      <c r="E70" t="s">
        <v>2066</v>
      </c>
      <c r="F70" t="str">
        <f t="shared" si="1"/>
        <v>{ "v": "CAM_LV3_68", "n" : { "SYS": "Ngomedzap", "EN": "Ngomedzap" }, "vi" : [ { "r": "A-20", "o": "=", "t": "v", "v": "CAM_LV2_7" } ] },</v>
      </c>
    </row>
    <row r="71" spans="2:6" hidden="1">
      <c r="B71" t="s">
        <v>2119</v>
      </c>
      <c r="C71" t="s">
        <v>951</v>
      </c>
      <c r="D71" t="s">
        <v>951</v>
      </c>
      <c r="E71" t="s">
        <v>2106</v>
      </c>
      <c r="F71" t="str">
        <f t="shared" si="1"/>
        <v>{ "v": "CAM_LV3_69", "n" : { "SYS": "Ngoro", "EN": "Ngoro" }, "vi" : [ { "r": "A-20", "o": "=", "t": "v", "v": "CAM_LV2_14" } ] },</v>
      </c>
    </row>
    <row r="72" spans="2:6" hidden="1">
      <c r="B72" t="s">
        <v>2120</v>
      </c>
      <c r="C72" t="s">
        <v>952</v>
      </c>
      <c r="D72" t="s">
        <v>952</v>
      </c>
      <c r="E72" t="s">
        <v>2068</v>
      </c>
      <c r="F72" t="str">
        <f t="shared" si="1"/>
        <v>{ "v": "CAM_LV3_70", "n" : { "SYS": "Ngoumou", "EN": "Ngoumou" }, "vi" : [ { "r": "A-20", "o": "=", "t": "v", "v": "CAM_LV2_8" } ] },</v>
      </c>
    </row>
    <row r="73" spans="2:6" hidden="1">
      <c r="B73" t="s">
        <v>2121</v>
      </c>
      <c r="C73" t="s">
        <v>953</v>
      </c>
      <c r="D73" t="s">
        <v>953</v>
      </c>
      <c r="E73" t="s">
        <v>2082</v>
      </c>
      <c r="F73" t="str">
        <f t="shared" si="1"/>
        <v>{ "v": "CAM_LV3_71", "n" : { "SYS": "Nguibassal", "EN": "Nguibassal" }, "vi" : [ { "r": "A-20", "o": "=", "t": "v", "v": "CAM_LV2_13" } ] },</v>
      </c>
    </row>
    <row r="74" spans="2:6" hidden="1">
      <c r="B74" t="s">
        <v>2122</v>
      </c>
      <c r="C74" t="s">
        <v>954</v>
      </c>
      <c r="D74" t="s">
        <v>954</v>
      </c>
      <c r="E74" t="s">
        <v>2075</v>
      </c>
      <c r="F74" t="str">
        <f t="shared" si="1"/>
        <v>{ "v": "CAM_LV3_72", "n" : { "SYS": "Nitoukou", "EN": "Nitoukou" }, "vi" : [ { "r": "A-20", "o": "=", "t": "v", "v": "CAM_LV2_10" } ] },</v>
      </c>
    </row>
    <row r="75" spans="2:6" hidden="1">
      <c r="B75" t="s">
        <v>2123</v>
      </c>
      <c r="C75" t="s">
        <v>955</v>
      </c>
      <c r="D75" t="s">
        <v>955</v>
      </c>
      <c r="E75" t="s">
        <v>2064</v>
      </c>
      <c r="F75" t="str">
        <f t="shared" si="1"/>
        <v>{ "v": "CAM_LV3_73", "n" : { "SYS": "Nkolafamba", "EN": "Nkolafamba" }, "vi" : [ { "r": "A-20", "o": "=", "t": "v", "v": "CAM_LV2_6" } ] },</v>
      </c>
    </row>
    <row r="76" spans="2:6" hidden="1">
      <c r="B76" t="s">
        <v>2124</v>
      </c>
      <c r="C76" t="s">
        <v>956</v>
      </c>
      <c r="D76" t="s">
        <v>956</v>
      </c>
      <c r="E76" t="s">
        <v>2066</v>
      </c>
      <c r="F76" t="str">
        <f t="shared" si="1"/>
        <v>{ "v": "CAM_LV3_74", "n" : { "SYS": "Nkolmetet", "EN": "Nkolmetet" }, "vi" : [ { "r": "A-20", "o": "=", "t": "v", "v": "CAM_LV2_7" } ] },</v>
      </c>
    </row>
    <row r="77" spans="2:6" hidden="1">
      <c r="B77" t="s">
        <v>2125</v>
      </c>
      <c r="C77" t="s">
        <v>957</v>
      </c>
      <c r="D77" t="s">
        <v>957</v>
      </c>
      <c r="E77" t="s">
        <v>2079</v>
      </c>
      <c r="F77" t="str">
        <f t="shared" si="1"/>
        <v>{ "v": "CAM_LV3_75", "n" : { "SYS": "Nkoteng", "EN": "Nkoteng" }, "vi" : [ { "r": "A-20", "o": "=", "t": "v", "v": "CAM_LV2_12" } ] },</v>
      </c>
    </row>
    <row r="78" spans="2:6" hidden="1">
      <c r="B78" t="s">
        <v>2126</v>
      </c>
      <c r="C78" t="s">
        <v>958</v>
      </c>
      <c r="D78" t="s">
        <v>958</v>
      </c>
      <c r="E78" t="s">
        <v>2079</v>
      </c>
      <c r="F78" t="str">
        <f t="shared" si="1"/>
        <v>{ "v": "CAM_LV3_76", "n" : { "SYS": "Nsem", "EN": "Nsem" }, "vi" : [ { "r": "A-20", "o": "=", "t": "v", "v": "CAM_LV2_12" } ] },</v>
      </c>
    </row>
    <row r="79" spans="2:6" hidden="1">
      <c r="B79" t="s">
        <v>2127</v>
      </c>
      <c r="C79" t="s">
        <v>959</v>
      </c>
      <c r="D79" t="s">
        <v>959</v>
      </c>
      <c r="E79" t="s">
        <v>2106</v>
      </c>
      <c r="F79" t="str">
        <f t="shared" si="1"/>
        <v>{ "v": "CAM_LV3_77", "n" : { "SYS": "Ntui", "EN": "Ntui" }, "vi" : [ { "r": "A-20", "o": "=", "t": "v", "v": "CAM_LV2_14" } ] },</v>
      </c>
    </row>
    <row r="80" spans="2:6" hidden="1">
      <c r="B80" t="s">
        <v>2128</v>
      </c>
      <c r="C80" t="s">
        <v>960</v>
      </c>
      <c r="D80" t="s">
        <v>960</v>
      </c>
      <c r="E80" t="s">
        <v>2070</v>
      </c>
      <c r="F80" t="str">
        <f t="shared" si="1"/>
        <v>{ "v": "CAM_LV3_78", "n" : { "SYS": "Nyakokombo", "EN": "Nyakokombo" }, "vi" : [ { "r": "A-20", "o": "=", "t": "v", "v": "CAM_LV2_9" } ] },</v>
      </c>
    </row>
    <row r="81" spans="2:6" hidden="1">
      <c r="B81" t="s">
        <v>2129</v>
      </c>
      <c r="C81" t="s">
        <v>961</v>
      </c>
      <c r="D81" t="s">
        <v>961</v>
      </c>
      <c r="E81" t="s">
        <v>2077</v>
      </c>
      <c r="F81" t="str">
        <f t="shared" si="1"/>
        <v>{ "v": "CAM_LV3_79", "n" : { "SYS": "Obala", "EN": "Obala" }, "vi" : [ { "r": "A-20", "o": "=", "t": "v", "v": "CAM_LV2_11" } ] },</v>
      </c>
    </row>
    <row r="82" spans="2:6" hidden="1">
      <c r="B82" t="s">
        <v>2130</v>
      </c>
      <c r="C82" t="s">
        <v>962</v>
      </c>
      <c r="D82" t="s">
        <v>962</v>
      </c>
      <c r="E82" t="s">
        <v>2077</v>
      </c>
      <c r="F82" t="str">
        <f t="shared" si="1"/>
        <v>{ "v": "CAM_LV3_80", "n" : { "SYS": "Okola", "EN": "Okola" }, "vi" : [ { "r": "A-20", "o": "=", "t": "v", "v": "CAM_LV2_11" } ] },</v>
      </c>
    </row>
    <row r="83" spans="2:6" hidden="1">
      <c r="B83" t="s">
        <v>2131</v>
      </c>
      <c r="C83" t="s">
        <v>963</v>
      </c>
      <c r="D83" t="s">
        <v>963</v>
      </c>
      <c r="E83" t="s">
        <v>2075</v>
      </c>
      <c r="F83" t="str">
        <f t="shared" si="1"/>
        <v>{ "v": "CAM_LV3_81", "n" : { "SYS": "Ombessa", "EN": "Ombessa" }, "vi" : [ { "r": "A-20", "o": "=", "t": "v", "v": "CAM_LV2_10" } ] },</v>
      </c>
    </row>
    <row r="84" spans="2:6" hidden="1">
      <c r="B84" t="s">
        <v>2132</v>
      </c>
      <c r="C84" t="s">
        <v>964</v>
      </c>
      <c r="D84" t="s">
        <v>964</v>
      </c>
      <c r="E84" t="s">
        <v>2077</v>
      </c>
      <c r="F84" t="str">
        <f t="shared" si="1"/>
        <v>{ "v": "CAM_LV3_82", "n" : { "SYS": "Saa", "EN": "Saa" }, "vi" : [ { "r": "A-20", "o": "=", "t": "v", "v": "CAM_LV2_11" } ] },</v>
      </c>
    </row>
    <row r="85" spans="2:6" hidden="1">
      <c r="B85" t="s">
        <v>2133</v>
      </c>
      <c r="C85" t="s">
        <v>965</v>
      </c>
      <c r="D85" t="s">
        <v>965</v>
      </c>
      <c r="E85" t="s">
        <v>2064</v>
      </c>
      <c r="F85" t="str">
        <f t="shared" si="1"/>
        <v>{ "v": "CAM_LV3_83", "n" : { "SYS": "Soa", "EN": "Soa" }, "vi" : [ { "r": "A-20", "o": "=", "t": "v", "v": "CAM_LV2_6" } ] },</v>
      </c>
    </row>
    <row r="86" spans="2:6" hidden="1">
      <c r="B86" t="s">
        <v>2134</v>
      </c>
      <c r="C86" t="s">
        <v>967</v>
      </c>
      <c r="D86" t="s">
        <v>967</v>
      </c>
      <c r="E86" t="s">
        <v>2135</v>
      </c>
      <c r="F86" t="str">
        <f t="shared" si="1"/>
        <v>{ "v": "CAM_LV3_84", "n" : { "SYS": "Yaounde 1er", "EN": "Yaounde 1er" }, "vi" : [ { "r": "A-20", "o": "=", "t": "v", "v": "CAM_LV2_15" } ] },</v>
      </c>
    </row>
    <row r="87" spans="2:6" hidden="1">
      <c r="B87" t="s">
        <v>2136</v>
      </c>
      <c r="C87" t="s">
        <v>968</v>
      </c>
      <c r="D87" t="s">
        <v>968</v>
      </c>
      <c r="E87" t="s">
        <v>2135</v>
      </c>
      <c r="F87" t="str">
        <f t="shared" si="1"/>
        <v>{ "v": "CAM_LV3_85", "n" : { "SYS": "Yaounde 2e", "EN": "Yaounde 2e" }, "vi" : [ { "r": "A-20", "o": "=", "t": "v", "v": "CAM_LV2_15" } ] },</v>
      </c>
    </row>
    <row r="88" spans="2:6" hidden="1">
      <c r="B88" t="s">
        <v>2137</v>
      </c>
      <c r="C88" t="s">
        <v>969</v>
      </c>
      <c r="D88" t="s">
        <v>969</v>
      </c>
      <c r="E88" t="s">
        <v>2135</v>
      </c>
      <c r="F88" t="str">
        <f t="shared" si="1"/>
        <v>{ "v": "CAM_LV3_86", "n" : { "SYS": "Yaounde 3e", "EN": "Yaounde 3e" }, "vi" : [ { "r": "A-20", "o": "=", "t": "v", "v": "CAM_LV2_15" } ] },</v>
      </c>
    </row>
    <row r="89" spans="2:6" hidden="1">
      <c r="B89" t="s">
        <v>2138</v>
      </c>
      <c r="C89" t="s">
        <v>970</v>
      </c>
      <c r="D89" t="s">
        <v>970</v>
      </c>
      <c r="E89" t="s">
        <v>2135</v>
      </c>
      <c r="F89" t="str">
        <f t="shared" si="1"/>
        <v>{ "v": "CAM_LV3_87", "n" : { "SYS": "Yaounde 4e", "EN": "Yaounde 4e" }, "vi" : [ { "r": "A-20", "o": "=", "t": "v", "v": "CAM_LV2_15" } ] },</v>
      </c>
    </row>
    <row r="90" spans="2:6" hidden="1">
      <c r="B90" t="s">
        <v>2139</v>
      </c>
      <c r="C90" t="s">
        <v>971</v>
      </c>
      <c r="D90" t="s">
        <v>971</v>
      </c>
      <c r="E90" t="s">
        <v>2135</v>
      </c>
      <c r="F90" t="str">
        <f t="shared" si="1"/>
        <v>{ "v": "CAM_LV3_88", "n" : { "SYS": "Yaounde 5e", "EN": "Yaounde 5e" }, "vi" : [ { "r": "A-20", "o": "=", "t": "v", "v": "CAM_LV2_15" } ] },</v>
      </c>
    </row>
    <row r="91" spans="2:6" hidden="1">
      <c r="B91" t="s">
        <v>2140</v>
      </c>
      <c r="C91" t="s">
        <v>972</v>
      </c>
      <c r="D91" t="s">
        <v>972</v>
      </c>
      <c r="E91" t="s">
        <v>2135</v>
      </c>
      <c r="F91" t="str">
        <f t="shared" si="1"/>
        <v>{ "v": "CAM_LV3_89", "n" : { "SYS": "Yaounde 6e", "EN": "Yaounde 6e" }, "vi" : [ { "r": "A-20", "o": "=", "t": "v", "v": "CAM_LV2_15" } ] },</v>
      </c>
    </row>
    <row r="92" spans="2:6" hidden="1">
      <c r="B92" t="s">
        <v>2141</v>
      </c>
      <c r="C92" t="s">
        <v>973</v>
      </c>
      <c r="D92" t="s">
        <v>973</v>
      </c>
      <c r="E92" t="s">
        <v>2135</v>
      </c>
      <c r="F92" t="str">
        <f t="shared" si="1"/>
        <v>{ "v": "CAM_LV3_90", "n" : { "SYS": "Yaounde 7e", "EN": "Yaounde 7e" }, "vi" : [ { "r": "A-20", "o": "=", "t": "v", "v": "CAM_LV2_15" } ] },</v>
      </c>
    </row>
    <row r="93" spans="2:6" hidden="1">
      <c r="B93" t="s">
        <v>2142</v>
      </c>
      <c r="C93" t="s">
        <v>974</v>
      </c>
      <c r="D93" t="s">
        <v>974</v>
      </c>
      <c r="E93" t="s">
        <v>2106</v>
      </c>
      <c r="F93" t="str">
        <f t="shared" si="1"/>
        <v>{ "v": "CAM_LV3_91", "n" : { "SYS": "Yoko", "EN": "Yoko" }, "vi" : [ { "r": "A-20", "o": "=", "t": "v", "v": "CAM_LV2_14" } ] },</v>
      </c>
    </row>
    <row r="94" spans="2:6" hidden="1">
      <c r="B94" t="s">
        <v>2143</v>
      </c>
      <c r="C94" t="s">
        <v>976</v>
      </c>
      <c r="D94" t="s">
        <v>976</v>
      </c>
      <c r="E94" t="s">
        <v>2144</v>
      </c>
      <c r="F94" t="str">
        <f t="shared" si="1"/>
        <v>{ "v": "CAM_LV3_92", "n" : { "SYS": "Dja", "EN": "Dja" }, "vi" : [ { "r": "A-20", "o": "=", "t": "v", "v": "CAM_LV2_16" } ] },</v>
      </c>
    </row>
    <row r="95" spans="2:6" hidden="1">
      <c r="B95" t="s">
        <v>2145</v>
      </c>
      <c r="C95" t="s">
        <v>978</v>
      </c>
      <c r="D95" t="s">
        <v>978</v>
      </c>
      <c r="E95" t="s">
        <v>2146</v>
      </c>
      <c r="F95" t="str">
        <f t="shared" si="1"/>
        <v>{ "v": "CAM_LV3_93", "n" : { "SYS": "Ouli", "EN": "Ouli" }, "vi" : [ { "r": "A-20", "o": "=", "t": "v", "v": "CAM_LV2_17" } ] },</v>
      </c>
    </row>
    <row r="96" spans="2:6" hidden="1">
      <c r="B96" t="s">
        <v>2147</v>
      </c>
      <c r="C96" t="s">
        <v>979</v>
      </c>
      <c r="D96" t="s">
        <v>979</v>
      </c>
      <c r="E96" t="s">
        <v>2144</v>
      </c>
      <c r="F96" t="str">
        <f t="shared" si="1"/>
        <v>{ "v": "CAM_LV3_94", "n" : { "SYS": "Abong-Mbang", "EN": "Abong-Mbang" }, "vi" : [ { "r": "A-20", "o": "=", "t": "v", "v": "CAM_LV2_16" } ] },</v>
      </c>
    </row>
    <row r="97" spans="2:6" hidden="1">
      <c r="B97" t="s">
        <v>2148</v>
      </c>
      <c r="C97" t="s">
        <v>980</v>
      </c>
      <c r="D97" t="s">
        <v>980</v>
      </c>
      <c r="E97" t="s">
        <v>2146</v>
      </c>
      <c r="F97" t="str">
        <f t="shared" si="1"/>
        <v>{ "v": "CAM_LV3_95", "n" : { "SYS": "Batouri", "EN": "Batouri" }, "vi" : [ { "r": "A-20", "o": "=", "t": "v", "v": "CAM_LV2_17" } ] },</v>
      </c>
    </row>
    <row r="98" spans="2:6" hidden="1">
      <c r="B98" t="s">
        <v>2149</v>
      </c>
      <c r="C98" t="s">
        <v>981</v>
      </c>
      <c r="D98" t="s">
        <v>981</v>
      </c>
      <c r="E98" t="s">
        <v>2144</v>
      </c>
      <c r="F98" t="str">
        <f t="shared" si="1"/>
        <v>{ "v": "CAM_LV3_96", "n" : { "SYS": "Bebend", "EN": "Bebend" }, "vi" : [ { "r": "A-20", "o": "=", "t": "v", "v": "CAM_LV2_16" } ] },</v>
      </c>
    </row>
    <row r="99" spans="2:6" hidden="1">
      <c r="B99" t="s">
        <v>2150</v>
      </c>
      <c r="C99" t="s">
        <v>983</v>
      </c>
      <c r="D99" t="s">
        <v>983</v>
      </c>
      <c r="E99" t="s">
        <v>2151</v>
      </c>
      <c r="F99" t="str">
        <f t="shared" si="1"/>
        <v>{ "v": "CAM_LV3_97", "n" : { "SYS": "Belabo", "EN": "Belabo" }, "vi" : [ { "r": "A-20", "o": "=", "t": "v", "v": "CAM_LV2_18" } ] },</v>
      </c>
    </row>
    <row r="100" spans="2:6" hidden="1">
      <c r="B100" t="s">
        <v>2152</v>
      </c>
      <c r="C100" t="s">
        <v>984</v>
      </c>
      <c r="D100" t="s">
        <v>984</v>
      </c>
      <c r="E100" t="s">
        <v>2151</v>
      </c>
      <c r="F100" t="str">
        <f t="shared" si="1"/>
        <v>{ "v": "CAM_LV3_98", "n" : { "SYS": "Bertoua 1er", "EN": "Bertoua 1er" }, "vi" : [ { "r": "A-20", "o": "=", "t": "v", "v": "CAM_LV2_18" } ] },</v>
      </c>
    </row>
    <row r="101" spans="2:6" hidden="1">
      <c r="B101" t="s">
        <v>2153</v>
      </c>
      <c r="C101" t="s">
        <v>985</v>
      </c>
      <c r="D101" t="s">
        <v>985</v>
      </c>
      <c r="E101" t="s">
        <v>2151</v>
      </c>
      <c r="F101" t="str">
        <f t="shared" si="1"/>
        <v>{ "v": "CAM_LV3_99", "n" : { "SYS": "Bertoua 2e", "EN": "Bertoua 2e" }, "vi" : [ { "r": "A-20", "o": "=", "t": "v", "v": "CAM_LV2_18" } ] },</v>
      </c>
    </row>
    <row r="102" spans="2:6" hidden="1">
      <c r="B102" t="s">
        <v>2154</v>
      </c>
      <c r="C102" t="s">
        <v>986</v>
      </c>
      <c r="D102" t="s">
        <v>986</v>
      </c>
      <c r="E102" t="s">
        <v>2151</v>
      </c>
      <c r="F102" t="str">
        <f t="shared" si="1"/>
        <v>{ "v": "CAM_LV3_100", "n" : { "SYS": "Betare-Oya", "EN": "Betare-Oya" }, "vi" : [ { "r": "A-20", "o": "=", "t": "v", "v": "CAM_LV2_18" } ] },</v>
      </c>
    </row>
    <row r="103" spans="2:6" hidden="1">
      <c r="B103" t="s">
        <v>2155</v>
      </c>
      <c r="C103" t="s">
        <v>987</v>
      </c>
      <c r="D103" t="s">
        <v>987</v>
      </c>
      <c r="E103" t="s">
        <v>2146</v>
      </c>
      <c r="F103" t="str">
        <f t="shared" si="1"/>
        <v>{ "v": "CAM_LV3_101", "n" : { "SYS": "Kentzou", "EN": "Kentzou" }, "vi" : [ { "r": "A-20", "o": "=", "t": "v", "v": "CAM_LV2_17" } ] },</v>
      </c>
    </row>
    <row r="104" spans="2:6" hidden="1">
      <c r="B104" t="s">
        <v>2156</v>
      </c>
      <c r="C104" t="s">
        <v>988</v>
      </c>
      <c r="D104" t="s">
        <v>988</v>
      </c>
      <c r="E104" t="s">
        <v>2151</v>
      </c>
      <c r="F104" t="str">
        <f t="shared" si="1"/>
        <v>{ "v": "CAM_LV3_102", "n" : { "SYS": "Diang", "EN": "Diang" }, "vi" : [ { "r": "A-20", "o": "=", "t": "v", "v": "CAM_LV2_18" } ] },</v>
      </c>
    </row>
    <row r="105" spans="2:6" hidden="1">
      <c r="B105" t="s">
        <v>2157</v>
      </c>
      <c r="C105" t="s">
        <v>989</v>
      </c>
      <c r="D105" t="s">
        <v>989</v>
      </c>
      <c r="E105" t="s">
        <v>2144</v>
      </c>
      <c r="F105" t="str">
        <f t="shared" si="1"/>
        <v>{ "v": "CAM_LV3_103", "n" : { "SYS": "Dimako", "EN": "Dimako" }, "vi" : [ { "r": "A-20", "o": "=", "t": "v", "v": "CAM_LV2_16" } ] },</v>
      </c>
    </row>
    <row r="106" spans="2:6" hidden="1">
      <c r="B106" t="s">
        <v>2158</v>
      </c>
      <c r="C106" t="s">
        <v>990</v>
      </c>
      <c r="D106" t="s">
        <v>990</v>
      </c>
      <c r="E106" t="s">
        <v>2144</v>
      </c>
      <c r="F106" t="str">
        <f t="shared" si="1"/>
        <v>{ "v": "CAM_LV3_104", "n" : { "SYS": "Doumaintang", "EN": "Doumaintang" }, "vi" : [ { "r": "A-20", "o": "=", "t": "v", "v": "CAM_LV2_16" } ] },</v>
      </c>
    </row>
    <row r="107" spans="2:6" hidden="1">
      <c r="B107" t="s">
        <v>2159</v>
      </c>
      <c r="C107" t="s">
        <v>991</v>
      </c>
      <c r="D107" t="s">
        <v>991</v>
      </c>
      <c r="E107" t="s">
        <v>2144</v>
      </c>
      <c r="F107" t="str">
        <f t="shared" si="1"/>
        <v>{ "v": "CAM_LV3_105", "n" : { "SYS": "Doume", "EN": "Doume" }, "vi" : [ { "r": "A-20", "o": "=", "t": "v", "v": "CAM_LV2_16" } ] },</v>
      </c>
    </row>
    <row r="108" spans="2:6" hidden="1">
      <c r="B108" t="s">
        <v>2160</v>
      </c>
      <c r="C108" t="s">
        <v>993</v>
      </c>
      <c r="D108" t="s">
        <v>993</v>
      </c>
      <c r="E108" t="s">
        <v>2161</v>
      </c>
      <c r="F108" t="str">
        <f t="shared" si="1"/>
        <v>{ "v": "CAM_LV3_106", "n" : { "SYS": "Gari Gombo", "EN": "Gari Gombo" }, "vi" : [ { "r": "A-20", "o": "=", "t": "v", "v": "CAM_LV2_19" } ] },</v>
      </c>
    </row>
    <row r="109" spans="2:6" hidden="1">
      <c r="B109" t="s">
        <v>2162</v>
      </c>
      <c r="C109" t="s">
        <v>994</v>
      </c>
      <c r="D109" t="s">
        <v>994</v>
      </c>
      <c r="E109" t="s">
        <v>2151</v>
      </c>
      <c r="F109" t="str">
        <f t="shared" si="1"/>
        <v>{ "v": "CAM_LV3_107", "n" : { "SYS": "Garoua-Boulai", "EN": "Garoua-Boulai" }, "vi" : [ { "r": "A-20", "o": "=", "t": "v", "v": "CAM_LV2_18" } ] },</v>
      </c>
    </row>
    <row r="110" spans="2:6" hidden="1">
      <c r="B110" t="s">
        <v>2163</v>
      </c>
      <c r="C110" t="s">
        <v>995</v>
      </c>
      <c r="D110" t="s">
        <v>995</v>
      </c>
      <c r="E110" t="s">
        <v>2146</v>
      </c>
      <c r="F110" t="str">
        <f t="shared" si="1"/>
        <v>{ "v": "CAM_LV3_108", "n" : { "SYS": "Kette", "EN": "Kette" }, "vi" : [ { "r": "A-20", "o": "=", "t": "v", "v": "CAM_LV2_17" } ] },</v>
      </c>
    </row>
    <row r="111" spans="2:6" hidden="1">
      <c r="B111" t="s">
        <v>2164</v>
      </c>
      <c r="C111" t="s">
        <v>996</v>
      </c>
      <c r="D111" t="s">
        <v>996</v>
      </c>
      <c r="E111" t="s">
        <v>2144</v>
      </c>
      <c r="F111" t="str">
        <f t="shared" si="1"/>
        <v>{ "v": "CAM_LV3_109", "n" : { "SYS": "Lomie", "EN": "Lomie" }, "vi" : [ { "r": "A-20", "o": "=", "t": "v", "v": "CAM_LV2_16" } ] },</v>
      </c>
    </row>
    <row r="112" spans="2:6" hidden="1">
      <c r="B112" t="s">
        <v>2165</v>
      </c>
      <c r="C112" t="s">
        <v>997</v>
      </c>
      <c r="D112" t="s">
        <v>997</v>
      </c>
      <c r="E112" t="s">
        <v>2151</v>
      </c>
      <c r="F112" t="str">
        <f t="shared" si="1"/>
        <v>{ "v": "CAM_LV3_110", "n" : { "SYS": "Mandjou", "EN": "Mandjou" }, "vi" : [ { "r": "A-20", "o": "=", "t": "v", "v": "CAM_LV2_18" } ] },</v>
      </c>
    </row>
    <row r="113" spans="2:6" hidden="1">
      <c r="B113" t="s">
        <v>2166</v>
      </c>
      <c r="C113" t="s">
        <v>998</v>
      </c>
      <c r="D113" t="s">
        <v>998</v>
      </c>
      <c r="E113" t="s">
        <v>2146</v>
      </c>
      <c r="F113" t="str">
        <f t="shared" si="1"/>
        <v>{ "v": "CAM_LV3_111", "n" : { "SYS": "Mbang", "EN": "Mbang" }, "vi" : [ { "r": "A-20", "o": "=", "t": "v", "v": "CAM_LV2_17" } ] },</v>
      </c>
    </row>
    <row r="114" spans="2:6" hidden="1">
      <c r="B114" t="s">
        <v>2167</v>
      </c>
      <c r="C114" t="s">
        <v>999</v>
      </c>
      <c r="D114" t="s">
        <v>999</v>
      </c>
      <c r="E114" t="s">
        <v>2144</v>
      </c>
      <c r="F114" t="str">
        <f t="shared" si="1"/>
        <v>{ "v": "CAM_LV3_112", "n" : { "SYS": "Mboanz", "EN": "Mboanz" }, "vi" : [ { "r": "A-20", "o": "=", "t": "v", "v": "CAM_LV2_16" } ] },</v>
      </c>
    </row>
    <row r="115" spans="2:6" hidden="1">
      <c r="B115" t="s">
        <v>2168</v>
      </c>
      <c r="C115" t="s">
        <v>1000</v>
      </c>
      <c r="D115" t="s">
        <v>1000</v>
      </c>
      <c r="E115" t="s">
        <v>2144</v>
      </c>
      <c r="F115" t="str">
        <f t="shared" si="1"/>
        <v>{ "v": "CAM_LV3_113", "n" : { "SYS": "Mboma", "EN": "Mboma" }, "vi" : [ { "r": "A-20", "o": "=", "t": "v", "v": "CAM_LV2_16" } ] },</v>
      </c>
    </row>
    <row r="116" spans="2:6" hidden="1">
      <c r="B116" t="s">
        <v>2169</v>
      </c>
      <c r="C116" t="s">
        <v>1001</v>
      </c>
      <c r="D116" t="s">
        <v>1001</v>
      </c>
      <c r="E116" t="s">
        <v>2146</v>
      </c>
      <c r="F116" t="str">
        <f t="shared" si="1"/>
        <v>{ "v": "CAM_LV3_114", "n" : { "SYS": "Mbotoro", "EN": "Mbotoro" }, "vi" : [ { "r": "A-20", "o": "=", "t": "v", "v": "CAM_LV2_17" } ] },</v>
      </c>
    </row>
    <row r="117" spans="2:6" hidden="1">
      <c r="B117" t="s">
        <v>2170</v>
      </c>
      <c r="C117" t="s">
        <v>1002</v>
      </c>
      <c r="D117" t="s">
        <v>1002</v>
      </c>
      <c r="E117" t="s">
        <v>2144</v>
      </c>
      <c r="F117" t="str">
        <f t="shared" si="1"/>
        <v>{ "v": "CAM_LV3_115", "n" : { "SYS": "Messamena", "EN": "Messamena" }, "vi" : [ { "r": "A-20", "o": "=", "t": "v", "v": "CAM_LV2_16" } ] },</v>
      </c>
    </row>
    <row r="118" spans="2:6" hidden="1">
      <c r="B118" t="s">
        <v>2171</v>
      </c>
      <c r="C118" t="s">
        <v>1003</v>
      </c>
      <c r="D118" t="s">
        <v>1003</v>
      </c>
      <c r="E118" t="s">
        <v>2144</v>
      </c>
      <c r="F118" t="str">
        <f t="shared" si="1"/>
        <v>{ "v": "CAM_LV3_116", "n" : { "SYS": "Messok", "EN": "Messok" }, "vi" : [ { "r": "A-20", "o": "=", "t": "v", "v": "CAM_LV2_16" } ] },</v>
      </c>
    </row>
    <row r="119" spans="2:6" hidden="1">
      <c r="B119" t="s">
        <v>2172</v>
      </c>
      <c r="C119" t="s">
        <v>1004</v>
      </c>
      <c r="D119" t="s">
        <v>1004</v>
      </c>
      <c r="E119" t="s">
        <v>2161</v>
      </c>
      <c r="F119" t="str">
        <f t="shared" si="1"/>
        <v>{ "v": "CAM_LV3_117", "n" : { "SYS": "Moloundou", "EN": "Moloundou" }, "vi" : [ { "r": "A-20", "o": "=", "t": "v", "v": "CAM_LV2_19" } ] },</v>
      </c>
    </row>
    <row r="120" spans="2:6" hidden="1">
      <c r="B120" t="s">
        <v>2173</v>
      </c>
      <c r="C120" t="s">
        <v>1005</v>
      </c>
      <c r="D120" t="s">
        <v>1005</v>
      </c>
      <c r="E120" t="s">
        <v>2146</v>
      </c>
      <c r="F120" t="str">
        <f t="shared" si="1"/>
        <v>{ "v": "CAM_LV3_118", "n" : { "SYS": "Ndelele", "EN": "Ndelele" }, "vi" : [ { "r": "A-20", "o": "=", "t": "v", "v": "CAM_LV2_17" } ] },</v>
      </c>
    </row>
    <row r="121" spans="2:6" hidden="1">
      <c r="B121" t="s">
        <v>2174</v>
      </c>
      <c r="C121" t="s">
        <v>1006</v>
      </c>
      <c r="D121" t="s">
        <v>1006</v>
      </c>
      <c r="E121" t="s">
        <v>2151</v>
      </c>
      <c r="F121" t="str">
        <f t="shared" si="1"/>
        <v>{ "v": "CAM_LV3_119", "n" : { "SYS": "Ngoura", "EN": "Ngoura" }, "vi" : [ { "r": "A-20", "o": "=", "t": "v", "v": "CAM_LV2_18" } ] },</v>
      </c>
    </row>
    <row r="122" spans="2:6" hidden="1">
      <c r="B122" t="s">
        <v>2175</v>
      </c>
      <c r="C122" t="s">
        <v>1007</v>
      </c>
      <c r="D122" t="s">
        <v>1007</v>
      </c>
      <c r="E122" t="s">
        <v>2144</v>
      </c>
      <c r="F122" t="str">
        <f t="shared" si="1"/>
        <v>{ "v": "CAM_LV3_120", "n" : { "SYS": "Mindourou", "EN": "Mindourou" }, "vi" : [ { "r": "A-20", "o": "=", "t": "v", "v": "CAM_LV2_16" } ] },</v>
      </c>
    </row>
    <row r="123" spans="2:6" hidden="1">
      <c r="B123" t="s">
        <v>2176</v>
      </c>
      <c r="C123" t="s">
        <v>1008</v>
      </c>
      <c r="D123" t="s">
        <v>1008</v>
      </c>
      <c r="E123" t="s">
        <v>2144</v>
      </c>
      <c r="F123" t="str">
        <f t="shared" si="1"/>
        <v>{ "v": "CAM_LV3_121", "n" : { "SYS": "Ngoyla", "EN": "Ngoyla" }, "vi" : [ { "r": "A-20", "o": "=", "t": "v", "v": "CAM_LV2_16" } ] },</v>
      </c>
    </row>
    <row r="124" spans="2:6" hidden="1">
      <c r="B124" t="s">
        <v>2177</v>
      </c>
      <c r="C124" t="s">
        <v>1009</v>
      </c>
      <c r="D124" t="s">
        <v>1009</v>
      </c>
      <c r="E124" t="s">
        <v>2144</v>
      </c>
      <c r="F124" t="str">
        <f t="shared" si="1"/>
        <v>{ "v": "CAM_LV3_122", "n" : { "SYS": "Nguelemendouka", "EN": "Nguelemendouka" }, "vi" : [ { "r": "A-20", "o": "=", "t": "v", "v": "CAM_LV2_16" } ] },</v>
      </c>
    </row>
    <row r="125" spans="2:6" hidden="1">
      <c r="B125" t="s">
        <v>2178</v>
      </c>
      <c r="C125" t="s">
        <v>1010</v>
      </c>
      <c r="D125" t="s">
        <v>1010</v>
      </c>
      <c r="E125" t="s">
        <v>2161</v>
      </c>
      <c r="F125" t="str">
        <f t="shared" si="1"/>
        <v>{ "v": "CAM_LV3_123", "n" : { "SYS": "Salapoumbe", "EN": "Salapoumbe" }, "vi" : [ { "r": "A-20", "o": "=", "t": "v", "v": "CAM_LV2_19" } ] },</v>
      </c>
    </row>
    <row r="126" spans="2:6" hidden="1">
      <c r="B126" t="s">
        <v>2179</v>
      </c>
      <c r="C126" t="s">
        <v>1011</v>
      </c>
      <c r="D126" t="s">
        <v>1011</v>
      </c>
      <c r="E126" t="s">
        <v>2144</v>
      </c>
      <c r="F126" t="str">
        <f t="shared" si="1"/>
        <v>{ "v": "CAM_LV3_124", "n" : { "SYS": "Somalomo", "EN": "Somalomo" }, "vi" : [ { "r": "A-20", "o": "=", "t": "v", "v": "CAM_LV2_16" } ] },</v>
      </c>
    </row>
    <row r="127" spans="2:6" hidden="1">
      <c r="B127" t="s">
        <v>2180</v>
      </c>
      <c r="C127" t="s">
        <v>1012</v>
      </c>
      <c r="D127" t="s">
        <v>1012</v>
      </c>
      <c r="E127" t="s">
        <v>2161</v>
      </c>
      <c r="F127" t="str">
        <f t="shared" si="1"/>
        <v>{ "v": "CAM_LV3_125", "n" : { "SYS": "Yokadouma", "EN": "Yokadouma" }, "vi" : [ { "r": "A-20", "o": "=", "t": "v", "v": "CAM_LV2_19" } ] },</v>
      </c>
    </row>
    <row r="128" spans="2:6" hidden="1">
      <c r="B128" t="s">
        <v>2181</v>
      </c>
      <c r="C128" t="s">
        <v>1014</v>
      </c>
      <c r="D128" t="s">
        <v>1014</v>
      </c>
      <c r="E128" t="s">
        <v>2182</v>
      </c>
      <c r="F128" t="str">
        <f t="shared" si="1"/>
        <v>{ "v": "CAM_LV3_126", "n" : { "SYS": "Kaélé", "EN": "Kaélé" }, "vi" : [ { "r": "A-20", "o": "=", "t": "v", "v": "CAM_LV2_20" } ] },</v>
      </c>
    </row>
    <row r="129" spans="2:6" hidden="1">
      <c r="B129" t="s">
        <v>2183</v>
      </c>
      <c r="C129" t="s">
        <v>1015</v>
      </c>
      <c r="D129" t="s">
        <v>1015</v>
      </c>
      <c r="E129" t="s">
        <v>2182</v>
      </c>
      <c r="F129" t="str">
        <f t="shared" si="1"/>
        <v>{ "v": "CAM_LV3_127", "n" : { "SYS": "Mindif", "EN": "Mindif" }, "vi" : [ { "r": "A-20", "o": "=", "t": "v", "v": "CAM_LV2_20" } ] },</v>
      </c>
    </row>
    <row r="130" spans="2:6" hidden="1">
      <c r="B130" t="s">
        <v>2184</v>
      </c>
      <c r="C130" t="s">
        <v>1016</v>
      </c>
      <c r="D130" t="s">
        <v>1016</v>
      </c>
      <c r="E130" t="s">
        <v>2182</v>
      </c>
      <c r="F130" t="str">
        <f t="shared" si="1"/>
        <v>{ "v": "CAM_LV3_128", "n" : { "SYS": "Moutourwa", "EN": "Moutourwa" }, "vi" : [ { "r": "A-20", "o": "=", "t": "v", "v": "CAM_LV2_20" } ] },</v>
      </c>
    </row>
    <row r="131" spans="2:6" hidden="1">
      <c r="B131" t="s">
        <v>2185</v>
      </c>
      <c r="C131" t="s">
        <v>1017</v>
      </c>
      <c r="D131" t="s">
        <v>1017</v>
      </c>
      <c r="E131" t="s">
        <v>2182</v>
      </c>
      <c r="F131" t="str">
        <f t="shared" ref="F131:F194" si="2">_xlfn.CONCAT(liststart,B131,listlareport,C131,listlat,D131,area_vis_lv21,E131,areavisend)</f>
        <v>{ "v": "CAM_LV3_129", "n" : { "SYS": "Touloum", "EN": "Touloum" }, "vi" : [ { "r": "A-20", "o": "=", "t": "v", "v": "CAM_LV2_20" } ] },</v>
      </c>
    </row>
    <row r="132" spans="2:6" hidden="1">
      <c r="B132" t="s">
        <v>2186</v>
      </c>
      <c r="C132" t="s">
        <v>1019</v>
      </c>
      <c r="D132" t="s">
        <v>1019</v>
      </c>
      <c r="E132" t="s">
        <v>2187</v>
      </c>
      <c r="F132" t="str">
        <f t="shared" si="2"/>
        <v>{ "v": "CAM_LV3_130", "n" : { "SYS": "Blangoua", "EN": "Blangoua" }, "vi" : [ { "r": "A-20", "o": "=", "t": "v", "v": "CAM_LV2_21" } ] },</v>
      </c>
    </row>
    <row r="133" spans="2:6" hidden="1">
      <c r="B133" t="s">
        <v>2188</v>
      </c>
      <c r="C133" t="s">
        <v>1021</v>
      </c>
      <c r="D133" t="s">
        <v>1021</v>
      </c>
      <c r="E133" t="s">
        <v>2189</v>
      </c>
      <c r="F133" t="str">
        <f t="shared" si="2"/>
        <v>{ "v": "CAM_LV3_131", "n" : { "SYS": "Bogo", "EN": "Bogo" }, "vi" : [ { "r": "A-20", "o": "=", "t": "v", "v": "CAM_LV2_22" } ] },</v>
      </c>
    </row>
    <row r="134" spans="2:6" hidden="1">
      <c r="B134" t="s">
        <v>2190</v>
      </c>
      <c r="C134" t="s">
        <v>1023</v>
      </c>
      <c r="D134" t="s">
        <v>1023</v>
      </c>
      <c r="E134" t="s">
        <v>2191</v>
      </c>
      <c r="F134" t="str">
        <f t="shared" si="2"/>
        <v>{ "v": "CAM_LV3_132", "n" : { "SYS": "Bourrha", "EN": "Bourrha" }, "vi" : [ { "r": "A-20", "o": "=", "t": "v", "v": "CAM_LV2_23" } ] },</v>
      </c>
    </row>
    <row r="135" spans="2:6" hidden="1">
      <c r="B135" t="s">
        <v>2192</v>
      </c>
      <c r="C135" t="s">
        <v>1024</v>
      </c>
      <c r="D135" t="s">
        <v>1024</v>
      </c>
      <c r="E135" t="s">
        <v>2187</v>
      </c>
      <c r="F135" t="str">
        <f t="shared" si="2"/>
        <v>{ "v": "CAM_LV3_133", "n" : { "SYS": "Darak", "EN": "Darak" }, "vi" : [ { "r": "A-20", "o": "=", "t": "v", "v": "CAM_LV2_21" } ] },</v>
      </c>
    </row>
    <row r="136" spans="2:6" hidden="1">
      <c r="B136" t="s">
        <v>2193</v>
      </c>
      <c r="C136" t="s">
        <v>1025</v>
      </c>
      <c r="D136" t="s">
        <v>1025</v>
      </c>
      <c r="E136" t="s">
        <v>2189</v>
      </c>
      <c r="F136" t="str">
        <f t="shared" si="2"/>
        <v>{ "v": "CAM_LV3_134", "n" : { "SYS": "Dargala", "EN": "Dargala" }, "vi" : [ { "r": "A-20", "o": "=", "t": "v", "v": "CAM_LV2_22" } ] },</v>
      </c>
    </row>
    <row r="137" spans="2:6" hidden="1">
      <c r="B137" t="s">
        <v>2194</v>
      </c>
      <c r="C137" t="s">
        <v>1027</v>
      </c>
      <c r="D137" t="s">
        <v>1027</v>
      </c>
      <c r="E137" t="s">
        <v>2195</v>
      </c>
      <c r="F137" t="str">
        <f t="shared" si="2"/>
        <v>{ "v": "CAM_LV3_135", "n" : { "SYS": "Datcheka", "EN": "Datcheka" }, "vi" : [ { "r": "A-20", "o": "=", "t": "v", "v": "CAM_LV2_24" } ] },</v>
      </c>
    </row>
    <row r="138" spans="2:6" hidden="1">
      <c r="B138" t="s">
        <v>2196</v>
      </c>
      <c r="C138" t="s">
        <v>1028</v>
      </c>
      <c r="D138" t="s">
        <v>1028</v>
      </c>
      <c r="E138" t="s">
        <v>2187</v>
      </c>
      <c r="F138" t="str">
        <f t="shared" si="2"/>
        <v>{ "v": "CAM_LV3_136", "n" : { "SYS": "Fotokol", "EN": "Fotokol" }, "vi" : [ { "r": "A-20", "o": "=", "t": "v", "v": "CAM_LV2_21" } ] },</v>
      </c>
    </row>
    <row r="139" spans="2:6" hidden="1">
      <c r="B139" t="s">
        <v>2197</v>
      </c>
      <c r="C139" t="s">
        <v>1029</v>
      </c>
      <c r="D139" t="s">
        <v>1029</v>
      </c>
      <c r="E139" t="s">
        <v>2189</v>
      </c>
      <c r="F139" t="str">
        <f t="shared" si="2"/>
        <v>{ "v": "CAM_LV3_137", "n" : { "SYS": "Gazawa", "EN": "Gazawa" }, "vi" : [ { "r": "A-20", "o": "=", "t": "v", "v": "CAM_LV2_22" } ] },</v>
      </c>
    </row>
    <row r="140" spans="2:6" hidden="1">
      <c r="B140" t="s">
        <v>2198</v>
      </c>
      <c r="C140" t="s">
        <v>1030</v>
      </c>
      <c r="D140" t="s">
        <v>1030</v>
      </c>
      <c r="E140" t="s">
        <v>2195</v>
      </c>
      <c r="F140" t="str">
        <f t="shared" si="2"/>
        <v>{ "v": "CAM_LV3_138", "n" : { "SYS": "Gobo", "EN": "Gobo" }, "vi" : [ { "r": "A-20", "o": "=", "t": "v", "v": "CAM_LV2_24" } ] },</v>
      </c>
    </row>
    <row r="141" spans="2:6" hidden="1">
      <c r="B141" t="s">
        <v>2199</v>
      </c>
      <c r="C141" t="s">
        <v>1031</v>
      </c>
      <c r="D141" t="s">
        <v>1031</v>
      </c>
      <c r="E141" t="s">
        <v>2187</v>
      </c>
      <c r="F141" t="str">
        <f t="shared" si="2"/>
        <v>{ "v": "CAM_LV3_139", "n" : { "SYS": "Goulfey", "EN": "Goulfey" }, "vi" : [ { "r": "A-20", "o": "=", "t": "v", "v": "CAM_LV2_21" } ] },</v>
      </c>
    </row>
    <row r="142" spans="2:6" hidden="1">
      <c r="B142" t="s">
        <v>2200</v>
      </c>
      <c r="C142" t="s">
        <v>1032</v>
      </c>
      <c r="D142" t="s">
        <v>1032</v>
      </c>
      <c r="E142" t="s">
        <v>2195</v>
      </c>
      <c r="F142" t="str">
        <f t="shared" si="2"/>
        <v>{ "v": "CAM_LV3_140", "n" : { "SYS": "Guémé", "EN": "Guémé" }, "vi" : [ { "r": "A-20", "o": "=", "t": "v", "v": "CAM_LV2_24" } ] },</v>
      </c>
    </row>
    <row r="143" spans="2:6" hidden="1">
      <c r="B143" t="s">
        <v>2201</v>
      </c>
      <c r="C143" t="s">
        <v>1033</v>
      </c>
      <c r="D143" t="s">
        <v>1033</v>
      </c>
      <c r="E143" t="s">
        <v>2195</v>
      </c>
      <c r="F143" t="str">
        <f t="shared" si="2"/>
        <v>{ "v": "CAM_LV3_141", "n" : { "SYS": "Guéré", "EN": "Guéré" }, "vi" : [ { "r": "A-20", "o": "=", "t": "v", "v": "CAM_LV2_24" } ] },</v>
      </c>
    </row>
    <row r="144" spans="2:6" hidden="1">
      <c r="B144" t="s">
        <v>2202</v>
      </c>
      <c r="C144" t="s">
        <v>1034</v>
      </c>
      <c r="D144" t="s">
        <v>1034</v>
      </c>
      <c r="E144" t="s">
        <v>2182</v>
      </c>
      <c r="F144" t="str">
        <f t="shared" si="2"/>
        <v>{ "v": "CAM_LV3_142", "n" : { "SYS": "Dziguilao", "EN": "Dziguilao" }, "vi" : [ { "r": "A-20", "o": "=", "t": "v", "v": "CAM_LV2_20" } ] },</v>
      </c>
    </row>
    <row r="145" spans="2:6" hidden="1">
      <c r="B145" t="s">
        <v>2203</v>
      </c>
      <c r="C145" t="s">
        <v>1035</v>
      </c>
      <c r="D145" t="s">
        <v>1035</v>
      </c>
      <c r="E145" t="s">
        <v>2187</v>
      </c>
      <c r="F145" t="str">
        <f t="shared" si="2"/>
        <v>{ "v": "CAM_LV3_143", "n" : { "SYS": "Ibou", "EN": "Ibou" }, "vi" : [ { "r": "A-20", "o": "=", "t": "v", "v": "CAM_LV2_21" } ] },</v>
      </c>
    </row>
    <row r="146" spans="2:6" hidden="1">
      <c r="B146" t="s">
        <v>2204</v>
      </c>
      <c r="C146" t="s">
        <v>1036</v>
      </c>
      <c r="D146" t="s">
        <v>1036</v>
      </c>
      <c r="E146" t="s">
        <v>2187</v>
      </c>
      <c r="F146" t="str">
        <f t="shared" si="2"/>
        <v>{ "v": "CAM_LV3_144", "n" : { "SYS": "Hile-Alifa", "EN": "Hile-Alifa" }, "vi" : [ { "r": "A-20", "o": "=", "t": "v", "v": "CAM_LV2_21" } ] },</v>
      </c>
    </row>
    <row r="147" spans="2:6" hidden="1">
      <c r="B147" t="s">
        <v>2205</v>
      </c>
      <c r="C147" t="s">
        <v>1037</v>
      </c>
      <c r="D147" t="s">
        <v>1037</v>
      </c>
      <c r="E147" t="s">
        <v>2191</v>
      </c>
      <c r="F147" t="str">
        <f t="shared" si="2"/>
        <v>{ "v": "CAM_LV3_145", "n" : { "SYS": "Hina", "EN": "Hina" }, "vi" : [ { "r": "A-20", "o": "=", "t": "v", "v": "CAM_LV2_23" } ] },</v>
      </c>
    </row>
    <row r="148" spans="2:6" hidden="1">
      <c r="B148" t="s">
        <v>2206</v>
      </c>
      <c r="C148" t="s">
        <v>1038</v>
      </c>
      <c r="D148" t="s">
        <v>1038</v>
      </c>
      <c r="E148" t="s">
        <v>2182</v>
      </c>
      <c r="F148" t="str">
        <f t="shared" si="2"/>
        <v>{ "v": "CAM_LV3_146", "n" : { "SYS": "Guidiguis", "EN": "Guidiguis" }, "vi" : [ { "r": "A-20", "o": "=", "t": "v", "v": "CAM_LV2_20" } ] },</v>
      </c>
    </row>
    <row r="149" spans="2:6" hidden="1">
      <c r="B149" t="s">
        <v>2207</v>
      </c>
      <c r="C149" t="s">
        <v>1039</v>
      </c>
      <c r="D149" t="s">
        <v>1039</v>
      </c>
      <c r="E149" t="s">
        <v>2195</v>
      </c>
      <c r="F149" t="str">
        <f t="shared" si="2"/>
        <v>{ "v": "CAM_LV3_147", "n" : { "SYS": "Kai-Kai", "EN": "Kai-Kai" }, "vi" : [ { "r": "A-20", "o": "=", "t": "v", "v": "CAM_LV2_24" } ] },</v>
      </c>
    </row>
    <row r="150" spans="2:6" hidden="1">
      <c r="B150" t="s">
        <v>2208</v>
      </c>
      <c r="C150" t="s">
        <v>1040</v>
      </c>
      <c r="D150" t="s">
        <v>1040</v>
      </c>
      <c r="E150" t="s">
        <v>2195</v>
      </c>
      <c r="F150" t="str">
        <f t="shared" si="2"/>
        <v>{ "v": "CAM_LV3_148", "n" : { "SYS": "Kalfou", "EN": "Kalfou" }, "vi" : [ { "r": "A-20", "o": "=", "t": "v", "v": "CAM_LV2_24" } ] },</v>
      </c>
    </row>
    <row r="151" spans="2:6" hidden="1">
      <c r="B151" t="s">
        <v>2209</v>
      </c>
      <c r="C151" t="s">
        <v>1041</v>
      </c>
      <c r="D151" t="s">
        <v>1041</v>
      </c>
      <c r="E151" t="s">
        <v>2195</v>
      </c>
      <c r="F151" t="str">
        <f t="shared" si="2"/>
        <v>{ "v": "CAM_LV3_149", "n" : { "SYS": "Kar-Hay", "EN": "Kar-Hay" }, "vi" : [ { "r": "A-20", "o": "=", "t": "v", "v": "CAM_LV2_24" } ] },</v>
      </c>
    </row>
    <row r="152" spans="2:6" hidden="1">
      <c r="B152" t="s">
        <v>2210</v>
      </c>
      <c r="C152" t="s">
        <v>1043</v>
      </c>
      <c r="D152" t="s">
        <v>1043</v>
      </c>
      <c r="E152" t="s">
        <v>2211</v>
      </c>
      <c r="F152" t="str">
        <f t="shared" si="2"/>
        <v>{ "v": "CAM_LV3_150", "n" : { "SYS": "Kolofata", "EN": "Kolofata" }, "vi" : [ { "r": "A-20", "o": "=", "t": "v", "v": "CAM_LV2_25" } ] },</v>
      </c>
    </row>
    <row r="153" spans="2:6" hidden="1">
      <c r="B153" t="s">
        <v>2212</v>
      </c>
      <c r="C153" t="s">
        <v>1044</v>
      </c>
      <c r="D153" t="s">
        <v>1044</v>
      </c>
      <c r="E153" t="s">
        <v>2187</v>
      </c>
      <c r="F153" t="str">
        <f t="shared" si="2"/>
        <v>{ "v": "CAM_LV3_151", "n" : { "SYS": "Kousseri", "EN": "Kousseri" }, "vi" : [ { "r": "A-20", "o": "=", "t": "v", "v": "CAM_LV2_21" } ] },</v>
      </c>
    </row>
    <row r="154" spans="2:6" hidden="1">
      <c r="B154" t="s">
        <v>2213</v>
      </c>
      <c r="C154" t="s">
        <v>1045</v>
      </c>
      <c r="D154" t="s">
        <v>1045</v>
      </c>
      <c r="E154" t="s">
        <v>2191</v>
      </c>
      <c r="F154" t="str">
        <f t="shared" si="2"/>
        <v>{ "v": "CAM_LV3_152", "n" : { "SYS": "Koza", "EN": "Koza" }, "vi" : [ { "r": "A-20", "o": "=", "t": "v", "v": "CAM_LV2_23" } ] },</v>
      </c>
    </row>
    <row r="155" spans="2:6" hidden="1">
      <c r="B155" t="s">
        <v>2214</v>
      </c>
      <c r="C155" t="s">
        <v>1046</v>
      </c>
      <c r="D155" t="s">
        <v>1046</v>
      </c>
      <c r="E155" t="s">
        <v>2187</v>
      </c>
      <c r="F155" t="str">
        <f t="shared" si="2"/>
        <v>{ "v": "CAM_LV3_153", "n" : { "SYS": "Logone-Birni", "EN": "Logone-Birni" }, "vi" : [ { "r": "A-20", "o": "=", "t": "v", "v": "CAM_LV2_21" } ] },</v>
      </c>
    </row>
    <row r="156" spans="2:6" hidden="1">
      <c r="B156" t="s">
        <v>2215</v>
      </c>
      <c r="C156" t="s">
        <v>1047</v>
      </c>
      <c r="D156" t="s">
        <v>1047</v>
      </c>
      <c r="E156" t="s">
        <v>2195</v>
      </c>
      <c r="F156" t="str">
        <f t="shared" si="2"/>
        <v>{ "v": "CAM_LV3_154", "n" : { "SYS": "Maga", "EN": "Maga" }, "vi" : [ { "r": "A-20", "o": "=", "t": "v", "v": "CAM_LV2_24" } ] },</v>
      </c>
    </row>
    <row r="157" spans="2:6" hidden="1">
      <c r="B157" t="s">
        <v>2216</v>
      </c>
      <c r="C157" t="s">
        <v>1048</v>
      </c>
      <c r="D157" t="s">
        <v>1048</v>
      </c>
      <c r="E157" t="s">
        <v>2187</v>
      </c>
      <c r="F157" t="str">
        <f t="shared" si="2"/>
        <v>{ "v": "CAM_LV3_155", "n" : { "SYS": "Makary", "EN": "Makary" }, "vi" : [ { "r": "A-20", "o": "=", "t": "v", "v": "CAM_LV2_21" } ] },</v>
      </c>
    </row>
    <row r="158" spans="2:6" hidden="1">
      <c r="B158" t="s">
        <v>2217</v>
      </c>
      <c r="C158" t="s">
        <v>1049</v>
      </c>
      <c r="D158" t="s">
        <v>1049</v>
      </c>
      <c r="E158" t="s">
        <v>2189</v>
      </c>
      <c r="F158" t="str">
        <f t="shared" si="2"/>
        <v>{ "v": "CAM_LV3_156", "n" : { "SYS": "Maroua 1er", "EN": "Maroua 1er" }, "vi" : [ { "r": "A-20", "o": "=", "t": "v", "v": "CAM_LV2_22" } ] },</v>
      </c>
    </row>
    <row r="159" spans="2:6" hidden="1">
      <c r="B159" t="s">
        <v>2218</v>
      </c>
      <c r="C159" t="s">
        <v>1050</v>
      </c>
      <c r="D159" t="s">
        <v>1050</v>
      </c>
      <c r="E159" t="s">
        <v>2189</v>
      </c>
      <c r="F159" t="str">
        <f t="shared" si="2"/>
        <v>{ "v": "CAM_LV3_157", "n" : { "SYS": "Maroua 2e", "EN": "Maroua 2e" }, "vi" : [ { "r": "A-20", "o": "=", "t": "v", "v": "CAM_LV2_22" } ] },</v>
      </c>
    </row>
    <row r="160" spans="2:6" hidden="1">
      <c r="B160" t="s">
        <v>2219</v>
      </c>
      <c r="C160" t="s">
        <v>1051</v>
      </c>
      <c r="D160" t="s">
        <v>1051</v>
      </c>
      <c r="E160" t="s">
        <v>2189</v>
      </c>
      <c r="F160" t="str">
        <f t="shared" si="2"/>
        <v>{ "v": "CAM_LV3_158", "n" : { "SYS": "Maroua 3e", "EN": "Maroua 3e" }, "vi" : [ { "r": "A-20", "o": "=", "t": "v", "v": "CAM_LV2_22" } ] },</v>
      </c>
    </row>
    <row r="161" spans="2:6" hidden="1">
      <c r="B161" t="s">
        <v>2220</v>
      </c>
      <c r="C161" t="s">
        <v>1052</v>
      </c>
      <c r="D161" t="s">
        <v>1052</v>
      </c>
      <c r="E161" t="s">
        <v>2191</v>
      </c>
      <c r="F161" t="str">
        <f t="shared" si="2"/>
        <v>{ "v": "CAM_LV3_159", "n" : { "SYS": "Mozogo", "EN": "Mozogo" }, "vi" : [ { "r": "A-20", "o": "=", "t": "v", "v": "CAM_LV2_23" } ] },</v>
      </c>
    </row>
    <row r="162" spans="2:6" hidden="1">
      <c r="B162" t="s">
        <v>2221</v>
      </c>
      <c r="C162" t="s">
        <v>1053</v>
      </c>
      <c r="D162" t="s">
        <v>1053</v>
      </c>
      <c r="E162" t="s">
        <v>2189</v>
      </c>
      <c r="F162" t="str">
        <f t="shared" si="2"/>
        <v>{ "v": "CAM_LV3_160", "n" : { "SYS": "Meri", "EN": "Meri" }, "vi" : [ { "r": "A-20", "o": "=", "t": "v", "v": "CAM_LV2_22" } ] },</v>
      </c>
    </row>
    <row r="163" spans="2:6" hidden="1">
      <c r="B163" t="s">
        <v>2222</v>
      </c>
      <c r="C163" t="s">
        <v>1054</v>
      </c>
      <c r="D163" t="s">
        <v>1054</v>
      </c>
      <c r="E163" t="s">
        <v>2191</v>
      </c>
      <c r="F163" t="str">
        <f t="shared" si="2"/>
        <v>{ "v": "CAM_LV3_161", "n" : { "SYS": "Mogode", "EN": "Mogode" }, "vi" : [ { "r": "A-20", "o": "=", "t": "v", "v": "CAM_LV2_23" } ] },</v>
      </c>
    </row>
    <row r="164" spans="2:6" hidden="1">
      <c r="B164" t="s">
        <v>2223</v>
      </c>
      <c r="C164" t="s">
        <v>1055</v>
      </c>
      <c r="D164" t="s">
        <v>1055</v>
      </c>
      <c r="E164" t="s">
        <v>2191</v>
      </c>
      <c r="F164" t="str">
        <f t="shared" si="2"/>
        <v>{ "v": "CAM_LV3_162", "n" : { "SYS": "Mokolo", "EN": "Mokolo" }, "vi" : [ { "r": "A-20", "o": "=", "t": "v", "v": "CAM_LV2_23" } ] },</v>
      </c>
    </row>
    <row r="165" spans="2:6" hidden="1">
      <c r="B165" t="s">
        <v>2224</v>
      </c>
      <c r="C165" t="s">
        <v>1056</v>
      </c>
      <c r="D165" t="s">
        <v>1056</v>
      </c>
      <c r="E165" t="s">
        <v>2211</v>
      </c>
      <c r="F165" t="str">
        <f t="shared" si="2"/>
        <v>{ "v": "CAM_LV3_163", "n" : { "SYS": "Mora", "EN": "Mora" }, "vi" : [ { "r": "A-20", "o": "=", "t": "v", "v": "CAM_LV2_25" } ] },</v>
      </c>
    </row>
    <row r="166" spans="2:6" hidden="1">
      <c r="B166" t="s">
        <v>2225</v>
      </c>
      <c r="C166" t="s">
        <v>1057</v>
      </c>
      <c r="D166" t="s">
        <v>1057</v>
      </c>
      <c r="E166" t="s">
        <v>2182</v>
      </c>
      <c r="F166" t="str">
        <f t="shared" si="2"/>
        <v>{ "v": "CAM_LV3_164", "n" : { "SYS": "Moulvoudaye", "EN": "Moulvoudaye" }, "vi" : [ { "r": "A-20", "o": "=", "t": "v", "v": "CAM_LV2_20" } ] },</v>
      </c>
    </row>
    <row r="167" spans="2:6" hidden="1">
      <c r="B167" t="s">
        <v>2226</v>
      </c>
      <c r="C167" t="s">
        <v>1058</v>
      </c>
      <c r="D167" t="s">
        <v>1058</v>
      </c>
      <c r="E167" t="s">
        <v>2189</v>
      </c>
      <c r="F167" t="str">
        <f t="shared" si="2"/>
        <v>{ "v": "CAM_LV3_165", "n" : { "SYS": "Ndoukoula", "EN": "Ndoukoula" }, "vi" : [ { "r": "A-20", "o": "=", "t": "v", "v": "CAM_LV2_22" } ] },</v>
      </c>
    </row>
    <row r="168" spans="2:6" hidden="1">
      <c r="B168" t="s">
        <v>2227</v>
      </c>
      <c r="C168" t="s">
        <v>1059</v>
      </c>
      <c r="D168" t="s">
        <v>1059</v>
      </c>
      <c r="E168" t="s">
        <v>2189</v>
      </c>
      <c r="F168" t="str">
        <f t="shared" si="2"/>
        <v>{ "v": "CAM_LV3_166", "n" : { "SYS": "Pette", "EN": "Pette" }, "vi" : [ { "r": "A-20", "o": "=", "t": "v", "v": "CAM_LV2_22" } ] },</v>
      </c>
    </row>
    <row r="169" spans="2:6" hidden="1">
      <c r="B169" t="s">
        <v>2228</v>
      </c>
      <c r="C169" t="s">
        <v>1060</v>
      </c>
      <c r="D169" t="s">
        <v>1060</v>
      </c>
      <c r="E169" t="s">
        <v>2191</v>
      </c>
      <c r="F169" t="str">
        <f t="shared" si="2"/>
        <v>{ "v": "CAM_LV3_167", "n" : { "SYS": "Soulede-Roua", "EN": "Soulede-Roua" }, "vi" : [ { "r": "A-20", "o": "=", "t": "v", "v": "CAM_LV2_23" } ] },</v>
      </c>
    </row>
    <row r="170" spans="2:6" hidden="1">
      <c r="B170" t="s">
        <v>2229</v>
      </c>
      <c r="C170" t="s">
        <v>1061</v>
      </c>
      <c r="D170" t="s">
        <v>1061</v>
      </c>
      <c r="E170" t="s">
        <v>2195</v>
      </c>
      <c r="F170" t="str">
        <f t="shared" si="2"/>
        <v>{ "v": "CAM_LV3_168", "n" : { "SYS": "Tchatibali", "EN": "Tchatibali" }, "vi" : [ { "r": "A-20", "o": "=", "t": "v", "v": "CAM_LV2_24" } ] },</v>
      </c>
    </row>
    <row r="171" spans="2:6" hidden="1">
      <c r="B171" t="s">
        <v>2230</v>
      </c>
      <c r="C171" t="s">
        <v>1062</v>
      </c>
      <c r="D171" t="s">
        <v>1062</v>
      </c>
      <c r="E171" t="s">
        <v>2211</v>
      </c>
      <c r="F171" t="str">
        <f t="shared" si="2"/>
        <v>{ "v": "CAM_LV3_169", "n" : { "SYS": "Tokombere", "EN": "Tokombere" }, "vi" : [ { "r": "A-20", "o": "=", "t": "v", "v": "CAM_LV2_25" } ] },</v>
      </c>
    </row>
    <row r="172" spans="2:6" hidden="1">
      <c r="B172" t="s">
        <v>2231</v>
      </c>
      <c r="C172" t="s">
        <v>1063</v>
      </c>
      <c r="D172" t="s">
        <v>1063</v>
      </c>
      <c r="E172" t="s">
        <v>2187</v>
      </c>
      <c r="F172" t="str">
        <f t="shared" si="2"/>
        <v>{ "v": "CAM_LV3_170", "n" : { "SYS": "Waza", "EN": "Waza" }, "vi" : [ { "r": "A-20", "o": "=", "t": "v", "v": "CAM_LV2_21" } ] },</v>
      </c>
    </row>
    <row r="173" spans="2:6" hidden="1">
      <c r="B173" t="s">
        <v>2232</v>
      </c>
      <c r="C173" t="s">
        <v>1064</v>
      </c>
      <c r="D173" t="s">
        <v>1064</v>
      </c>
      <c r="E173" t="s">
        <v>2195</v>
      </c>
      <c r="F173" t="str">
        <f t="shared" si="2"/>
        <v>{ "v": "CAM_LV3_171", "n" : { "SYS": "Wina", "EN": "Wina" }, "vi" : [ { "r": "A-20", "o": "=", "t": "v", "v": "CAM_LV2_24" } ] },</v>
      </c>
    </row>
    <row r="174" spans="2:6" hidden="1">
      <c r="B174" t="s">
        <v>2233</v>
      </c>
      <c r="C174" t="s">
        <v>1065</v>
      </c>
      <c r="D174" t="s">
        <v>1065</v>
      </c>
      <c r="E174" t="s">
        <v>2195</v>
      </c>
      <c r="F174" t="str">
        <f t="shared" si="2"/>
        <v>{ "v": "CAM_LV3_172", "n" : { "SYS": "Yagoua", "EN": "Yagoua" }, "vi" : [ { "r": "A-20", "o": "=", "t": "v", "v": "CAM_LV2_24" } ] },</v>
      </c>
    </row>
    <row r="175" spans="2:6" hidden="1">
      <c r="B175" t="s">
        <v>2234</v>
      </c>
      <c r="C175" t="s">
        <v>1066</v>
      </c>
      <c r="D175" t="s">
        <v>1066</v>
      </c>
      <c r="E175" t="s">
        <v>2187</v>
      </c>
      <c r="F175" t="str">
        <f t="shared" si="2"/>
        <v>{ "v": "CAM_LV3_173", "n" : { "SYS": "Zina", "EN": "Zina" }, "vi" : [ { "r": "A-20", "o": "=", "t": "v", "v": "CAM_LV2_21" } ] },</v>
      </c>
    </row>
    <row r="176" spans="2:6" hidden="1">
      <c r="B176" t="s">
        <v>2235</v>
      </c>
      <c r="C176" t="s">
        <v>1068</v>
      </c>
      <c r="D176" t="s">
        <v>1068</v>
      </c>
      <c r="E176" t="s">
        <v>2236</v>
      </c>
      <c r="F176" t="str">
        <f t="shared" si="2"/>
        <v>{ "v": "CAM_LV3_174", "n" : { "SYS": "Bonaléa", "EN": "Bonaléa" }, "vi" : [ { "r": "A-20", "o": "=", "t": "v", "v": "CAM_LV2_26" } ] },</v>
      </c>
    </row>
    <row r="177" spans="2:6" hidden="1">
      <c r="B177" t="s">
        <v>2237</v>
      </c>
      <c r="C177" t="s">
        <v>1069</v>
      </c>
      <c r="D177" t="s">
        <v>1069</v>
      </c>
      <c r="E177" t="s">
        <v>2236</v>
      </c>
      <c r="F177" t="str">
        <f t="shared" si="2"/>
        <v>{ "v": "CAM_LV3_175", "n" : { "SYS": "Bare-Bakem", "EN": "Bare-Bakem" }, "vi" : [ { "r": "A-20", "o": "=", "t": "v", "v": "CAM_LV2_26" } ] },</v>
      </c>
    </row>
    <row r="178" spans="2:6" hidden="1">
      <c r="B178" t="s">
        <v>2238</v>
      </c>
      <c r="C178" t="s">
        <v>1071</v>
      </c>
      <c r="D178" t="s">
        <v>1071</v>
      </c>
      <c r="E178" t="s">
        <v>2239</v>
      </c>
      <c r="F178" t="str">
        <f t="shared" si="2"/>
        <v>{ "v": "CAM_LV3_176", "n" : { "SYS": "Dibamba", "EN": "Dibamba" }, "vi" : [ { "r": "A-20", "o": "=", "t": "v", "v": "CAM_LV2_27" } ] },</v>
      </c>
    </row>
    <row r="179" spans="2:6" hidden="1">
      <c r="B179" t="s">
        <v>2240</v>
      </c>
      <c r="C179" t="s">
        <v>1072</v>
      </c>
      <c r="D179" t="s">
        <v>1072</v>
      </c>
      <c r="E179" t="s">
        <v>2236</v>
      </c>
      <c r="F179" t="str">
        <f t="shared" si="2"/>
        <v>{ "v": "CAM_LV3_177", "n" : { "SYS": "Dibombari", "EN": "Dibombari" }, "vi" : [ { "r": "A-20", "o": "=", "t": "v", "v": "CAM_LV2_26" } ] },</v>
      </c>
    </row>
    <row r="180" spans="2:6" hidden="1">
      <c r="B180" t="s">
        <v>2241</v>
      </c>
      <c r="C180" t="s">
        <v>1073</v>
      </c>
      <c r="D180" t="s">
        <v>1073</v>
      </c>
      <c r="E180" t="s">
        <v>2239</v>
      </c>
      <c r="F180" t="str">
        <f t="shared" si="2"/>
        <v>{ "v": "CAM_LV3_178", "n" : { "SYS": "Dizangue", "EN": "Dizangue" }, "vi" : [ { "r": "A-20", "o": "=", "t": "v", "v": "CAM_LV2_27" } ] },</v>
      </c>
    </row>
    <row r="181" spans="2:6" hidden="1">
      <c r="B181" t="s">
        <v>2242</v>
      </c>
      <c r="C181" t="s">
        <v>1075</v>
      </c>
      <c r="D181" t="s">
        <v>1075</v>
      </c>
      <c r="E181" t="s">
        <v>2243</v>
      </c>
      <c r="F181" t="str">
        <f t="shared" si="2"/>
        <v>{ "v": "CAM_LV3_179", "n" : { "SYS": "Douala 1er", "EN": "Douala 1er" }, "vi" : [ { "r": "A-20", "o": "=", "t": "v", "v": "CAM_LV2_28" } ] },</v>
      </c>
    </row>
    <row r="182" spans="2:6" hidden="1">
      <c r="B182" t="s">
        <v>2244</v>
      </c>
      <c r="C182" t="s">
        <v>1076</v>
      </c>
      <c r="D182" t="s">
        <v>1076</v>
      </c>
      <c r="E182" t="s">
        <v>2243</v>
      </c>
      <c r="F182" t="str">
        <f t="shared" si="2"/>
        <v>{ "v": "CAM_LV3_180", "n" : { "SYS": "Douala 2e", "EN": "Douala 2e" }, "vi" : [ { "r": "A-20", "o": "=", "t": "v", "v": "CAM_LV2_28" } ] },</v>
      </c>
    </row>
    <row r="183" spans="2:6" hidden="1">
      <c r="B183" t="s">
        <v>2245</v>
      </c>
      <c r="C183" t="s">
        <v>1077</v>
      </c>
      <c r="D183" t="s">
        <v>1077</v>
      </c>
      <c r="E183" t="s">
        <v>2243</v>
      </c>
      <c r="F183" t="str">
        <f t="shared" si="2"/>
        <v>{ "v": "CAM_LV3_181", "n" : { "SYS": "Douala 3e", "EN": "Douala 3e" }, "vi" : [ { "r": "A-20", "o": "=", "t": "v", "v": "CAM_LV2_28" } ] },</v>
      </c>
    </row>
    <row r="184" spans="2:6" hidden="1">
      <c r="B184" t="s">
        <v>2246</v>
      </c>
      <c r="C184" t="s">
        <v>1078</v>
      </c>
      <c r="D184" t="s">
        <v>1078</v>
      </c>
      <c r="E184" t="s">
        <v>2243</v>
      </c>
      <c r="F184" t="str">
        <f t="shared" si="2"/>
        <v>{ "v": "CAM_LV3_182", "n" : { "SYS": "Douala 4e", "EN": "Douala 4e" }, "vi" : [ { "r": "A-20", "o": "=", "t": "v", "v": "CAM_LV2_28" } ] },</v>
      </c>
    </row>
    <row r="185" spans="2:6" hidden="1">
      <c r="B185" t="s">
        <v>2247</v>
      </c>
      <c r="C185" t="s">
        <v>1079</v>
      </c>
      <c r="D185" t="s">
        <v>1079</v>
      </c>
      <c r="E185" t="s">
        <v>2243</v>
      </c>
      <c r="F185" t="str">
        <f t="shared" si="2"/>
        <v>{ "v": "CAM_LV3_183", "n" : { "SYS": "Douala 5e", "EN": "Douala 5e" }, "vi" : [ { "r": "A-20", "o": "=", "t": "v", "v": "CAM_LV2_28" } ] },</v>
      </c>
    </row>
    <row r="186" spans="2:6" hidden="1">
      <c r="B186" t="s">
        <v>2248</v>
      </c>
      <c r="C186" t="s">
        <v>1080</v>
      </c>
      <c r="D186" t="s">
        <v>1080</v>
      </c>
      <c r="E186" t="s">
        <v>2243</v>
      </c>
      <c r="F186" t="str">
        <f t="shared" si="2"/>
        <v>{ "v": "CAM_LV3_184", "n" : { "SYS": "Douala 6e", "EN": "Douala 6e" }, "vi" : [ { "r": "A-20", "o": "=", "t": "v", "v": "CAM_LV2_28" } ] },</v>
      </c>
    </row>
    <row r="187" spans="2:6" hidden="1">
      <c r="B187" t="s">
        <v>2249</v>
      </c>
      <c r="C187" t="s">
        <v>1081</v>
      </c>
      <c r="D187" t="s">
        <v>1081</v>
      </c>
      <c r="E187" t="s">
        <v>2239</v>
      </c>
      <c r="F187" t="str">
        <f t="shared" si="2"/>
        <v>{ "v": "CAM_LV3_185", "n" : { "SYS": "Edea 1er", "EN": "Edea 1er" }, "vi" : [ { "r": "A-20", "o": "=", "t": "v", "v": "CAM_LV2_27" } ] },</v>
      </c>
    </row>
    <row r="188" spans="2:6" hidden="1">
      <c r="B188" t="s">
        <v>2250</v>
      </c>
      <c r="C188" t="s">
        <v>1082</v>
      </c>
      <c r="D188" t="s">
        <v>1082</v>
      </c>
      <c r="E188" t="s">
        <v>2239</v>
      </c>
      <c r="F188" t="str">
        <f t="shared" si="2"/>
        <v>{ "v": "CAM_LV3_186", "n" : { "SYS": "Edea 2e", "EN": "Edea 2e" }, "vi" : [ { "r": "A-20", "o": "=", "t": "v", "v": "CAM_LV2_27" } ] },</v>
      </c>
    </row>
    <row r="189" spans="2:6" hidden="1">
      <c r="B189" t="s">
        <v>2251</v>
      </c>
      <c r="C189" t="s">
        <v>1083</v>
      </c>
      <c r="D189" t="s">
        <v>1083</v>
      </c>
      <c r="E189" t="s">
        <v>2236</v>
      </c>
      <c r="F189" t="str">
        <f t="shared" si="2"/>
        <v>{ "v": "CAM_LV3_187", "n" : { "SYS": "Eboné", "EN": "Eboné" }, "vi" : [ { "r": "A-20", "o": "=", "t": "v", "v": "CAM_LV2_26" } ] },</v>
      </c>
    </row>
    <row r="190" spans="2:6" hidden="1">
      <c r="B190" t="s">
        <v>2252</v>
      </c>
      <c r="C190" t="s">
        <v>1084</v>
      </c>
      <c r="D190" t="s">
        <v>1084</v>
      </c>
      <c r="E190" t="s">
        <v>2236</v>
      </c>
      <c r="F190" t="str">
        <f t="shared" si="2"/>
        <v>{ "v": "CAM_LV3_188", "n" : { "SYS": "Loum", "EN": "Loum" }, "vi" : [ { "r": "A-20", "o": "=", "t": "v", "v": "CAM_LV2_26" } ] },</v>
      </c>
    </row>
    <row r="191" spans="2:6" hidden="1">
      <c r="B191" t="s">
        <v>2253</v>
      </c>
      <c r="C191" t="s">
        <v>1085</v>
      </c>
      <c r="D191" t="s">
        <v>1085</v>
      </c>
      <c r="E191" t="s">
        <v>2236</v>
      </c>
      <c r="F191" t="str">
        <f t="shared" si="2"/>
        <v>{ "v": "CAM_LV3_189", "n" : { "SYS": "Manjo", "EN": "Manjo" }, "vi" : [ { "r": "A-20", "o": "=", "t": "v", "v": "CAM_LV2_26" } ] },</v>
      </c>
    </row>
    <row r="192" spans="2:6" hidden="1">
      <c r="B192" t="s">
        <v>2254</v>
      </c>
      <c r="C192" t="s">
        <v>1086</v>
      </c>
      <c r="D192" t="s">
        <v>1086</v>
      </c>
      <c r="E192" t="s">
        <v>2239</v>
      </c>
      <c r="F192" t="str">
        <f t="shared" si="2"/>
        <v>{ "v": "CAM_LV3_190", "n" : { "SYS": "Massock-Songloulou", "EN": "Massock-Songloulou" }, "vi" : [ { "r": "A-20", "o": "=", "t": "v", "v": "CAM_LV2_27" } ] },</v>
      </c>
    </row>
    <row r="193" spans="2:6" hidden="1">
      <c r="B193" t="s">
        <v>2255</v>
      </c>
      <c r="C193" t="s">
        <v>1087</v>
      </c>
      <c r="D193" t="s">
        <v>1087</v>
      </c>
      <c r="E193" t="s">
        <v>2236</v>
      </c>
      <c r="F193" t="str">
        <f t="shared" si="2"/>
        <v>{ "v": "CAM_LV3_191", "n" : { "SYS": "Mbanga", "EN": "Mbanga" }, "vi" : [ { "r": "A-20", "o": "=", "t": "v", "v": "CAM_LV2_26" } ] },</v>
      </c>
    </row>
    <row r="194" spans="2:6" hidden="1">
      <c r="B194" t="s">
        <v>2256</v>
      </c>
      <c r="C194" t="s">
        <v>1088</v>
      </c>
      <c r="D194" t="s">
        <v>1088</v>
      </c>
      <c r="E194" t="s">
        <v>2236</v>
      </c>
      <c r="F194" t="str">
        <f t="shared" si="2"/>
        <v>{ "v": "CAM_LV3_192", "n" : { "SYS": "Melong", "EN": "Melong" }, "vi" : [ { "r": "A-20", "o": "=", "t": "v", "v": "CAM_LV2_26" } ] },</v>
      </c>
    </row>
    <row r="195" spans="2:6" hidden="1">
      <c r="B195" t="s">
        <v>2257</v>
      </c>
      <c r="C195" t="s">
        <v>1089</v>
      </c>
      <c r="D195" t="s">
        <v>1089</v>
      </c>
      <c r="E195" t="s">
        <v>2236</v>
      </c>
      <c r="F195" t="str">
        <f t="shared" ref="F195:F258" si="3">_xlfn.CONCAT(liststart,B195,listlareport,C195,listlat,D195,area_vis_lv21,E195,areavisend)</f>
        <v>{ "v": "CAM_LV3_193", "n" : { "SYS": "Mombo", "EN": "Mombo" }, "vi" : [ { "r": "A-20", "o": "=", "t": "v", "v": "CAM_LV2_26" } ] },</v>
      </c>
    </row>
    <row r="196" spans="2:6" hidden="1">
      <c r="B196" t="s">
        <v>2258</v>
      </c>
      <c r="C196" t="s">
        <v>1090</v>
      </c>
      <c r="D196" t="s">
        <v>1090</v>
      </c>
      <c r="E196" t="s">
        <v>2239</v>
      </c>
      <c r="F196" t="str">
        <f t="shared" si="3"/>
        <v>{ "v": "CAM_LV3_194", "n" : { "SYS": "Mouanko", "EN": "Mouanko" }, "vi" : [ { "r": "A-20", "o": "=", "t": "v", "v": "CAM_LV2_27" } ] },</v>
      </c>
    </row>
    <row r="197" spans="2:6" hidden="1">
      <c r="B197" t="s">
        <v>2259</v>
      </c>
      <c r="C197" t="s">
        <v>1091</v>
      </c>
      <c r="D197" t="s">
        <v>1091</v>
      </c>
      <c r="E197" t="s">
        <v>2239</v>
      </c>
      <c r="F197" t="str">
        <f t="shared" si="3"/>
        <v>{ "v": "CAM_LV3_195", "n" : { "SYS": "Ndom", "EN": "Ndom" }, "vi" : [ { "r": "A-20", "o": "=", "t": "v", "v": "CAM_LV2_27" } ] },</v>
      </c>
    </row>
    <row r="198" spans="2:6" hidden="1">
      <c r="B198" t="s">
        <v>2260</v>
      </c>
      <c r="C198" t="s">
        <v>1092</v>
      </c>
      <c r="D198" t="s">
        <v>1092</v>
      </c>
      <c r="E198" t="s">
        <v>2239</v>
      </c>
      <c r="F198" t="str">
        <f t="shared" si="3"/>
        <v>{ "v": "CAM_LV3_196", "n" : { "SYS": "Ngambe", "EN": "Ngambe" }, "vi" : [ { "r": "A-20", "o": "=", "t": "v", "v": "CAM_LV2_27" } ] },</v>
      </c>
    </row>
    <row r="199" spans="2:6" hidden="1">
      <c r="B199" t="s">
        <v>2261</v>
      </c>
      <c r="C199" t="s">
        <v>1093</v>
      </c>
      <c r="D199" t="s">
        <v>1093</v>
      </c>
      <c r="E199" t="s">
        <v>2239</v>
      </c>
      <c r="F199" t="str">
        <f t="shared" si="3"/>
        <v>{ "v": "CAM_LV3_197", "n" : { "SYS": "Ngwei", "EN": "Ngwei" }, "vi" : [ { "r": "A-20", "o": "=", "t": "v", "v": "CAM_LV2_27" } ] },</v>
      </c>
    </row>
    <row r="200" spans="2:6" hidden="1">
      <c r="B200" t="s">
        <v>2262</v>
      </c>
      <c r="C200" t="s">
        <v>1094</v>
      </c>
      <c r="D200" t="s">
        <v>1094</v>
      </c>
      <c r="E200" t="s">
        <v>2236</v>
      </c>
      <c r="F200" t="str">
        <f t="shared" si="3"/>
        <v>{ "v": "CAM_LV3_198", "n" : { "SYS": "Njombe-Penja", "EN": "Njombe-Penja" }, "vi" : [ { "r": "A-20", "o": "=", "t": "v", "v": "CAM_LV2_26" } ] },</v>
      </c>
    </row>
    <row r="201" spans="2:6" hidden="1">
      <c r="B201" t="s">
        <v>2263</v>
      </c>
      <c r="C201" t="s">
        <v>1096</v>
      </c>
      <c r="D201" t="s">
        <v>1096</v>
      </c>
      <c r="E201" t="s">
        <v>2264</v>
      </c>
      <c r="F201" t="str">
        <f t="shared" si="3"/>
        <v>{ "v": "CAM_LV3_199", "n" : { "SYS": "Nkondjock", "EN": "Nkondjock" }, "vi" : [ { "r": "A-20", "o": "=", "t": "v", "v": "CAM_LV2_29" } ] },</v>
      </c>
    </row>
    <row r="202" spans="2:6" hidden="1">
      <c r="B202" t="s">
        <v>2265</v>
      </c>
      <c r="C202" t="s">
        <v>1097</v>
      </c>
      <c r="D202" t="s">
        <v>1097</v>
      </c>
      <c r="E202" t="s">
        <v>2236</v>
      </c>
      <c r="F202" t="str">
        <f t="shared" si="3"/>
        <v>{ "v": "CAM_LV3_200", "n" : { "SYS": "Nkongsamba 1er", "EN": "Nkongsamba 1er" }, "vi" : [ { "r": "A-20", "o": "=", "t": "v", "v": "CAM_LV2_26" } ] },</v>
      </c>
    </row>
    <row r="203" spans="2:6" hidden="1">
      <c r="B203" t="s">
        <v>2266</v>
      </c>
      <c r="C203" t="s">
        <v>1098</v>
      </c>
      <c r="D203" t="s">
        <v>1098</v>
      </c>
      <c r="E203" t="s">
        <v>2236</v>
      </c>
      <c r="F203" t="str">
        <f t="shared" si="3"/>
        <v>{ "v": "CAM_LV3_201", "n" : { "SYS": "Nkongsamba 2e", "EN": "Nkongsamba 2e" }, "vi" : [ { "r": "A-20", "o": "=", "t": "v", "v": "CAM_LV2_26" } ] },</v>
      </c>
    </row>
    <row r="204" spans="2:6" hidden="1">
      <c r="B204" t="s">
        <v>2267</v>
      </c>
      <c r="C204" t="s">
        <v>1099</v>
      </c>
      <c r="D204" t="s">
        <v>1099</v>
      </c>
      <c r="E204" t="s">
        <v>2236</v>
      </c>
      <c r="F204" t="str">
        <f t="shared" si="3"/>
        <v>{ "v": "CAM_LV3_202", "n" : { "SYS": "Nkongsamba 3e", "EN": "Nkongsamba 3e" }, "vi" : [ { "r": "A-20", "o": "=", "t": "v", "v": "CAM_LV2_26" } ] },</v>
      </c>
    </row>
    <row r="205" spans="2:6" hidden="1">
      <c r="B205" t="s">
        <v>2268</v>
      </c>
      <c r="C205" t="s">
        <v>1100</v>
      </c>
      <c r="D205" t="s">
        <v>1100</v>
      </c>
      <c r="E205" t="s">
        <v>2264</v>
      </c>
      <c r="F205" t="str">
        <f t="shared" si="3"/>
        <v>{ "v": "CAM_LV3_203", "n" : { "SYS": "Nord-Makombe", "EN": "Nord-Makombe" }, "vi" : [ { "r": "A-20", "o": "=", "t": "v", "v": "CAM_LV2_29" } ] },</v>
      </c>
    </row>
    <row r="206" spans="2:6" hidden="1">
      <c r="B206" t="s">
        <v>2269</v>
      </c>
      <c r="C206" t="s">
        <v>1101</v>
      </c>
      <c r="D206" t="s">
        <v>1101</v>
      </c>
      <c r="E206" t="s">
        <v>2239</v>
      </c>
      <c r="F206" t="str">
        <f t="shared" si="3"/>
        <v>{ "v": "CAM_LV3_204", "n" : { "SYS": "Nyanon", "EN": "Nyanon" }, "vi" : [ { "r": "A-20", "o": "=", "t": "v", "v": "CAM_LV2_27" } ] },</v>
      </c>
    </row>
    <row r="207" spans="2:6" hidden="1">
      <c r="B207" t="s">
        <v>2270</v>
      </c>
      <c r="C207" t="s">
        <v>1102</v>
      </c>
      <c r="D207" t="s">
        <v>1102</v>
      </c>
      <c r="E207" t="s">
        <v>2239</v>
      </c>
      <c r="F207" t="str">
        <f t="shared" si="3"/>
        <v>{ "v": "CAM_LV3_205", "n" : { "SYS": "Pouma", "EN": "Pouma" }, "vi" : [ { "r": "A-20", "o": "=", "t": "v", "v": "CAM_LV2_27" } ] },</v>
      </c>
    </row>
    <row r="208" spans="2:6" hidden="1">
      <c r="B208" t="s">
        <v>2271</v>
      </c>
      <c r="C208" t="s">
        <v>1103</v>
      </c>
      <c r="D208" t="s">
        <v>1103</v>
      </c>
      <c r="E208" t="s">
        <v>2264</v>
      </c>
      <c r="F208" t="str">
        <f t="shared" si="3"/>
        <v>{ "v": "CAM_LV3_206", "n" : { "SYS": "Yabassi", "EN": "Yabassi" }, "vi" : [ { "r": "A-20", "o": "=", "t": "v", "v": "CAM_LV2_29" } ] },</v>
      </c>
    </row>
    <row r="209" spans="2:6" hidden="1">
      <c r="B209" t="s">
        <v>2272</v>
      </c>
      <c r="C209" t="s">
        <v>1104</v>
      </c>
      <c r="D209" t="s">
        <v>1104</v>
      </c>
      <c r="E209" t="s">
        <v>2264</v>
      </c>
      <c r="F209" t="str">
        <f t="shared" si="3"/>
        <v>{ "v": "CAM_LV3_207", "n" : { "SYS": "Yingui", "EN": "Yingui" }, "vi" : [ { "r": "A-20", "o": "=", "t": "v", "v": "CAM_LV2_29" } ] },</v>
      </c>
    </row>
    <row r="210" spans="2:6" hidden="1">
      <c r="B210" t="s">
        <v>2273</v>
      </c>
      <c r="C210" t="s">
        <v>1106</v>
      </c>
      <c r="D210" t="s">
        <v>1106</v>
      </c>
      <c r="E210" t="s">
        <v>2274</v>
      </c>
      <c r="F210" t="str">
        <f t="shared" si="3"/>
        <v>{ "v": "CAM_LV3_208", "n" : { "SYS": "Bascheo", "EN": "Bascheo" }, "vi" : [ { "r": "A-20", "o": "=", "t": "v", "v": "CAM_LV2_30" } ] },</v>
      </c>
    </row>
    <row r="211" spans="2:6" hidden="1">
      <c r="B211" t="s">
        <v>2275</v>
      </c>
      <c r="C211" t="s">
        <v>1108</v>
      </c>
      <c r="D211" t="s">
        <v>1108</v>
      </c>
      <c r="E211" t="s">
        <v>2276</v>
      </c>
      <c r="F211" t="str">
        <f t="shared" si="3"/>
        <v>{ "v": "CAM_LV3_209", "n" : { "SYS": "Beka", "EN": "Beka" }, "vi" : [ { "r": "A-20", "o": "=", "t": "v", "v": "CAM_LV2_31" } ] },</v>
      </c>
    </row>
    <row r="212" spans="2:6" hidden="1">
      <c r="B212" t="s">
        <v>2277</v>
      </c>
      <c r="C212" t="s">
        <v>1109</v>
      </c>
      <c r="D212" t="s">
        <v>1109</v>
      </c>
      <c r="E212" t="s">
        <v>2274</v>
      </c>
      <c r="F212" t="str">
        <f t="shared" si="3"/>
        <v>{ "v": "CAM_LV3_210", "n" : { "SYS": "Bibemi", "EN": "Bibemi" }, "vi" : [ { "r": "A-20", "o": "=", "t": "v", "v": "CAM_LV2_30" } ] },</v>
      </c>
    </row>
    <row r="213" spans="2:6" hidden="1">
      <c r="B213" t="s">
        <v>2278</v>
      </c>
      <c r="C213" t="s">
        <v>1110</v>
      </c>
      <c r="D213" t="s">
        <v>1110</v>
      </c>
      <c r="E213" t="s">
        <v>2274</v>
      </c>
      <c r="F213" t="str">
        <f t="shared" si="3"/>
        <v>{ "v": "CAM_LV3_211", "n" : { "SYS": "Dembo", "EN": "Dembo" }, "vi" : [ { "r": "A-20", "o": "=", "t": "v", "v": "CAM_LV2_30" } ] },</v>
      </c>
    </row>
    <row r="214" spans="2:6" hidden="1">
      <c r="B214" t="s">
        <v>2279</v>
      </c>
      <c r="C214" t="s">
        <v>1111</v>
      </c>
      <c r="D214" t="s">
        <v>1111</v>
      </c>
      <c r="E214" t="s">
        <v>2274</v>
      </c>
      <c r="F214" t="str">
        <f t="shared" si="3"/>
        <v>{ "v": "CAM_LV3_212", "n" : { "SYS": "Demsa", "EN": "Demsa" }, "vi" : [ { "r": "A-20", "o": "=", "t": "v", "v": "CAM_LV2_30" } ] },</v>
      </c>
    </row>
    <row r="215" spans="2:6" hidden="1">
      <c r="B215" t="s">
        <v>2280</v>
      </c>
      <c r="C215" t="s">
        <v>1113</v>
      </c>
      <c r="D215" t="s">
        <v>1113</v>
      </c>
      <c r="E215" t="s">
        <v>2281</v>
      </c>
      <c r="F215" t="str">
        <f t="shared" si="3"/>
        <v>{ "v": "CAM_LV3_213", "n" : { "SYS": "Figuil", "EN": "Figuil" }, "vi" : [ { "r": "A-20", "o": "=", "t": "v", "v": "CAM_LV2_32" } ] },</v>
      </c>
    </row>
    <row r="216" spans="2:6" hidden="1">
      <c r="B216" t="s">
        <v>2282</v>
      </c>
      <c r="C216" t="s">
        <v>1114</v>
      </c>
      <c r="D216" t="s">
        <v>1114</v>
      </c>
      <c r="E216" t="s">
        <v>2274</v>
      </c>
      <c r="F216" t="str">
        <f t="shared" si="3"/>
        <v>{ "v": "CAM_LV3_214", "n" : { "SYS": "Garoua 1er", "EN": "Garoua 1er" }, "vi" : [ { "r": "A-20", "o": "=", "t": "v", "v": "CAM_LV2_30" } ] },</v>
      </c>
    </row>
    <row r="217" spans="2:6" hidden="1">
      <c r="B217" t="s">
        <v>2283</v>
      </c>
      <c r="C217" t="s">
        <v>1115</v>
      </c>
      <c r="D217" t="s">
        <v>1115</v>
      </c>
      <c r="E217" t="s">
        <v>2274</v>
      </c>
      <c r="F217" t="str">
        <f t="shared" si="3"/>
        <v>{ "v": "CAM_LV3_215", "n" : { "SYS": "Garoua 2e", "EN": "Garoua 2e" }, "vi" : [ { "r": "A-20", "o": "=", "t": "v", "v": "CAM_LV2_30" } ] },</v>
      </c>
    </row>
    <row r="218" spans="2:6" hidden="1">
      <c r="B218" t="s">
        <v>2284</v>
      </c>
      <c r="C218" t="s">
        <v>1116</v>
      </c>
      <c r="D218" t="s">
        <v>1116</v>
      </c>
      <c r="E218" t="s">
        <v>2274</v>
      </c>
      <c r="F218" t="str">
        <f t="shared" si="3"/>
        <v>{ "v": "CAM_LV3_216", "n" : { "SYS": "Garoua 3e", "EN": "Garoua 3e" }, "vi" : [ { "r": "A-20", "o": "=", "t": "v", "v": "CAM_LV2_30" } ] },</v>
      </c>
    </row>
    <row r="219" spans="2:6" hidden="1">
      <c r="B219" t="s">
        <v>2285</v>
      </c>
      <c r="C219" t="s">
        <v>1117</v>
      </c>
      <c r="D219" t="s">
        <v>1117</v>
      </c>
      <c r="E219" t="s">
        <v>2281</v>
      </c>
      <c r="F219" t="str">
        <f t="shared" si="3"/>
        <v>{ "v": "CAM_LV3_217", "n" : { "SYS": "Guider", "EN": "Guider" }, "vi" : [ { "r": "A-20", "o": "=", "t": "v", "v": "CAM_LV2_32" } ] },</v>
      </c>
    </row>
    <row r="220" spans="2:6" hidden="1">
      <c r="B220" t="s">
        <v>2286</v>
      </c>
      <c r="C220" t="s">
        <v>1118</v>
      </c>
      <c r="D220" t="s">
        <v>1118</v>
      </c>
      <c r="E220" t="s">
        <v>2274</v>
      </c>
      <c r="F220" t="str">
        <f t="shared" si="3"/>
        <v>{ "v": "CAM_LV3_218", "n" : { "SYS": "Lagdo", "EN": "Lagdo" }, "vi" : [ { "r": "A-20", "o": "=", "t": "v", "v": "CAM_LV2_30" } ] },</v>
      </c>
    </row>
    <row r="221" spans="2:6" hidden="1">
      <c r="B221" t="s">
        <v>2287</v>
      </c>
      <c r="C221" t="s">
        <v>1120</v>
      </c>
      <c r="D221" t="s">
        <v>1120</v>
      </c>
      <c r="E221" t="s">
        <v>2288</v>
      </c>
      <c r="F221" t="str">
        <f t="shared" si="3"/>
        <v>{ "v": "CAM_LV3_219", "n" : { "SYS": "Madingring", "EN": "Madingring" }, "vi" : [ { "r": "A-20", "o": "=", "t": "v", "v": "CAM_LV2_33" } ] },</v>
      </c>
    </row>
    <row r="222" spans="2:6" hidden="1">
      <c r="B222" t="s">
        <v>2289</v>
      </c>
      <c r="C222" t="s">
        <v>1121</v>
      </c>
      <c r="D222" t="s">
        <v>1121</v>
      </c>
      <c r="E222" t="s">
        <v>2274</v>
      </c>
      <c r="F222" t="str">
        <f t="shared" si="3"/>
        <v>{ "v": "CAM_LV3_220", "n" : { "SYS": "Mayo-Hourna", "EN": "Mayo-Hourna" }, "vi" : [ { "r": "A-20", "o": "=", "t": "v", "v": "CAM_LV2_30" } ] },</v>
      </c>
    </row>
    <row r="223" spans="2:6" hidden="1">
      <c r="B223" t="s">
        <v>2290</v>
      </c>
      <c r="C223" t="s">
        <v>1122</v>
      </c>
      <c r="D223" t="s">
        <v>1122</v>
      </c>
      <c r="E223" t="s">
        <v>2281</v>
      </c>
      <c r="F223" t="str">
        <f t="shared" si="3"/>
        <v>{ "v": "CAM_LV3_221", "n" : { "SYS": "Mayo-Oulo", "EN": "Mayo-Oulo" }, "vi" : [ { "r": "A-20", "o": "=", "t": "v", "v": "CAM_LV2_32" } ] },</v>
      </c>
    </row>
    <row r="224" spans="2:6" hidden="1">
      <c r="B224" t="s">
        <v>2291</v>
      </c>
      <c r="C224" t="s">
        <v>1123</v>
      </c>
      <c r="D224" t="s">
        <v>1123</v>
      </c>
      <c r="E224" t="s">
        <v>2274</v>
      </c>
      <c r="F224" t="str">
        <f t="shared" si="3"/>
        <v>{ "v": "CAM_LV3_222", "n" : { "SYS": "Pitoa", "EN": "Pitoa" }, "vi" : [ { "r": "A-20", "o": "=", "t": "v", "v": "CAM_LV2_30" } ] },</v>
      </c>
    </row>
    <row r="225" spans="2:6" hidden="1">
      <c r="B225" t="s">
        <v>2292</v>
      </c>
      <c r="C225" t="s">
        <v>1124</v>
      </c>
      <c r="D225" t="s">
        <v>1124</v>
      </c>
      <c r="E225" t="s">
        <v>2276</v>
      </c>
      <c r="F225" t="str">
        <f t="shared" si="3"/>
        <v>{ "v": "CAM_LV3_223", "n" : { "SYS": "Poli", "EN": "Poli" }, "vi" : [ { "r": "A-20", "o": "=", "t": "v", "v": "CAM_LV2_31" } ] },</v>
      </c>
    </row>
    <row r="226" spans="2:6" hidden="1">
      <c r="B226" t="s">
        <v>2293</v>
      </c>
      <c r="C226" t="s">
        <v>1125</v>
      </c>
      <c r="D226" t="s">
        <v>1125</v>
      </c>
      <c r="E226" t="s">
        <v>2288</v>
      </c>
      <c r="F226" t="str">
        <f t="shared" si="3"/>
        <v>{ "v": "CAM_LV3_224", "n" : { "SYS": "Rey-Bouba", "EN": "Rey-Bouba" }, "vi" : [ { "r": "A-20", "o": "=", "t": "v", "v": "CAM_LV2_33" } ] },</v>
      </c>
    </row>
    <row r="227" spans="2:6" hidden="1">
      <c r="B227" t="s">
        <v>2294</v>
      </c>
      <c r="C227" t="s">
        <v>1126</v>
      </c>
      <c r="D227" t="s">
        <v>1126</v>
      </c>
      <c r="E227" t="s">
        <v>2274</v>
      </c>
      <c r="F227" t="str">
        <f t="shared" si="3"/>
        <v>{ "v": "CAM_LV3_225", "n" : { "SYS": "Tcheboa", "EN": "Tcheboa" }, "vi" : [ { "r": "A-20", "o": "=", "t": "v", "v": "CAM_LV2_30" } ] },</v>
      </c>
    </row>
    <row r="228" spans="2:6" hidden="1">
      <c r="B228" t="s">
        <v>2295</v>
      </c>
      <c r="C228" t="s">
        <v>1127</v>
      </c>
      <c r="D228" t="s">
        <v>1127</v>
      </c>
      <c r="E228" t="s">
        <v>2288</v>
      </c>
      <c r="F228" t="str">
        <f t="shared" si="3"/>
        <v>{ "v": "CAM_LV3_226", "n" : { "SYS": "Tchollire", "EN": "Tchollire" }, "vi" : [ { "r": "A-20", "o": "=", "t": "v", "v": "CAM_LV2_33" } ] },</v>
      </c>
    </row>
    <row r="229" spans="2:6" hidden="1">
      <c r="B229" t="s">
        <v>2296</v>
      </c>
      <c r="C229" t="s">
        <v>1128</v>
      </c>
      <c r="D229" t="s">
        <v>1128</v>
      </c>
      <c r="E229" t="s">
        <v>2288</v>
      </c>
      <c r="F229" t="str">
        <f t="shared" si="3"/>
        <v>{ "v": "CAM_LV3_227", "n" : { "SYS": "Touboro", "EN": "Touboro" }, "vi" : [ { "r": "A-20", "o": "=", "t": "v", "v": "CAM_LV2_33" } ] },</v>
      </c>
    </row>
    <row r="230" spans="2:6" hidden="1">
      <c r="B230" t="s">
        <v>2297</v>
      </c>
      <c r="C230" t="s">
        <v>1129</v>
      </c>
      <c r="D230" t="s">
        <v>1129</v>
      </c>
      <c r="E230" t="s">
        <v>2274</v>
      </c>
      <c r="F230" t="str">
        <f t="shared" si="3"/>
        <v>{ "v": "CAM_LV3_228", "n" : { "SYS": "Touroua", "EN": "Touroua" }, "vi" : [ { "r": "A-20", "o": "=", "t": "v", "v": "CAM_LV2_30" } ] },</v>
      </c>
    </row>
    <row r="231" spans="2:6" hidden="1">
      <c r="B231" t="s">
        <v>2298</v>
      </c>
      <c r="C231" t="s">
        <v>1131</v>
      </c>
      <c r="D231" t="s">
        <v>1131</v>
      </c>
      <c r="E231" t="s">
        <v>2299</v>
      </c>
      <c r="F231" t="str">
        <f t="shared" si="3"/>
        <v>{ "v": "CAM_LV3_229", "n" : { "SYS": "Ngie", "EN": "Ngie" }, "vi" : [ { "r": "A-20", "o": "=", "t": "v", "v": "CAM_LV2_34" } ] },</v>
      </c>
    </row>
    <row r="232" spans="2:6" hidden="1">
      <c r="B232" t="s">
        <v>2300</v>
      </c>
      <c r="C232" t="s">
        <v>1133</v>
      </c>
      <c r="D232" t="s">
        <v>1133</v>
      </c>
      <c r="E232" t="s">
        <v>2301</v>
      </c>
      <c r="F232" t="str">
        <f t="shared" si="3"/>
        <v>{ "v": "CAM_LV3_230", "n" : { "SYS": "Ako", "EN": "Ako" }, "vi" : [ { "r": "A-20", "o": "=", "t": "v", "v": "CAM_LV2_35" } ] },</v>
      </c>
    </row>
    <row r="233" spans="2:6" hidden="1">
      <c r="B233" t="s">
        <v>2302</v>
      </c>
      <c r="C233" t="s">
        <v>1135</v>
      </c>
      <c r="D233" t="s">
        <v>1135</v>
      </c>
      <c r="E233" t="s">
        <v>2303</v>
      </c>
      <c r="F233" t="str">
        <f t="shared" si="3"/>
        <v>{ "v": "CAM_LV3_231", "n" : { "SYS": "Babessi", "EN": "Babessi" }, "vi" : [ { "r": "A-20", "o": "=", "t": "v", "v": "CAM_LV2_36" } ] },</v>
      </c>
    </row>
    <row r="234" spans="2:6" hidden="1">
      <c r="B234" t="s">
        <v>2304</v>
      </c>
      <c r="C234" t="s">
        <v>1137</v>
      </c>
      <c r="D234" t="s">
        <v>1137</v>
      </c>
      <c r="E234" t="s">
        <v>2305</v>
      </c>
      <c r="F234" t="str">
        <f t="shared" si="3"/>
        <v>{ "v": "CAM_LV3_232", "n" : { "SYS": "Bafut", "EN": "Bafut" }, "vi" : [ { "r": "A-20", "o": "=", "t": "v", "v": "CAM_LV2_37" } ] },</v>
      </c>
    </row>
    <row r="235" spans="2:6" hidden="1">
      <c r="B235" t="s">
        <v>2306</v>
      </c>
      <c r="C235" t="s">
        <v>1138</v>
      </c>
      <c r="D235" t="s">
        <v>1138</v>
      </c>
      <c r="E235" t="s">
        <v>2305</v>
      </c>
      <c r="F235" t="str">
        <f t="shared" si="3"/>
        <v>{ "v": "CAM_LV3_233", "n" : { "SYS": "Bali", "EN": "Bali" }, "vi" : [ { "r": "A-20", "o": "=", "t": "v", "v": "CAM_LV2_37" } ] },</v>
      </c>
    </row>
    <row r="236" spans="2:6" hidden="1">
      <c r="B236" t="s">
        <v>2307</v>
      </c>
      <c r="C236" t="s">
        <v>1139</v>
      </c>
      <c r="D236" t="s">
        <v>1139</v>
      </c>
      <c r="E236" t="s">
        <v>2303</v>
      </c>
      <c r="F236" t="str">
        <f t="shared" si="3"/>
        <v>{ "v": "CAM_LV3_234", "n" : { "SYS": "Balikumbat", "EN": "Balikumbat" }, "vi" : [ { "r": "A-20", "o": "=", "t": "v", "v": "CAM_LV2_36" } ] },</v>
      </c>
    </row>
    <row r="237" spans="2:6" hidden="1">
      <c r="B237" t="s">
        <v>2308</v>
      </c>
      <c r="C237" t="s">
        <v>1140</v>
      </c>
      <c r="D237" t="s">
        <v>1140</v>
      </c>
      <c r="E237" t="s">
        <v>2305</v>
      </c>
      <c r="F237" t="str">
        <f t="shared" si="3"/>
        <v>{ "v": "CAM_LV3_235", "n" : { "SYS": "Bamenda 1st", "EN": "Bamenda 1st" }, "vi" : [ { "r": "A-20", "o": "=", "t": "v", "v": "CAM_LV2_37" } ] },</v>
      </c>
    </row>
    <row r="238" spans="2:6" hidden="1">
      <c r="B238" t="s">
        <v>2309</v>
      </c>
      <c r="C238" t="s">
        <v>1141</v>
      </c>
      <c r="D238" t="s">
        <v>1141</v>
      </c>
      <c r="E238" t="s">
        <v>2305</v>
      </c>
      <c r="F238" t="str">
        <f t="shared" si="3"/>
        <v>{ "v": "CAM_LV3_236", "n" : { "SYS": "Bamenda 2nd", "EN": "Bamenda 2nd" }, "vi" : [ { "r": "A-20", "o": "=", "t": "v", "v": "CAM_LV2_37" } ] },</v>
      </c>
    </row>
    <row r="239" spans="2:6" hidden="1">
      <c r="B239" t="s">
        <v>2310</v>
      </c>
      <c r="C239" t="s">
        <v>1142</v>
      </c>
      <c r="D239" t="s">
        <v>1142</v>
      </c>
      <c r="E239" t="s">
        <v>2305</v>
      </c>
      <c r="F239" t="str">
        <f t="shared" si="3"/>
        <v>{ "v": "CAM_LV3_237", "n" : { "SYS": "Bamenda 3rd", "EN": "Bamenda 3rd" }, "vi" : [ { "r": "A-20", "o": "=", "t": "v", "v": "CAM_LV2_37" } ] },</v>
      </c>
    </row>
    <row r="240" spans="2:6" hidden="1">
      <c r="B240" t="s">
        <v>2311</v>
      </c>
      <c r="C240" t="s">
        <v>1143</v>
      </c>
      <c r="D240" t="s">
        <v>1143</v>
      </c>
      <c r="E240" t="s">
        <v>2299</v>
      </c>
      <c r="F240" t="str">
        <f t="shared" si="3"/>
        <v>{ "v": "CAM_LV3_238", "n" : { "SYS": "Andek", "EN": "Andek" }, "vi" : [ { "r": "A-20", "o": "=", "t": "v", "v": "CAM_LV2_34" } ] },</v>
      </c>
    </row>
    <row r="241" spans="2:6" hidden="1">
      <c r="B241" t="s">
        <v>2312</v>
      </c>
      <c r="C241" t="s">
        <v>1144</v>
      </c>
      <c r="D241" t="s">
        <v>1144</v>
      </c>
      <c r="E241" t="s">
        <v>2299</v>
      </c>
      <c r="F241" t="str">
        <f t="shared" si="3"/>
        <v>{ "v": "CAM_LV3_239", "n" : { "SYS": "Batibo", "EN": "Batibo" }, "vi" : [ { "r": "A-20", "o": "=", "t": "v", "v": "CAM_LV2_34" } ] },</v>
      </c>
    </row>
    <row r="242" spans="2:6" hidden="1">
      <c r="B242" t="s">
        <v>2313</v>
      </c>
      <c r="C242" t="s">
        <v>1146</v>
      </c>
      <c r="D242" t="s">
        <v>1146</v>
      </c>
      <c r="E242" t="s">
        <v>2314</v>
      </c>
      <c r="F242" t="str">
        <f t="shared" si="3"/>
        <v>{ "v": "CAM_LV3_240", "n" : { "SYS": "Belo", "EN": "Belo" }, "vi" : [ { "r": "A-20", "o": "=", "t": "v", "v": "CAM_LV2_38" } ] },</v>
      </c>
    </row>
    <row r="243" spans="2:6" hidden="1">
      <c r="B243" t="s">
        <v>2315</v>
      </c>
      <c r="C243" t="s">
        <v>1147</v>
      </c>
      <c r="D243" t="s">
        <v>1147</v>
      </c>
      <c r="E243" t="s">
        <v>2314</v>
      </c>
      <c r="F243" t="str">
        <f t="shared" si="3"/>
        <v>{ "v": "CAM_LV3_241", "n" : { "SYS": "Fonfuka", "EN": "Fonfuka" }, "vi" : [ { "r": "A-20", "o": "=", "t": "v", "v": "CAM_LV2_38" } ] },</v>
      </c>
    </row>
    <row r="244" spans="2:6" hidden="1">
      <c r="B244" t="s">
        <v>2316</v>
      </c>
      <c r="C244" t="s">
        <v>1148</v>
      </c>
      <c r="D244" t="s">
        <v>1148</v>
      </c>
      <c r="E244" t="s">
        <v>2314</v>
      </c>
      <c r="F244" t="str">
        <f t="shared" si="3"/>
        <v>{ "v": "CAM_LV3_242", "n" : { "SYS": "Fundong", "EN": "Fundong" }, "vi" : [ { "r": "A-20", "o": "=", "t": "v", "v": "CAM_LV2_38" } ] },</v>
      </c>
    </row>
    <row r="245" spans="2:6" hidden="1">
      <c r="B245" t="s">
        <v>2317</v>
      </c>
      <c r="C245" t="s">
        <v>1150</v>
      </c>
      <c r="D245" t="s">
        <v>1150</v>
      </c>
      <c r="E245" t="s">
        <v>2318</v>
      </c>
      <c r="F245" t="str">
        <f t="shared" si="3"/>
        <v>{ "v": "CAM_LV3_243", "n" : { "SYS": "Fungom", "EN": "Fungom" }, "vi" : [ { "r": "A-20", "o": "=", "t": "v", "v": "CAM_LV2_39" } ] },</v>
      </c>
    </row>
    <row r="246" spans="2:6" hidden="1">
      <c r="B246" t="s">
        <v>2319</v>
      </c>
      <c r="C246" t="s">
        <v>1151</v>
      </c>
      <c r="D246" t="s">
        <v>1151</v>
      </c>
      <c r="E246" t="s">
        <v>2318</v>
      </c>
      <c r="F246" t="str">
        <f t="shared" si="3"/>
        <v>{ "v": "CAM_LV3_244", "n" : { "SYS": "Furu-Awa", "EN": "Furu-Awa" }, "vi" : [ { "r": "A-20", "o": "=", "t": "v", "v": "CAM_LV2_39" } ] },</v>
      </c>
    </row>
    <row r="247" spans="2:6" hidden="1">
      <c r="B247" t="s">
        <v>2320</v>
      </c>
      <c r="C247" t="s">
        <v>1153</v>
      </c>
      <c r="D247" t="s">
        <v>1153</v>
      </c>
      <c r="E247" t="s">
        <v>2321</v>
      </c>
      <c r="F247" t="str">
        <f t="shared" si="3"/>
        <v>{ "v": "CAM_LV3_245", "n" : { "SYS": "Jakiri", "EN": "Jakiri" }, "vi" : [ { "r": "A-20", "o": "=", "t": "v", "v": "CAM_LV2_40" } ] },</v>
      </c>
    </row>
    <row r="248" spans="2:6" hidden="1">
      <c r="B248" t="s">
        <v>2322</v>
      </c>
      <c r="C248" t="s">
        <v>1154</v>
      </c>
      <c r="D248" t="s">
        <v>1154</v>
      </c>
      <c r="E248" t="s">
        <v>2321</v>
      </c>
      <c r="F248" t="str">
        <f t="shared" si="3"/>
        <v>{ "v": "CAM_LV3_246", "n" : { "SYS": "Kumbo", "EN": "Kumbo" }, "vi" : [ { "r": "A-20", "o": "=", "t": "v", "v": "CAM_LV2_40" } ] },</v>
      </c>
    </row>
    <row r="249" spans="2:6" hidden="1">
      <c r="B249" t="s">
        <v>2323</v>
      </c>
      <c r="C249" t="s">
        <v>1155</v>
      </c>
      <c r="D249" t="s">
        <v>1155</v>
      </c>
      <c r="E249" t="s">
        <v>2299</v>
      </c>
      <c r="F249" t="str">
        <f t="shared" si="3"/>
        <v>{ "v": "CAM_LV3_247", "n" : { "SYS": "Mbengwi", "EN": "Mbengwi" }, "vi" : [ { "r": "A-20", "o": "=", "t": "v", "v": "CAM_LV2_34" } ] },</v>
      </c>
    </row>
    <row r="250" spans="2:6" hidden="1">
      <c r="B250" t="s">
        <v>2324</v>
      </c>
      <c r="C250" t="s">
        <v>1156</v>
      </c>
      <c r="D250" t="s">
        <v>1156</v>
      </c>
      <c r="E250" t="s">
        <v>2321</v>
      </c>
      <c r="F250" t="str">
        <f t="shared" si="3"/>
        <v>{ "v": "CAM_LV3_248", "n" : { "SYS": "Mbven", "EN": "Mbven" }, "vi" : [ { "r": "A-20", "o": "=", "t": "v", "v": "CAM_LV2_40" } ] },</v>
      </c>
    </row>
    <row r="251" spans="2:6" hidden="1">
      <c r="B251" t="s">
        <v>2325</v>
      </c>
      <c r="C251" t="s">
        <v>1157</v>
      </c>
      <c r="D251" t="s">
        <v>1157</v>
      </c>
      <c r="E251" t="s">
        <v>2318</v>
      </c>
      <c r="F251" t="str">
        <f t="shared" si="3"/>
        <v>{ "v": "CAM_LV3_249", "n" : { "SYS": "Menchum-Valley", "EN": "Menchum-Valley" }, "vi" : [ { "r": "A-20", "o": "=", "t": "v", "v": "CAM_LV2_39" } ] },</v>
      </c>
    </row>
    <row r="252" spans="2:6" hidden="1">
      <c r="B252" t="s">
        <v>2326</v>
      </c>
      <c r="C252" t="s">
        <v>1158</v>
      </c>
      <c r="D252" t="s">
        <v>1158</v>
      </c>
      <c r="E252" t="s">
        <v>2301</v>
      </c>
      <c r="F252" t="str">
        <f t="shared" si="3"/>
        <v>{ "v": "CAM_LV3_250", "n" : { "SYS": "Misaje", "EN": "Misaje" }, "vi" : [ { "r": "A-20", "o": "=", "t": "v", "v": "CAM_LV2_35" } ] },</v>
      </c>
    </row>
    <row r="253" spans="2:6" hidden="1">
      <c r="B253" t="s">
        <v>2327</v>
      </c>
      <c r="C253" t="s">
        <v>1159</v>
      </c>
      <c r="D253" t="s">
        <v>1159</v>
      </c>
      <c r="E253" t="s">
        <v>2303</v>
      </c>
      <c r="F253" t="str">
        <f t="shared" si="3"/>
        <v>{ "v": "CAM_LV3_251", "n" : { "SYS": "Ndop", "EN": "Ndop" }, "vi" : [ { "r": "A-20", "o": "=", "t": "v", "v": "CAM_LV2_36" } ] },</v>
      </c>
    </row>
    <row r="254" spans="2:6" hidden="1">
      <c r="B254" t="s">
        <v>2328</v>
      </c>
      <c r="C254" t="s">
        <v>1160</v>
      </c>
      <c r="D254" t="s">
        <v>1160</v>
      </c>
      <c r="E254" t="s">
        <v>2301</v>
      </c>
      <c r="F254" t="str">
        <f t="shared" si="3"/>
        <v>{ "v": "CAM_LV3_252", "n" : { "SYS": "Ndu", "EN": "Ndu" }, "vi" : [ { "r": "A-20", "o": "=", "t": "v", "v": "CAM_LV2_35" } ] },</v>
      </c>
    </row>
    <row r="255" spans="2:6" hidden="1">
      <c r="B255" t="s">
        <v>2329</v>
      </c>
      <c r="C255" t="s">
        <v>1161</v>
      </c>
      <c r="D255" t="s">
        <v>1161</v>
      </c>
      <c r="E255" t="s">
        <v>2299</v>
      </c>
      <c r="F255" t="str">
        <f t="shared" si="3"/>
        <v>{ "v": "CAM_LV3_253", "n" : { "SYS": "Njikwa", "EN": "Njikwa" }, "vi" : [ { "r": "A-20", "o": "=", "t": "v", "v": "CAM_LV2_34" } ] },</v>
      </c>
    </row>
    <row r="256" spans="2:6" hidden="1">
      <c r="B256" t="s">
        <v>2330</v>
      </c>
      <c r="C256" t="s">
        <v>1162</v>
      </c>
      <c r="D256" t="s">
        <v>1162</v>
      </c>
      <c r="E256" t="s">
        <v>2314</v>
      </c>
      <c r="F256" t="str">
        <f t="shared" si="3"/>
        <v>{ "v": "CAM_LV3_254", "n" : { "SYS": "Njinikom", "EN": "Njinikom" }, "vi" : [ { "r": "A-20", "o": "=", "t": "v", "v": "CAM_LV2_38" } ] },</v>
      </c>
    </row>
    <row r="257" spans="2:6" hidden="1">
      <c r="B257" t="s">
        <v>2331</v>
      </c>
      <c r="C257" t="s">
        <v>1163</v>
      </c>
      <c r="D257" t="s">
        <v>1163</v>
      </c>
      <c r="E257" t="s">
        <v>2301</v>
      </c>
      <c r="F257" t="str">
        <f t="shared" si="3"/>
        <v>{ "v": "CAM_LV3_255", "n" : { "SYS": "Nkambe", "EN": "Nkambe" }, "vi" : [ { "r": "A-20", "o": "=", "t": "v", "v": "CAM_LV2_35" } ] },</v>
      </c>
    </row>
    <row r="258" spans="2:6" hidden="1">
      <c r="B258" t="s">
        <v>2332</v>
      </c>
      <c r="C258" t="s">
        <v>1164</v>
      </c>
      <c r="D258" t="s">
        <v>1164</v>
      </c>
      <c r="E258" t="s">
        <v>2321</v>
      </c>
      <c r="F258" t="str">
        <f t="shared" si="3"/>
        <v>{ "v": "CAM_LV3_256", "n" : { "SYS": "Nkum", "EN": "Nkum" }, "vi" : [ { "r": "A-20", "o": "=", "t": "v", "v": "CAM_LV2_40" } ] },</v>
      </c>
    </row>
    <row r="259" spans="2:6" hidden="1">
      <c r="B259" t="s">
        <v>2333</v>
      </c>
      <c r="C259" t="s">
        <v>1165</v>
      </c>
      <c r="D259" t="s">
        <v>1165</v>
      </c>
      <c r="E259" t="s">
        <v>2321</v>
      </c>
      <c r="F259" t="str">
        <f t="shared" ref="F259:F322" si="4">_xlfn.CONCAT(liststart,B259,listlareport,C259,listlat,D259,area_vis_lv21,E259,areavisend)</f>
        <v>{ "v": "CAM_LV3_257", "n" : { "SYS": "Noni", "EN": "Noni" }, "vi" : [ { "r": "A-20", "o": "=", "t": "v", "v": "CAM_LV2_40" } ] },</v>
      </c>
    </row>
    <row r="260" spans="2:6" hidden="1">
      <c r="B260" t="s">
        <v>2334</v>
      </c>
      <c r="C260" t="s">
        <v>1166</v>
      </c>
      <c r="D260" t="s">
        <v>1166</v>
      </c>
      <c r="E260" t="s">
        <v>2301</v>
      </c>
      <c r="F260" t="str">
        <f t="shared" si="4"/>
        <v>{ "v": "CAM_LV3_258", "n" : { "SYS": "Nwa", "EN": "Nwa" }, "vi" : [ { "r": "A-20", "o": "=", "t": "v", "v": "CAM_LV2_35" } ] },</v>
      </c>
    </row>
    <row r="261" spans="2:6" hidden="1">
      <c r="B261" t="s">
        <v>2335</v>
      </c>
      <c r="C261" t="s">
        <v>1167</v>
      </c>
      <c r="D261" t="s">
        <v>1167</v>
      </c>
      <c r="E261" t="s">
        <v>2321</v>
      </c>
      <c r="F261" t="str">
        <f t="shared" si="4"/>
        <v>{ "v": "CAM_LV3_259", "n" : { "SYS": "Oku", "EN": "Oku" }, "vi" : [ { "r": "A-20", "o": "=", "t": "v", "v": "CAM_LV2_40" } ] },</v>
      </c>
    </row>
    <row r="262" spans="2:6" hidden="1">
      <c r="B262" t="s">
        <v>2336</v>
      </c>
      <c r="C262" t="s">
        <v>1168</v>
      </c>
      <c r="D262" t="s">
        <v>1168</v>
      </c>
      <c r="E262" t="s">
        <v>2305</v>
      </c>
      <c r="F262" t="str">
        <f t="shared" si="4"/>
        <v>{ "v": "CAM_LV3_260", "n" : { "SYS": "Santa", "EN": "Santa" }, "vi" : [ { "r": "A-20", "o": "=", "t": "v", "v": "CAM_LV2_37" } ] },</v>
      </c>
    </row>
    <row r="263" spans="2:6" hidden="1">
      <c r="B263" t="s">
        <v>2337</v>
      </c>
      <c r="C263" t="s">
        <v>1169</v>
      </c>
      <c r="D263" t="s">
        <v>1169</v>
      </c>
      <c r="E263" t="s">
        <v>2305</v>
      </c>
      <c r="F263" t="str">
        <f t="shared" si="4"/>
        <v>{ "v": "CAM_LV3_261", "n" : { "SYS": "Tubah", "EN": "Tubah" }, "vi" : [ { "r": "A-20", "o": "=", "t": "v", "v": "CAM_LV2_37" } ] },</v>
      </c>
    </row>
    <row r="264" spans="2:6" hidden="1">
      <c r="B264" t="s">
        <v>2338</v>
      </c>
      <c r="C264" t="s">
        <v>1170</v>
      </c>
      <c r="D264" t="s">
        <v>1170</v>
      </c>
      <c r="E264" t="s">
        <v>2299</v>
      </c>
      <c r="F264" t="str">
        <f t="shared" si="4"/>
        <v>{ "v": "CAM_LV3_262", "n" : { "SYS": "Widikum-Boffe", "EN": "Widikum-Boffe" }, "vi" : [ { "r": "A-20", "o": "=", "t": "v", "v": "CAM_LV2_34" } ] },</v>
      </c>
    </row>
    <row r="265" spans="2:6" hidden="1">
      <c r="B265" t="s">
        <v>2339</v>
      </c>
      <c r="C265" t="s">
        <v>1171</v>
      </c>
      <c r="D265" t="s">
        <v>1171</v>
      </c>
      <c r="E265" t="s">
        <v>2318</v>
      </c>
      <c r="F265" t="str">
        <f t="shared" si="4"/>
        <v>{ "v": "CAM_LV3_263", "n" : { "SYS": "Wum", "EN": "Wum" }, "vi" : [ { "r": "A-20", "o": "=", "t": "v", "v": "CAM_LV2_39" } ] },</v>
      </c>
    </row>
    <row r="266" spans="2:6" hidden="1">
      <c r="B266" t="s">
        <v>2340</v>
      </c>
      <c r="C266" t="s">
        <v>1173</v>
      </c>
      <c r="D266" t="s">
        <v>1173</v>
      </c>
      <c r="E266" t="s">
        <v>2341</v>
      </c>
      <c r="F266" t="str">
        <f t="shared" si="4"/>
        <v>{ "v": "CAM_LV3_264", "n" : { "SYS": "Babadjou", "EN": "Babadjou" }, "vi" : [ { "r": "A-20", "o": "=", "t": "v", "v": "CAM_LV2_41" } ] },</v>
      </c>
    </row>
    <row r="267" spans="2:6" hidden="1">
      <c r="B267" t="s">
        <v>2342</v>
      </c>
      <c r="C267" t="s">
        <v>1175</v>
      </c>
      <c r="D267" t="s">
        <v>1175</v>
      </c>
      <c r="E267" t="s">
        <v>2343</v>
      </c>
      <c r="F267" t="str">
        <f t="shared" si="4"/>
        <v>{ "v": "CAM_LV3_265", "n" : { "SYS": "Bafang", "EN": "Bafang" }, "vi" : [ { "r": "A-20", "o": "=", "t": "v", "v": "CAM_LV2_42" } ] },</v>
      </c>
    </row>
    <row r="268" spans="2:6">
      <c r="B268" t="s">
        <v>2344</v>
      </c>
      <c r="C268" t="s">
        <v>1177</v>
      </c>
      <c r="D268" t="s">
        <v>1177</v>
      </c>
      <c r="E268" t="s">
        <v>2345</v>
      </c>
      <c r="F268" t="str">
        <f t="shared" si="4"/>
        <v>{ "v": "CAM_LV3_266", "n" : { "SYS": "Bafoussam 1er", "EN": "Bafoussam 1er" }, "vi" : [ { "r": "A-20", "o": "=", "t": "v", "v": "CAM_LV2_43" } ] },</v>
      </c>
    </row>
    <row r="269" spans="2:6">
      <c r="B269" t="s">
        <v>2346</v>
      </c>
      <c r="C269" t="s">
        <v>1178</v>
      </c>
      <c r="D269" t="s">
        <v>1178</v>
      </c>
      <c r="E269" t="s">
        <v>2345</v>
      </c>
      <c r="F269" t="str">
        <f t="shared" si="4"/>
        <v>{ "v": "CAM_LV3_267", "n" : { "SYS": "Bafoussam 2e", "EN": "Bafoussam 2e" }, "vi" : [ { "r": "A-20", "o": "=", "t": "v", "v": "CAM_LV2_43" } ] },</v>
      </c>
    </row>
    <row r="270" spans="2:6">
      <c r="B270" t="s">
        <v>2347</v>
      </c>
      <c r="C270" t="s">
        <v>1179</v>
      </c>
      <c r="D270" t="s">
        <v>1179</v>
      </c>
      <c r="E270" t="s">
        <v>2345</v>
      </c>
      <c r="F270" t="str">
        <f t="shared" si="4"/>
        <v>{ "v": "CAM_LV3_268", "n" : { "SYS": "Bafoussam 3e", "EN": "Bafoussam 3e" }, "vi" : [ { "r": "A-20", "o": "=", "t": "v", "v": "CAM_LV2_43" } ] },</v>
      </c>
    </row>
    <row r="271" spans="2:6" hidden="1">
      <c r="B271" t="s">
        <v>2348</v>
      </c>
      <c r="C271" t="s">
        <v>1181</v>
      </c>
      <c r="D271" t="s">
        <v>1181</v>
      </c>
      <c r="E271" t="s">
        <v>2349</v>
      </c>
      <c r="F271" t="str">
        <f t="shared" si="4"/>
        <v>{ "v": "CAM_LV3_269", "n" : { "SYS": "Baham", "EN": "Baham" }, "vi" : [ { "r": "A-20", "o": "=", "t": "v", "v": "CAM_LV2_44" } ] },</v>
      </c>
    </row>
    <row r="272" spans="2:6" hidden="1">
      <c r="B272" t="s">
        <v>2350</v>
      </c>
      <c r="C272" t="s">
        <v>1182</v>
      </c>
      <c r="D272" t="s">
        <v>1182</v>
      </c>
      <c r="E272" t="s">
        <v>2343</v>
      </c>
      <c r="F272" t="str">
        <f t="shared" si="4"/>
        <v>{ "v": "CAM_LV3_270", "n" : { "SYS": "Bakou", "EN": "Bakou" }, "vi" : [ { "r": "A-20", "o": "=", "t": "v", "v": "CAM_LV2_42" } ] },</v>
      </c>
    </row>
    <row r="273" spans="2:6" hidden="1">
      <c r="B273" t="s">
        <v>2351</v>
      </c>
      <c r="C273" t="s">
        <v>1183</v>
      </c>
      <c r="D273" t="s">
        <v>1183</v>
      </c>
      <c r="E273" t="s">
        <v>2349</v>
      </c>
      <c r="F273" t="str">
        <f t="shared" si="4"/>
        <v>{ "v": "CAM_LV3_271", "n" : { "SYS": "Bamendjou", "EN": "Bamendjou" }, "vi" : [ { "r": "A-20", "o": "=", "t": "v", "v": "CAM_LV2_44" } ] },</v>
      </c>
    </row>
    <row r="274" spans="2:6" hidden="1">
      <c r="B274" t="s">
        <v>2352</v>
      </c>
      <c r="C274" t="s">
        <v>1184</v>
      </c>
      <c r="D274" t="s">
        <v>1184</v>
      </c>
      <c r="E274" t="s">
        <v>2343</v>
      </c>
      <c r="F274" t="str">
        <f t="shared" si="4"/>
        <v>{ "v": "CAM_LV3_272", "n" : { "SYS": "Bana", "EN": "Bana" }, "vi" : [ { "r": "A-20", "o": "=", "t": "v", "v": "CAM_LV2_42" } ] },</v>
      </c>
    </row>
    <row r="275" spans="2:6" hidden="1">
      <c r="B275" t="s">
        <v>2353</v>
      </c>
      <c r="C275" t="s">
        <v>1185</v>
      </c>
      <c r="D275" t="s">
        <v>1185</v>
      </c>
      <c r="E275" t="s">
        <v>2343</v>
      </c>
      <c r="F275" t="str">
        <f t="shared" si="4"/>
        <v>{ "v": "CAM_LV3_273", "n" : { "SYS": "Bandja", "EN": "Bandja" }, "vi" : [ { "r": "A-20", "o": "=", "t": "v", "v": "CAM_LV2_42" } ] },</v>
      </c>
    </row>
    <row r="276" spans="2:6" hidden="1">
      <c r="B276" t="s">
        <v>2354</v>
      </c>
      <c r="C276" t="s">
        <v>1187</v>
      </c>
      <c r="D276" t="s">
        <v>1187</v>
      </c>
      <c r="E276" t="s">
        <v>2355</v>
      </c>
      <c r="F276" t="str">
        <f t="shared" si="4"/>
        <v>{ "v": "CAM_LV3_274", "n" : { "SYS": "Bangangte", "EN": "Bangangte" }, "vi" : [ { "r": "A-20", "o": "=", "t": "v", "v": "CAM_LV2_45" } ] },</v>
      </c>
    </row>
    <row r="277" spans="2:6" hidden="1">
      <c r="B277" t="s">
        <v>2356</v>
      </c>
      <c r="C277" t="s">
        <v>1188</v>
      </c>
      <c r="D277" t="s">
        <v>1188</v>
      </c>
      <c r="E277" t="s">
        <v>2349</v>
      </c>
      <c r="F277" t="str">
        <f t="shared" si="4"/>
        <v>{ "v": "CAM_LV3_275", "n" : { "SYS": "Bangou", "EN": "Bangou" }, "vi" : [ { "r": "A-20", "o": "=", "t": "v", "v": "CAM_LV2_44" } ] },</v>
      </c>
    </row>
    <row r="278" spans="2:6" hidden="1">
      <c r="B278" t="s">
        <v>2357</v>
      </c>
      <c r="C278" t="s">
        <v>1190</v>
      </c>
      <c r="D278" t="s">
        <v>1190</v>
      </c>
      <c r="E278" t="s">
        <v>2358</v>
      </c>
      <c r="F278" t="str">
        <f t="shared" si="4"/>
        <v>{ "v": "CAM_LV3_276", "n" : { "SYS": "Bangourain", "EN": "Bangourain" }, "vi" : [ { "r": "A-20", "o": "=", "t": "v", "v": "CAM_LV2_46" } ] },</v>
      </c>
    </row>
    <row r="279" spans="2:6" hidden="1">
      <c r="B279" t="s">
        <v>2359</v>
      </c>
      <c r="C279" t="s">
        <v>1191</v>
      </c>
      <c r="D279" t="s">
        <v>1191</v>
      </c>
      <c r="E279" t="s">
        <v>2343</v>
      </c>
      <c r="F279" t="str">
        <f t="shared" si="4"/>
        <v>{ "v": "CAM_LV3_277", "n" : { "SYS": "Banka", "EN": "Banka" }, "vi" : [ { "r": "A-20", "o": "=", "t": "v", "v": "CAM_LV2_42" } ] },</v>
      </c>
    </row>
    <row r="280" spans="2:6" hidden="1">
      <c r="B280" t="s">
        <v>2360</v>
      </c>
      <c r="C280" t="s">
        <v>1192</v>
      </c>
      <c r="D280" t="s">
        <v>1192</v>
      </c>
      <c r="E280" t="s">
        <v>2343</v>
      </c>
      <c r="F280" t="str">
        <f t="shared" si="4"/>
        <v>{ "v": "CAM_LV3_278", "n" : { "SYS": "Banwa", "EN": "Banwa" }, "vi" : [ { "r": "A-20", "o": "=", "t": "v", "v": "CAM_LV2_42" } ] },</v>
      </c>
    </row>
    <row r="281" spans="2:6" hidden="1">
      <c r="B281" t="s">
        <v>2361</v>
      </c>
      <c r="C281" t="s">
        <v>1193</v>
      </c>
      <c r="D281" t="s">
        <v>1193</v>
      </c>
      <c r="E281" t="s">
        <v>2355</v>
      </c>
      <c r="F281" t="str">
        <f t="shared" si="4"/>
        <v>{ "v": "CAM_LV3_279", "n" : { "SYS": "Bassamba", "EN": "Bassamba" }, "vi" : [ { "r": "A-20", "o": "=", "t": "v", "v": "CAM_LV2_45" } ] },</v>
      </c>
    </row>
    <row r="282" spans="2:6" hidden="1">
      <c r="B282" t="s">
        <v>2362</v>
      </c>
      <c r="C282" t="s">
        <v>1194</v>
      </c>
      <c r="D282" t="s">
        <v>1194</v>
      </c>
      <c r="E282" t="s">
        <v>2341</v>
      </c>
      <c r="F282" t="str">
        <f t="shared" si="4"/>
        <v>{ "v": "CAM_LV3_280", "n" : { "SYS": "Batcham", "EN": "Batcham" }, "vi" : [ { "r": "A-20", "o": "=", "t": "v", "v": "CAM_LV2_41" } ] },</v>
      </c>
    </row>
    <row r="283" spans="2:6" hidden="1">
      <c r="B283" t="s">
        <v>2363</v>
      </c>
      <c r="C283" t="s">
        <v>1195</v>
      </c>
      <c r="D283" t="s">
        <v>1195</v>
      </c>
      <c r="E283" t="s">
        <v>2349</v>
      </c>
      <c r="F283" t="str">
        <f t="shared" si="4"/>
        <v>{ "v": "CAM_LV3_281", "n" : { "SYS": "Batie", "EN": "Batie" }, "vi" : [ { "r": "A-20", "o": "=", "t": "v", "v": "CAM_LV2_44" } ] },</v>
      </c>
    </row>
    <row r="284" spans="2:6" hidden="1">
      <c r="B284" t="s">
        <v>2364</v>
      </c>
      <c r="C284" t="s">
        <v>1197</v>
      </c>
      <c r="D284" t="s">
        <v>1197</v>
      </c>
      <c r="E284" t="s">
        <v>2365</v>
      </c>
      <c r="F284" t="str">
        <f t="shared" si="4"/>
        <v>{ "v": "CAM_LV3_282", "n" : { "SYS": "Bayangam", "EN": "Bayangam" }, "vi" : [ { "r": "A-20", "o": "=", "t": "v", "v": "CAM_LV2_47" } ] },</v>
      </c>
    </row>
    <row r="285" spans="2:6" hidden="1">
      <c r="B285" t="s">
        <v>2366</v>
      </c>
      <c r="C285" t="s">
        <v>1198</v>
      </c>
      <c r="D285" t="s">
        <v>1198</v>
      </c>
      <c r="E285" t="s">
        <v>2355</v>
      </c>
      <c r="F285" t="str">
        <f t="shared" si="4"/>
        <v>{ "v": "CAM_LV3_283", "n" : { "SYS": "Bazou", "EN": "Bazou" }, "vi" : [ { "r": "A-20", "o": "=", "t": "v", "v": "CAM_LV2_45" } ] },</v>
      </c>
    </row>
    <row r="286" spans="2:6" hidden="1">
      <c r="B286" t="s">
        <v>2367</v>
      </c>
      <c r="C286" t="s">
        <v>1199</v>
      </c>
      <c r="D286" t="s">
        <v>1199</v>
      </c>
      <c r="E286" t="s">
        <v>2365</v>
      </c>
      <c r="F286" t="str">
        <f t="shared" si="4"/>
        <v>{ "v": "CAM_LV3_284", "n" : { "SYS": "Djebem", "EN": "Djebem" }, "vi" : [ { "r": "A-20", "o": "=", "t": "v", "v": "CAM_LV2_47" } ] },</v>
      </c>
    </row>
    <row r="287" spans="2:6" hidden="1">
      <c r="B287" t="s">
        <v>2368</v>
      </c>
      <c r="C287" t="s">
        <v>1201</v>
      </c>
      <c r="D287" t="s">
        <v>1201</v>
      </c>
      <c r="E287" t="s">
        <v>2369</v>
      </c>
      <c r="F287" t="str">
        <f t="shared" si="4"/>
        <v>{ "v": "CAM_LV3_285", "n" : { "SYS": "Dschang", "EN": "Dschang" }, "vi" : [ { "r": "A-20", "o": "=", "t": "v", "v": "CAM_LV2_48" } ] },</v>
      </c>
    </row>
    <row r="288" spans="2:6" hidden="1">
      <c r="B288" t="s">
        <v>2370</v>
      </c>
      <c r="C288" t="s">
        <v>1202</v>
      </c>
      <c r="D288" t="s">
        <v>1202</v>
      </c>
      <c r="E288" t="s">
        <v>2369</v>
      </c>
      <c r="F288" t="str">
        <f t="shared" si="4"/>
        <v>{ "v": "CAM_LV3_286", "n" : { "SYS": "Fokoue", "EN": "Fokoue" }, "vi" : [ { "r": "A-20", "o": "=", "t": "v", "v": "CAM_LV2_48" } ] },</v>
      </c>
    </row>
    <row r="289" spans="2:6" hidden="1">
      <c r="B289" t="s">
        <v>2371</v>
      </c>
      <c r="C289" t="s">
        <v>1203</v>
      </c>
      <c r="D289" t="s">
        <v>1203</v>
      </c>
      <c r="E289" t="s">
        <v>2369</v>
      </c>
      <c r="F289" t="str">
        <f t="shared" si="4"/>
        <v>{ "v": "CAM_LV3_287", "n" : { "SYS": "Fongo-Tongo", "EN": "Fongo-Tongo" }, "vi" : [ { "r": "A-20", "o": "=", "t": "v", "v": "CAM_LV2_48" } ] },</v>
      </c>
    </row>
    <row r="290" spans="2:6" hidden="1">
      <c r="B290" t="s">
        <v>2372</v>
      </c>
      <c r="C290" t="s">
        <v>1204</v>
      </c>
      <c r="D290" t="s">
        <v>1204</v>
      </c>
      <c r="E290" t="s">
        <v>2358</v>
      </c>
      <c r="F290" t="str">
        <f t="shared" si="4"/>
        <v>{ "v": "CAM_LV3_288", "n" : { "SYS": "Foumban", "EN": "Foumban" }, "vi" : [ { "r": "A-20", "o": "=", "t": "v", "v": "CAM_LV2_46" } ] },</v>
      </c>
    </row>
    <row r="291" spans="2:6" hidden="1">
      <c r="B291" t="s">
        <v>2373</v>
      </c>
      <c r="C291" t="s">
        <v>1205</v>
      </c>
      <c r="D291" t="s">
        <v>1205</v>
      </c>
      <c r="E291" t="s">
        <v>2358</v>
      </c>
      <c r="F291" t="str">
        <f t="shared" si="4"/>
        <v>{ "v": "CAM_LV3_289", "n" : { "SYS": "Foumbot", "EN": "Foumbot" }, "vi" : [ { "r": "A-20", "o": "=", "t": "v", "v": "CAM_LV2_46" } ] },</v>
      </c>
    </row>
    <row r="292" spans="2:6" hidden="1">
      <c r="B292" t="s">
        <v>2374</v>
      </c>
      <c r="C292" t="s">
        <v>1206</v>
      </c>
      <c r="D292" t="s">
        <v>1206</v>
      </c>
      <c r="E292" t="s">
        <v>2341</v>
      </c>
      <c r="F292" t="str">
        <f t="shared" si="4"/>
        <v>{ "v": "CAM_LV3_290", "n" : { "SYS": "Galim", "EN": "Galim" }, "vi" : [ { "r": "A-20", "o": "=", "t": "v", "v": "CAM_LV2_41" } ] },</v>
      </c>
    </row>
    <row r="293" spans="2:6" hidden="1">
      <c r="B293" t="s">
        <v>2375</v>
      </c>
      <c r="C293" t="s">
        <v>1207</v>
      </c>
      <c r="D293" t="s">
        <v>1207</v>
      </c>
      <c r="E293" t="s">
        <v>2343</v>
      </c>
      <c r="F293" t="str">
        <f t="shared" si="4"/>
        <v>{ "v": "CAM_LV3_291", "n" : { "SYS": "Kekem", "EN": "Kekem" }, "vi" : [ { "r": "A-20", "o": "=", "t": "v", "v": "CAM_LV2_42" } ] },</v>
      </c>
    </row>
    <row r="294" spans="2:6" hidden="1">
      <c r="B294" t="s">
        <v>2376</v>
      </c>
      <c r="C294" t="s">
        <v>1208</v>
      </c>
      <c r="D294" t="s">
        <v>1208</v>
      </c>
      <c r="E294" t="s">
        <v>2358</v>
      </c>
      <c r="F294" t="str">
        <f t="shared" si="4"/>
        <v>{ "v": "CAM_LV3_292", "n" : { "SYS": "Kouoptamo", "EN": "Kouoptamo" }, "vi" : [ { "r": "A-20", "o": "=", "t": "v", "v": "CAM_LV2_46" } ] },</v>
      </c>
    </row>
    <row r="295" spans="2:6" hidden="1">
      <c r="B295" t="s">
        <v>2377</v>
      </c>
      <c r="C295" t="s">
        <v>1209</v>
      </c>
      <c r="D295" t="s">
        <v>1209</v>
      </c>
      <c r="E295" t="s">
        <v>2358</v>
      </c>
      <c r="F295" t="str">
        <f t="shared" si="4"/>
        <v>{ "v": "CAM_LV3_293", "n" : { "SYS": "Koutaba", "EN": "Koutaba" }, "vi" : [ { "r": "A-20", "o": "=", "t": "v", "v": "CAM_LV2_46" } ] },</v>
      </c>
    </row>
    <row r="296" spans="2:6" hidden="1">
      <c r="B296" t="s">
        <v>2378</v>
      </c>
      <c r="C296" t="s">
        <v>1210</v>
      </c>
      <c r="D296" t="s">
        <v>1210</v>
      </c>
      <c r="E296" t="s">
        <v>2358</v>
      </c>
      <c r="F296" t="str">
        <f t="shared" si="4"/>
        <v>{ "v": "CAM_LV3_294", "n" : { "SYS": "Magba", "EN": "Magba" }, "vi" : [ { "r": "A-20", "o": "=", "t": "v", "v": "CAM_LV2_46" } ] },</v>
      </c>
    </row>
    <row r="297" spans="2:6" hidden="1">
      <c r="B297" t="s">
        <v>2379</v>
      </c>
      <c r="C297" t="s">
        <v>1211</v>
      </c>
      <c r="D297" t="s">
        <v>1211</v>
      </c>
      <c r="E297" t="s">
        <v>2358</v>
      </c>
      <c r="F297" t="str">
        <f t="shared" si="4"/>
        <v>{ "v": "CAM_LV3_295", "n" : { "SYS": "Malantouen", "EN": "Malantouen" }, "vi" : [ { "r": "A-20", "o": "=", "t": "v", "v": "CAM_LV2_46" } ] },</v>
      </c>
    </row>
    <row r="298" spans="2:6" hidden="1">
      <c r="B298" t="s">
        <v>2380</v>
      </c>
      <c r="C298" t="s">
        <v>1212</v>
      </c>
      <c r="D298" t="s">
        <v>1212</v>
      </c>
      <c r="E298" t="s">
        <v>2358</v>
      </c>
      <c r="F298" t="str">
        <f t="shared" si="4"/>
        <v>{ "v": "CAM_LV3_296", "n" : { "SYS": "Massangam", "EN": "Massangam" }, "vi" : [ { "r": "A-20", "o": "=", "t": "v", "v": "CAM_LV2_46" } ] },</v>
      </c>
    </row>
    <row r="299" spans="2:6" hidden="1">
      <c r="B299" t="s">
        <v>2381</v>
      </c>
      <c r="C299" t="s">
        <v>1213</v>
      </c>
      <c r="D299" t="s">
        <v>1213</v>
      </c>
      <c r="E299" t="s">
        <v>2341</v>
      </c>
      <c r="F299" t="str">
        <f t="shared" si="4"/>
        <v>{ "v": "CAM_LV3_297", "n" : { "SYS": "Mbouda", "EN": "Mbouda" }, "vi" : [ { "r": "A-20", "o": "=", "t": "v", "v": "CAM_LV2_41" } ] },</v>
      </c>
    </row>
    <row r="300" spans="2:6" hidden="1">
      <c r="B300" t="s">
        <v>2382</v>
      </c>
      <c r="C300" t="s">
        <v>1214</v>
      </c>
      <c r="D300" t="s">
        <v>1214</v>
      </c>
      <c r="E300" t="s">
        <v>2358</v>
      </c>
      <c r="F300" t="str">
        <f t="shared" si="4"/>
        <v>{ "v": "CAM_LV3_298", "n" : { "SYS": "Njimom", "EN": "Njimom" }, "vi" : [ { "r": "A-20", "o": "=", "t": "v", "v": "CAM_LV2_46" } ] },</v>
      </c>
    </row>
    <row r="301" spans="2:6" hidden="1">
      <c r="B301" t="s">
        <v>2383</v>
      </c>
      <c r="C301" t="s">
        <v>1215</v>
      </c>
      <c r="D301" t="s">
        <v>1215</v>
      </c>
      <c r="E301" t="s">
        <v>2369</v>
      </c>
      <c r="F301" t="str">
        <f t="shared" si="4"/>
        <v>{ "v": "CAM_LV3_299", "n" : { "SYS": "Nkong-Zem", "EN": "Nkong-Zem" }, "vi" : [ { "r": "A-20", "o": "=", "t": "v", "v": "CAM_LV2_48" } ] },</v>
      </c>
    </row>
    <row r="302" spans="2:6" hidden="1">
      <c r="B302" t="s">
        <v>2384</v>
      </c>
      <c r="C302" t="s">
        <v>1216</v>
      </c>
      <c r="D302" t="s">
        <v>1216</v>
      </c>
      <c r="E302" t="s">
        <v>2369</v>
      </c>
      <c r="F302" t="str">
        <f t="shared" si="4"/>
        <v>{ "v": "CAM_LV3_300", "n" : { "SYS": "Penka-Michel", "EN": "Penka-Michel" }, "vi" : [ { "r": "A-20", "o": "=", "t": "v", "v": "CAM_LV2_48" } ] },</v>
      </c>
    </row>
    <row r="303" spans="2:6" hidden="1">
      <c r="B303" t="s">
        <v>2385</v>
      </c>
      <c r="C303" t="s">
        <v>1217</v>
      </c>
      <c r="D303" t="s">
        <v>1217</v>
      </c>
      <c r="E303" t="s">
        <v>2365</v>
      </c>
      <c r="F303" t="str">
        <f t="shared" si="4"/>
        <v>{ "v": "CAM_LV3_301", "n" : { "SYS": "Poumougne", "EN": "Poumougne" }, "vi" : [ { "r": "A-20", "o": "=", "t": "v", "v": "CAM_LV2_47" } ] },</v>
      </c>
    </row>
    <row r="304" spans="2:6" hidden="1">
      <c r="B304" t="s">
        <v>2386</v>
      </c>
      <c r="C304" t="s">
        <v>1218</v>
      </c>
      <c r="D304" t="s">
        <v>1218</v>
      </c>
      <c r="E304" t="s">
        <v>2369</v>
      </c>
      <c r="F304" t="str">
        <f t="shared" si="4"/>
        <v>{ "v": "CAM_LV3_302", "n" : { "SYS": "Santchou", "EN": "Santchou" }, "vi" : [ { "r": "A-20", "o": "=", "t": "v", "v": "CAM_LV2_48" } ] },</v>
      </c>
    </row>
    <row r="305" spans="2:6" hidden="1">
      <c r="B305" t="s">
        <v>2387</v>
      </c>
      <c r="C305" t="s">
        <v>1219</v>
      </c>
      <c r="D305" t="s">
        <v>1219</v>
      </c>
      <c r="E305" t="s">
        <v>2355</v>
      </c>
      <c r="F305" t="str">
        <f t="shared" si="4"/>
        <v>{ "v": "CAM_LV3_303", "n" : { "SYS": "Tonga", "EN": "Tonga" }, "vi" : [ { "r": "A-20", "o": "=", "t": "v", "v": "CAM_LV2_45" } ] },</v>
      </c>
    </row>
    <row r="306" spans="2:6" hidden="1">
      <c r="B306" t="s">
        <v>2388</v>
      </c>
      <c r="C306" t="s">
        <v>1221</v>
      </c>
      <c r="D306" t="s">
        <v>1221</v>
      </c>
      <c r="E306" t="s">
        <v>2389</v>
      </c>
      <c r="F306" t="str">
        <f t="shared" si="4"/>
        <v>{ "v": "CAM_LV3_304", "n" : { "SYS": "Akom 2", "EN": "Akom 2" }, "vi" : [ { "r": "A-20", "o": "=", "t": "v", "v": "CAM_LV2_49" } ] },</v>
      </c>
    </row>
    <row r="307" spans="2:6" hidden="1">
      <c r="B307" t="s">
        <v>2390</v>
      </c>
      <c r="C307" t="s">
        <v>1223</v>
      </c>
      <c r="D307" t="s">
        <v>1223</v>
      </c>
      <c r="E307" t="s">
        <v>2391</v>
      </c>
      <c r="F307" t="str">
        <f t="shared" si="4"/>
        <v>{ "v": "CAM_LV3_305", "n" : { "SYS": "Ambam", "EN": "Ambam" }, "vi" : [ { "r": "A-20", "o": "=", "t": "v", "v": "CAM_LV2_50" } ] },</v>
      </c>
    </row>
    <row r="308" spans="2:6" hidden="1">
      <c r="B308" t="s">
        <v>2392</v>
      </c>
      <c r="C308" t="s">
        <v>1225</v>
      </c>
      <c r="D308" t="s">
        <v>1225</v>
      </c>
      <c r="E308" t="s">
        <v>2393</v>
      </c>
      <c r="F308" t="str">
        <f t="shared" si="4"/>
        <v>{ "v": "CAM_LV3_306", "n" : { "SYS": "Bengbis", "EN": "Bengbis" }, "vi" : [ { "r": "A-20", "o": "=", "t": "v", "v": "CAM_LV2_51" } ] },</v>
      </c>
    </row>
    <row r="309" spans="2:6" hidden="1">
      <c r="B309" t="s">
        <v>2394</v>
      </c>
      <c r="C309" t="s">
        <v>1226</v>
      </c>
      <c r="D309" t="s">
        <v>1226</v>
      </c>
      <c r="E309" t="s">
        <v>2389</v>
      </c>
      <c r="F309" t="str">
        <f t="shared" si="4"/>
        <v>{ "v": "CAM_LV3_307", "n" : { "SYS": "Bipindi", "EN": "Bipindi" }, "vi" : [ { "r": "A-20", "o": "=", "t": "v", "v": "CAM_LV2_49" } ] },</v>
      </c>
    </row>
    <row r="310" spans="2:6" hidden="1">
      <c r="B310" t="s">
        <v>2395</v>
      </c>
      <c r="C310" t="s">
        <v>1228</v>
      </c>
      <c r="D310" t="s">
        <v>1228</v>
      </c>
      <c r="E310" t="s">
        <v>2396</v>
      </c>
      <c r="F310" t="str">
        <f t="shared" si="4"/>
        <v>{ "v": "CAM_LV3_308", "n" : { "SYS": "Biwong-Bane", "EN": "Biwong-Bane" }, "vi" : [ { "r": "A-20", "o": "=", "t": "v", "v": "CAM_LV2_52" } ] },</v>
      </c>
    </row>
    <row r="311" spans="2:6" hidden="1">
      <c r="B311" t="s">
        <v>2397</v>
      </c>
      <c r="C311" t="s">
        <v>1229</v>
      </c>
      <c r="D311" t="s">
        <v>1229</v>
      </c>
      <c r="E311" t="s">
        <v>2396</v>
      </c>
      <c r="F311" t="str">
        <f t="shared" si="4"/>
        <v>{ "v": "CAM_LV3_309", "n" : { "SYS": "Biwong-Bulu", "EN": "Biwong-Bulu" }, "vi" : [ { "r": "A-20", "o": "=", "t": "v", "v": "CAM_LV2_52" } ] },</v>
      </c>
    </row>
    <row r="312" spans="2:6" hidden="1">
      <c r="B312" t="s">
        <v>2398</v>
      </c>
      <c r="C312" t="s">
        <v>1230</v>
      </c>
      <c r="D312" t="s">
        <v>1230</v>
      </c>
      <c r="E312" t="s">
        <v>2389</v>
      </c>
      <c r="F312" t="str">
        <f t="shared" si="4"/>
        <v>{ "v": "CAM_LV3_310", "n" : { "SYS": "Campo", "EN": "Campo" }, "vi" : [ { "r": "A-20", "o": "=", "t": "v", "v": "CAM_LV2_49" } ] },</v>
      </c>
    </row>
    <row r="313" spans="2:6" hidden="1">
      <c r="B313" t="s">
        <v>2399</v>
      </c>
      <c r="C313" t="s">
        <v>1231</v>
      </c>
      <c r="D313" t="s">
        <v>1231</v>
      </c>
      <c r="E313" t="s">
        <v>2393</v>
      </c>
      <c r="F313" t="str">
        <f t="shared" si="4"/>
        <v>{ "v": "CAM_LV3_311", "n" : { "SYS": "Djoum", "EN": "Djoum" }, "vi" : [ { "r": "A-20", "o": "=", "t": "v", "v": "CAM_LV2_51" } ] },</v>
      </c>
    </row>
    <row r="314" spans="2:6" hidden="1">
      <c r="B314" t="s">
        <v>2400</v>
      </c>
      <c r="C314" t="s">
        <v>1232</v>
      </c>
      <c r="D314" t="s">
        <v>1232</v>
      </c>
      <c r="E314" t="s">
        <v>2396</v>
      </c>
      <c r="F314" t="str">
        <f t="shared" si="4"/>
        <v>{ "v": "CAM_LV3_312", "n" : { "SYS": "Ebolowa 1er", "EN": "Ebolowa 1er" }, "vi" : [ { "r": "A-20", "o": "=", "t": "v", "v": "CAM_LV2_52" } ] },</v>
      </c>
    </row>
    <row r="315" spans="2:6" hidden="1">
      <c r="B315" t="s">
        <v>2401</v>
      </c>
      <c r="C315" t="s">
        <v>1233</v>
      </c>
      <c r="D315" t="s">
        <v>1233</v>
      </c>
      <c r="E315" t="s">
        <v>2396</v>
      </c>
      <c r="F315" t="str">
        <f t="shared" si="4"/>
        <v>{ "v": "CAM_LV3_313", "n" : { "SYS": "Ebolowa 2e", "EN": "Ebolowa 2e" }, "vi" : [ { "r": "A-20", "o": "=", "t": "v", "v": "CAM_LV2_52" } ] },</v>
      </c>
    </row>
    <row r="316" spans="2:6" hidden="1">
      <c r="B316" t="s">
        <v>2402</v>
      </c>
      <c r="C316" t="s">
        <v>1234</v>
      </c>
      <c r="D316" t="s">
        <v>1234</v>
      </c>
      <c r="E316" t="s">
        <v>2396</v>
      </c>
      <c r="F316" t="str">
        <f t="shared" si="4"/>
        <v>{ "v": "CAM_LV3_314", "n" : { "SYS": "Efoulan", "EN": "Efoulan" }, "vi" : [ { "r": "A-20", "o": "=", "t": "v", "v": "CAM_LV2_52" } ] },</v>
      </c>
    </row>
    <row r="317" spans="2:6" hidden="1">
      <c r="B317" t="s">
        <v>2403</v>
      </c>
      <c r="C317" t="s">
        <v>1235</v>
      </c>
      <c r="D317" t="s">
        <v>1235</v>
      </c>
      <c r="E317" t="s">
        <v>2389</v>
      </c>
      <c r="F317" t="str">
        <f t="shared" si="4"/>
        <v>{ "v": "CAM_LV3_315", "n" : { "SYS": "Kribi 1er", "EN": "Kribi 1er" }, "vi" : [ { "r": "A-20", "o": "=", "t": "v", "v": "CAM_LV2_49" } ] },</v>
      </c>
    </row>
    <row r="318" spans="2:6" hidden="1">
      <c r="B318" t="s">
        <v>2404</v>
      </c>
      <c r="C318" t="s">
        <v>1236</v>
      </c>
      <c r="D318" t="s">
        <v>1236</v>
      </c>
      <c r="E318" t="s">
        <v>2389</v>
      </c>
      <c r="F318" t="str">
        <f t="shared" si="4"/>
        <v>{ "v": "CAM_LV3_316", "n" : { "SYS": "Kribi 2e", "EN": "Kribi 2e" }, "vi" : [ { "r": "A-20", "o": "=", "t": "v", "v": "CAM_LV2_49" } ] },</v>
      </c>
    </row>
    <row r="319" spans="2:6" hidden="1">
      <c r="B319" t="s">
        <v>2405</v>
      </c>
      <c r="C319" t="s">
        <v>1237</v>
      </c>
      <c r="D319" t="s">
        <v>1237</v>
      </c>
      <c r="E319" t="s">
        <v>2391</v>
      </c>
      <c r="F319" t="str">
        <f t="shared" si="4"/>
        <v>{ "v": "CAM_LV3_317", "n" : { "SYS": "Kye-Ossi", "EN": "Kye-Ossi" }, "vi" : [ { "r": "A-20", "o": "=", "t": "v", "v": "CAM_LV2_50" } ] },</v>
      </c>
    </row>
    <row r="320" spans="2:6" hidden="1">
      <c r="B320" t="s">
        <v>2406</v>
      </c>
      <c r="C320" t="s">
        <v>1238</v>
      </c>
      <c r="D320" t="s">
        <v>1238</v>
      </c>
      <c r="E320" t="s">
        <v>2389</v>
      </c>
      <c r="F320" t="str">
        <f t="shared" si="4"/>
        <v>{ "v": "CAM_LV3_318", "n" : { "SYS": "Lokoundje", "EN": "Lokoundje" }, "vi" : [ { "r": "A-20", "o": "=", "t": "v", "v": "CAM_LV2_49" } ] },</v>
      </c>
    </row>
    <row r="321" spans="2:6" hidden="1">
      <c r="B321" t="s">
        <v>2407</v>
      </c>
      <c r="C321" t="s">
        <v>1239</v>
      </c>
      <c r="D321" t="s">
        <v>1239</v>
      </c>
      <c r="E321" t="s">
        <v>2389</v>
      </c>
      <c r="F321" t="str">
        <f t="shared" si="4"/>
        <v>{ "v": "CAM_LV3_319", "n" : { "SYS": "Lolodorf", "EN": "Lolodorf" }, "vi" : [ { "r": "A-20", "o": "=", "t": "v", "v": "CAM_LV2_49" } ] },</v>
      </c>
    </row>
    <row r="322" spans="2:6" hidden="1">
      <c r="B322" t="s">
        <v>2408</v>
      </c>
      <c r="C322" t="s">
        <v>1240</v>
      </c>
      <c r="D322" t="s">
        <v>1240</v>
      </c>
      <c r="E322" t="s">
        <v>2391</v>
      </c>
      <c r="F322" t="str">
        <f t="shared" si="4"/>
        <v>{ "v": "CAM_LV3_320", "n" : { "SYS": "Maan", "EN": "Maan" }, "vi" : [ { "r": "A-20", "o": "=", "t": "v", "v": "CAM_LV2_50" } ] },</v>
      </c>
    </row>
    <row r="323" spans="2:6" hidden="1">
      <c r="B323" t="s">
        <v>2409</v>
      </c>
      <c r="C323" t="s">
        <v>1241</v>
      </c>
      <c r="D323" t="s">
        <v>1241</v>
      </c>
      <c r="E323" t="s">
        <v>2396</v>
      </c>
      <c r="F323" t="str">
        <f t="shared" ref="F323:F365" si="5">_xlfn.CONCAT(liststart,B323,listlareport,C323,listlat,D323,area_vis_lv21,E323,areavisend)</f>
        <v>{ "v": "CAM_LV3_321", "n" : { "SYS": "Mengong", "EN": "Mengong" }, "vi" : [ { "r": "A-20", "o": "=", "t": "v", "v": "CAM_LV2_52" } ] },</v>
      </c>
    </row>
    <row r="324" spans="2:6" hidden="1">
      <c r="B324" t="s">
        <v>2410</v>
      </c>
      <c r="C324" t="s">
        <v>1242</v>
      </c>
      <c r="D324" t="s">
        <v>1242</v>
      </c>
      <c r="E324" t="s">
        <v>2393</v>
      </c>
      <c r="F324" t="str">
        <f t="shared" si="5"/>
        <v>{ "v": "CAM_LV3_322", "n" : { "SYS": "Meyomessala", "EN": "Meyomessala" }, "vi" : [ { "r": "A-20", "o": "=", "t": "v", "v": "CAM_LV2_51" } ] },</v>
      </c>
    </row>
    <row r="325" spans="2:6" hidden="1">
      <c r="B325" t="s">
        <v>2411</v>
      </c>
      <c r="C325" t="s">
        <v>1243</v>
      </c>
      <c r="D325" t="s">
        <v>1243</v>
      </c>
      <c r="E325" t="s">
        <v>2393</v>
      </c>
      <c r="F325" t="str">
        <f t="shared" si="5"/>
        <v>{ "v": "CAM_LV3_323", "n" : { "SYS": "Meyomessi", "EN": "Meyomessi" }, "vi" : [ { "r": "A-20", "o": "=", "t": "v", "v": "CAM_LV2_51" } ] },</v>
      </c>
    </row>
    <row r="326" spans="2:6" hidden="1">
      <c r="B326" t="s">
        <v>2412</v>
      </c>
      <c r="C326" t="s">
        <v>1244</v>
      </c>
      <c r="D326" t="s">
        <v>1244</v>
      </c>
      <c r="E326" t="s">
        <v>2393</v>
      </c>
      <c r="F326" t="str">
        <f t="shared" si="5"/>
        <v>{ "v": "CAM_LV3_324", "n" : { "SYS": "Mintom", "EN": "Mintom" }, "vi" : [ { "r": "A-20", "o": "=", "t": "v", "v": "CAM_LV2_51" } ] },</v>
      </c>
    </row>
    <row r="327" spans="2:6" hidden="1">
      <c r="B327" t="s">
        <v>2413</v>
      </c>
      <c r="C327" t="s">
        <v>1245</v>
      </c>
      <c r="D327" t="s">
        <v>1245</v>
      </c>
      <c r="E327" t="s">
        <v>2396</v>
      </c>
      <c r="F327" t="str">
        <f t="shared" si="5"/>
        <v>{ "v": "CAM_LV3_325", "n" : { "SYS": "Mvangane", "EN": "Mvangane" }, "vi" : [ { "r": "A-20", "o": "=", "t": "v", "v": "CAM_LV2_52" } ] },</v>
      </c>
    </row>
    <row r="328" spans="2:6" hidden="1">
      <c r="B328" t="s">
        <v>2414</v>
      </c>
      <c r="C328" t="s">
        <v>1246</v>
      </c>
      <c r="D328" t="s">
        <v>1246</v>
      </c>
      <c r="E328" t="s">
        <v>2389</v>
      </c>
      <c r="F328" t="str">
        <f t="shared" si="5"/>
        <v>{ "v": "CAM_LV3_326", "n" : { "SYS": "Mvengue", "EN": "Mvengue" }, "vi" : [ { "r": "A-20", "o": "=", "t": "v", "v": "CAM_LV2_49" } ] },</v>
      </c>
    </row>
    <row r="329" spans="2:6" hidden="1">
      <c r="B329" t="s">
        <v>2415</v>
      </c>
      <c r="C329" t="s">
        <v>1247</v>
      </c>
      <c r="D329" t="s">
        <v>1247</v>
      </c>
      <c r="E329" t="s">
        <v>2396</v>
      </c>
      <c r="F329" t="str">
        <f t="shared" si="5"/>
        <v>{ "v": "CAM_LV3_327", "n" : { "SYS": "Ngoulemakong", "EN": "Ngoulemakong" }, "vi" : [ { "r": "A-20", "o": "=", "t": "v", "v": "CAM_LV2_52" } ] },</v>
      </c>
    </row>
    <row r="330" spans="2:6" hidden="1">
      <c r="B330" t="s">
        <v>2416</v>
      </c>
      <c r="C330" t="s">
        <v>1248</v>
      </c>
      <c r="D330" t="s">
        <v>1248</v>
      </c>
      <c r="E330" t="s">
        <v>2389</v>
      </c>
      <c r="F330" t="str">
        <f t="shared" si="5"/>
        <v>{ "v": "CAM_LV3_328", "n" : { "SYS": "Niete", "EN": "Niete" }, "vi" : [ { "r": "A-20", "o": "=", "t": "v", "v": "CAM_LV2_49" } ] },</v>
      </c>
    </row>
    <row r="331" spans="2:6" hidden="1">
      <c r="B331" t="s">
        <v>2417</v>
      </c>
      <c r="C331" t="s">
        <v>1249</v>
      </c>
      <c r="D331" t="s">
        <v>1249</v>
      </c>
      <c r="E331" t="s">
        <v>2391</v>
      </c>
      <c r="F331" t="str">
        <f t="shared" si="5"/>
        <v>{ "v": "CAM_LV3_329", "n" : { "SYS": "Olamze", "EN": "Olamze" }, "vi" : [ { "r": "A-20", "o": "=", "t": "v", "v": "CAM_LV2_50" } ] },</v>
      </c>
    </row>
    <row r="332" spans="2:6" hidden="1">
      <c r="B332" t="s">
        <v>2418</v>
      </c>
      <c r="C332" t="s">
        <v>1250</v>
      </c>
      <c r="D332" t="s">
        <v>1250</v>
      </c>
      <c r="E332" t="s">
        <v>2393</v>
      </c>
      <c r="F332" t="str">
        <f t="shared" si="5"/>
        <v>{ "v": "CAM_LV3_330", "n" : { "SYS": "Oveng", "EN": "Oveng" }, "vi" : [ { "r": "A-20", "o": "=", "t": "v", "v": "CAM_LV2_51" } ] },</v>
      </c>
    </row>
    <row r="333" spans="2:6" hidden="1">
      <c r="B333" t="s">
        <v>2419</v>
      </c>
      <c r="C333" t="s">
        <v>1251</v>
      </c>
      <c r="D333" t="s">
        <v>1251</v>
      </c>
      <c r="E333" t="s">
        <v>2393</v>
      </c>
      <c r="F333" t="str">
        <f t="shared" si="5"/>
        <v>{ "v": "CAM_LV3_331", "n" : { "SYS": "Sangmelima", "EN": "Sangmelima" }, "vi" : [ { "r": "A-20", "o": "=", "t": "v", "v": "CAM_LV2_51" } ] },</v>
      </c>
    </row>
    <row r="334" spans="2:6" hidden="1">
      <c r="B334" t="s">
        <v>2420</v>
      </c>
      <c r="C334" t="s">
        <v>1252</v>
      </c>
      <c r="D334" t="s">
        <v>1252</v>
      </c>
      <c r="E334" t="s">
        <v>2393</v>
      </c>
      <c r="F334" t="str">
        <f t="shared" si="5"/>
        <v>{ "v": "CAM_LV3_332", "n" : { "SYS": "Zoetele", "EN": "Zoetele" }, "vi" : [ { "r": "A-20", "o": "=", "t": "v", "v": "CAM_LV2_51" } ] },</v>
      </c>
    </row>
    <row r="335" spans="2:6" hidden="1">
      <c r="B335" t="s">
        <v>2421</v>
      </c>
      <c r="C335" t="s">
        <v>1254</v>
      </c>
      <c r="D335" t="s">
        <v>1254</v>
      </c>
      <c r="E335" t="s">
        <v>2422</v>
      </c>
      <c r="F335" t="str">
        <f t="shared" si="5"/>
        <v>{ "v": "CAM_LV3_333", "n" : { "SYS": "Akwaya", "EN": "Akwaya" }, "vi" : [ { "r": "A-20", "o": "=", "t": "v", "v": "CAM_LV2_53" } ] },</v>
      </c>
    </row>
    <row r="336" spans="2:6" hidden="1">
      <c r="B336" t="s">
        <v>2423</v>
      </c>
      <c r="C336" t="s">
        <v>1256</v>
      </c>
      <c r="D336" t="s">
        <v>1256</v>
      </c>
      <c r="E336" t="s">
        <v>2424</v>
      </c>
      <c r="F336" t="str">
        <f t="shared" si="5"/>
        <v>{ "v": "CAM_LV3_334", "n" : { "SYS": "Alou", "EN": "Alou" }, "vi" : [ { "r": "A-20", "o": "=", "t": "v", "v": "CAM_LV2_54" } ] },</v>
      </c>
    </row>
    <row r="337" spans="2:6" hidden="1">
      <c r="B337" t="s">
        <v>2425</v>
      </c>
      <c r="C337" t="s">
        <v>1258</v>
      </c>
      <c r="D337" t="s">
        <v>1258</v>
      </c>
      <c r="E337" t="s">
        <v>2426</v>
      </c>
      <c r="F337" t="str">
        <f t="shared" si="5"/>
        <v>{ "v": "CAM_LV3_335", "n" : { "SYS": "Bamusso", "EN": "Bamusso" }, "vi" : [ { "r": "A-20", "o": "=", "t": "v", "v": "CAM_LV2_55" } ] },</v>
      </c>
    </row>
    <row r="338" spans="2:6" hidden="1">
      <c r="B338" t="s">
        <v>2427</v>
      </c>
      <c r="C338" t="s">
        <v>1260</v>
      </c>
      <c r="D338" t="s">
        <v>1260</v>
      </c>
      <c r="E338" t="s">
        <v>2428</v>
      </c>
      <c r="F338" t="str">
        <f t="shared" si="5"/>
        <v>{ "v": "CAM_LV3_336", "n" : { "SYS": "Bangem", "EN": "Bangem" }, "vi" : [ { "r": "A-20", "o": "=", "t": "v", "v": "CAM_LV2_56" } ] },</v>
      </c>
    </row>
    <row r="339" spans="2:6" hidden="1">
      <c r="B339" t="s">
        <v>2429</v>
      </c>
      <c r="C339" t="s">
        <v>1262</v>
      </c>
      <c r="D339" t="s">
        <v>1262</v>
      </c>
      <c r="E339" t="s">
        <v>2430</v>
      </c>
      <c r="F339" t="str">
        <f t="shared" si="5"/>
        <v>{ "v": "CAM_LV3_337", "n" : { "SYS": "Buea", "EN": "Buea" }, "vi" : [ { "r": "A-20", "o": "=", "t": "v", "v": "CAM_LV2_57" } ] },</v>
      </c>
    </row>
    <row r="340" spans="2:6" hidden="1">
      <c r="B340" t="s">
        <v>2431</v>
      </c>
      <c r="C340" t="s">
        <v>1263</v>
      </c>
      <c r="D340" t="s">
        <v>1263</v>
      </c>
      <c r="E340" t="s">
        <v>2426</v>
      </c>
      <c r="F340" t="str">
        <f t="shared" si="5"/>
        <v>{ "v": "CAM_LV3_338", "n" : { "SYS": "Dikome Balue", "EN": "Dikome Balue" }, "vi" : [ { "r": "A-20", "o": "=", "t": "v", "v": "CAM_LV2_55" } ] },</v>
      </c>
    </row>
    <row r="341" spans="2:6" hidden="1">
      <c r="B341" t="s">
        <v>2432</v>
      </c>
      <c r="C341" t="s">
        <v>1264</v>
      </c>
      <c r="D341" t="s">
        <v>1264</v>
      </c>
      <c r="E341" t="s">
        <v>2426</v>
      </c>
      <c r="F341" t="str">
        <f t="shared" si="5"/>
        <v>{ "v": "CAM_LV3_339", "n" : { "SYS": "Ekondo Titi", "EN": "Ekondo Titi" }, "vi" : [ { "r": "A-20", "o": "=", "t": "v", "v": "CAM_LV2_55" } ] },</v>
      </c>
    </row>
    <row r="342" spans="2:6" hidden="1">
      <c r="B342" t="s">
        <v>2433</v>
      </c>
      <c r="C342" t="s">
        <v>1265</v>
      </c>
      <c r="D342" t="s">
        <v>1265</v>
      </c>
      <c r="E342" t="s">
        <v>2422</v>
      </c>
      <c r="F342" t="str">
        <f t="shared" si="5"/>
        <v>{ "v": "CAM_LV3_340", "n" : { "SYS": "Eyumodjock", "EN": "Eyumodjock" }, "vi" : [ { "r": "A-20", "o": "=", "t": "v", "v": "CAM_LV2_53" } ] },</v>
      </c>
    </row>
    <row r="343" spans="2:6" hidden="1">
      <c r="B343" t="s">
        <v>2434</v>
      </c>
      <c r="C343" t="s">
        <v>1266</v>
      </c>
      <c r="D343" t="s">
        <v>1266</v>
      </c>
      <c r="E343" t="s">
        <v>2424</v>
      </c>
      <c r="F343" t="str">
        <f t="shared" si="5"/>
        <v>{ "v": "CAM_LV3_341", "n" : { "SYS": "Menji", "EN": "Menji" }, "vi" : [ { "r": "A-20", "o": "=", "t": "v", "v": "CAM_LV2_54" } ] },</v>
      </c>
    </row>
    <row r="344" spans="2:6" hidden="1">
      <c r="B344" t="s">
        <v>2435</v>
      </c>
      <c r="C344" t="s">
        <v>1267</v>
      </c>
      <c r="D344" t="s">
        <v>1267</v>
      </c>
      <c r="E344" t="s">
        <v>2426</v>
      </c>
      <c r="F344" t="str">
        <f t="shared" si="5"/>
        <v>{ "v": "CAM_LV3_342", "n" : { "SYS": "Idabato", "EN": "Idabato" }, "vi" : [ { "r": "A-20", "o": "=", "t": "v", "v": "CAM_LV2_55" } ] },</v>
      </c>
    </row>
    <row r="345" spans="2:6" hidden="1">
      <c r="B345" t="s">
        <v>2436</v>
      </c>
      <c r="C345" t="s">
        <v>1268</v>
      </c>
      <c r="D345" t="s">
        <v>1268</v>
      </c>
      <c r="E345" t="s">
        <v>2426</v>
      </c>
      <c r="F345" t="str">
        <f t="shared" si="5"/>
        <v>{ "v": "CAM_LV3_343", "n" : { "SYS": "Isanguele", "EN": "Isanguele" }, "vi" : [ { "r": "A-20", "o": "=", "t": "v", "v": "CAM_LV2_55" } ] },</v>
      </c>
    </row>
    <row r="346" spans="2:6" hidden="1">
      <c r="B346" t="s">
        <v>2437</v>
      </c>
      <c r="C346" t="s">
        <v>1269</v>
      </c>
      <c r="D346" t="s">
        <v>1269</v>
      </c>
      <c r="E346" t="s">
        <v>2426</v>
      </c>
      <c r="F346" t="str">
        <f t="shared" si="5"/>
        <v>{ "v": "CAM_LV3_344", "n" : { "SYS": "Kombo-Abedimo", "EN": "Kombo-Abedimo" }, "vi" : [ { "r": "A-20", "o": "=", "t": "v", "v": "CAM_LV2_55" } ] },</v>
      </c>
    </row>
    <row r="347" spans="2:6" hidden="1">
      <c r="B347" t="s">
        <v>2438</v>
      </c>
      <c r="C347" t="s">
        <v>1270</v>
      </c>
      <c r="D347" t="s">
        <v>1270</v>
      </c>
      <c r="E347" t="s">
        <v>2426</v>
      </c>
      <c r="F347" t="str">
        <f t="shared" si="5"/>
        <v>{ "v": "CAM_LV3_345", "n" : { "SYS": "Kombo-Itindi", "EN": "Kombo-Itindi" }, "vi" : [ { "r": "A-20", "o": "=", "t": "v", "v": "CAM_LV2_55" } ] },</v>
      </c>
    </row>
    <row r="348" spans="2:6" hidden="1">
      <c r="B348" t="s">
        <v>2439</v>
      </c>
      <c r="C348" t="s">
        <v>1272</v>
      </c>
      <c r="D348" t="s">
        <v>1272</v>
      </c>
      <c r="E348" t="s">
        <v>2440</v>
      </c>
      <c r="F348" t="str">
        <f t="shared" si="5"/>
        <v>{ "v": "CAM_LV3_346", "n" : { "SYS": "Konye", "EN": "Konye" }, "vi" : [ { "r": "A-20", "o": "=", "t": "v", "v": "CAM_LV2_58" } ] },</v>
      </c>
    </row>
    <row r="349" spans="2:6" hidden="1">
      <c r="B349" t="s">
        <v>2441</v>
      </c>
      <c r="C349" t="s">
        <v>1273</v>
      </c>
      <c r="D349" t="s">
        <v>1273</v>
      </c>
      <c r="E349" t="s">
        <v>2440</v>
      </c>
      <c r="F349" t="str">
        <f t="shared" si="5"/>
        <v>{ "v": "CAM_LV3_347", "n" : { "SYS": "Kumba 1st", "EN": "Kumba 1st" }, "vi" : [ { "r": "A-20", "o": "=", "t": "v", "v": "CAM_LV2_58" } ] },</v>
      </c>
    </row>
    <row r="350" spans="2:6" hidden="1">
      <c r="B350" t="s">
        <v>2442</v>
      </c>
      <c r="C350" t="s">
        <v>1274</v>
      </c>
      <c r="D350" t="s">
        <v>1274</v>
      </c>
      <c r="E350" t="s">
        <v>2440</v>
      </c>
      <c r="F350" t="str">
        <f t="shared" si="5"/>
        <v>{ "v": "CAM_LV3_348", "n" : { "SYS": "Kumba 2nd", "EN": "Kumba 2nd" }, "vi" : [ { "r": "A-20", "o": "=", "t": "v", "v": "CAM_LV2_58" } ] },</v>
      </c>
    </row>
    <row r="351" spans="2:6" hidden="1">
      <c r="B351" t="s">
        <v>2443</v>
      </c>
      <c r="C351" t="s">
        <v>1275</v>
      </c>
      <c r="D351" t="s">
        <v>1275</v>
      </c>
      <c r="E351" t="s">
        <v>2440</v>
      </c>
      <c r="F351" t="str">
        <f t="shared" si="5"/>
        <v>{ "v": "CAM_LV3_349", "n" : { "SYS": "Kumba 3rd", "EN": "Kumba 3rd" }, "vi" : [ { "r": "A-20", "o": "=", "t": "v", "v": "CAM_LV2_58" } ] },</v>
      </c>
    </row>
    <row r="352" spans="2:6" hidden="1">
      <c r="B352" t="s">
        <v>2444</v>
      </c>
      <c r="C352" t="s">
        <v>1276</v>
      </c>
      <c r="D352" t="s">
        <v>1276</v>
      </c>
      <c r="E352" t="s">
        <v>2430</v>
      </c>
      <c r="F352" t="str">
        <f t="shared" si="5"/>
        <v>{ "v": "CAM_LV3_350", "n" : { "SYS": "Limbe 1st", "EN": "Limbe 1st" }, "vi" : [ { "r": "A-20", "o": "=", "t": "v", "v": "CAM_LV2_57" } ] },</v>
      </c>
    </row>
    <row r="353" spans="2:6" hidden="1">
      <c r="B353" t="s">
        <v>2445</v>
      </c>
      <c r="C353" t="s">
        <v>1277</v>
      </c>
      <c r="D353" t="s">
        <v>1277</v>
      </c>
      <c r="E353" t="s">
        <v>2430</v>
      </c>
      <c r="F353" t="str">
        <f t="shared" si="5"/>
        <v>{ "v": "CAM_LV3_351", "n" : { "SYS": "Limbe 2nd", "EN": "Limbe 2nd" }, "vi" : [ { "r": "A-20", "o": "=", "t": "v", "v": "CAM_LV2_57" } ] },</v>
      </c>
    </row>
    <row r="354" spans="2:6" hidden="1">
      <c r="B354" t="s">
        <v>2446</v>
      </c>
      <c r="C354" t="s">
        <v>1278</v>
      </c>
      <c r="D354" t="s">
        <v>1278</v>
      </c>
      <c r="E354" t="s">
        <v>2430</v>
      </c>
      <c r="F354" t="str">
        <f t="shared" si="5"/>
        <v>{ "v": "CAM_LV3_352", "n" : { "SYS": "Limbe 3rd", "EN": "Limbe 3rd" }, "vi" : [ { "r": "A-20", "o": "=", "t": "v", "v": "CAM_LV2_57" } ] },</v>
      </c>
    </row>
    <row r="355" spans="2:6" hidden="1">
      <c r="B355" t="s">
        <v>2447</v>
      </c>
      <c r="C355" t="s">
        <v>1279</v>
      </c>
      <c r="D355" t="s">
        <v>1279</v>
      </c>
      <c r="E355" t="s">
        <v>2422</v>
      </c>
      <c r="F355" t="str">
        <f t="shared" si="5"/>
        <v>{ "v": "CAM_LV3_353", "n" : { "SYS": "Mamfé Central", "EN": "Mamfé Central" }, "vi" : [ { "r": "A-20", "o": "=", "t": "v", "v": "CAM_LV2_53" } ] },</v>
      </c>
    </row>
    <row r="356" spans="2:6" hidden="1">
      <c r="B356" t="s">
        <v>2448</v>
      </c>
      <c r="C356" t="s">
        <v>1280</v>
      </c>
      <c r="D356" t="s">
        <v>1280</v>
      </c>
      <c r="E356" t="s">
        <v>2440</v>
      </c>
      <c r="F356" t="str">
        <f t="shared" si="5"/>
        <v>{ "v": "CAM_LV3_354", "n" : { "SYS": "Mbonge", "EN": "Mbonge" }, "vi" : [ { "r": "A-20", "o": "=", "t": "v", "v": "CAM_LV2_58" } ] },</v>
      </c>
    </row>
    <row r="357" spans="2:6" hidden="1">
      <c r="B357" t="s">
        <v>2449</v>
      </c>
      <c r="C357" t="s">
        <v>1281</v>
      </c>
      <c r="D357" t="s">
        <v>1281</v>
      </c>
      <c r="E357" t="s">
        <v>2426</v>
      </c>
      <c r="F357" t="str">
        <f t="shared" si="5"/>
        <v>{ "v": "CAM_LV3_355", "n" : { "SYS": "Mundemba", "EN": "Mundemba" }, "vi" : [ { "r": "A-20", "o": "=", "t": "v", "v": "CAM_LV2_55" } ] },</v>
      </c>
    </row>
    <row r="358" spans="2:6" hidden="1">
      <c r="B358" t="s">
        <v>2450</v>
      </c>
      <c r="C358" t="s">
        <v>1282</v>
      </c>
      <c r="D358" t="s">
        <v>1282</v>
      </c>
      <c r="E358" t="s">
        <v>2430</v>
      </c>
      <c r="F358" t="str">
        <f t="shared" si="5"/>
        <v>{ "v": "CAM_LV3_356", "n" : { "SYS": "Muyuka", "EN": "Muyuka" }, "vi" : [ { "r": "A-20", "o": "=", "t": "v", "v": "CAM_LV2_57" } ] },</v>
      </c>
    </row>
    <row r="359" spans="2:6" hidden="1">
      <c r="B359" t="s">
        <v>2451</v>
      </c>
      <c r="C359" t="s">
        <v>1283</v>
      </c>
      <c r="D359" t="s">
        <v>1283</v>
      </c>
      <c r="E359" t="s">
        <v>2428</v>
      </c>
      <c r="F359" t="str">
        <f t="shared" si="5"/>
        <v>{ "v": "CAM_LV3_357", "n" : { "SYS": "Nguti", "EN": "Nguti" }, "vi" : [ { "r": "A-20", "o": "=", "t": "v", "v": "CAM_LV2_56" } ] },</v>
      </c>
    </row>
    <row r="360" spans="2:6" hidden="1">
      <c r="B360" t="s">
        <v>2452</v>
      </c>
      <c r="C360" t="s">
        <v>1284</v>
      </c>
      <c r="D360" t="s">
        <v>1284</v>
      </c>
      <c r="E360" t="s">
        <v>2430</v>
      </c>
      <c r="F360" t="str">
        <f t="shared" si="5"/>
        <v>{ "v": "CAM_LV3_358", "n" : { "SYS": "Tiko", "EN": "Tiko" }, "vi" : [ { "r": "A-20", "o": "=", "t": "v", "v": "CAM_LV2_57" } ] },</v>
      </c>
    </row>
    <row r="361" spans="2:6" hidden="1">
      <c r="B361" t="s">
        <v>2453</v>
      </c>
      <c r="C361" t="s">
        <v>1285</v>
      </c>
      <c r="D361" t="s">
        <v>1285</v>
      </c>
      <c r="E361" t="s">
        <v>2426</v>
      </c>
      <c r="F361" t="str">
        <f t="shared" si="5"/>
        <v>{ "v": "CAM_LV3_359", "n" : { "SYS": "Toko", "EN": "Toko" }, "vi" : [ { "r": "A-20", "o": "=", "t": "v", "v": "CAM_LV2_55" } ] },</v>
      </c>
    </row>
    <row r="362" spans="2:6" hidden="1">
      <c r="B362" t="s">
        <v>2454</v>
      </c>
      <c r="C362" t="s">
        <v>1286</v>
      </c>
      <c r="D362" t="s">
        <v>1286</v>
      </c>
      <c r="E362" t="s">
        <v>2428</v>
      </c>
      <c r="F362" t="str">
        <f t="shared" si="5"/>
        <v>{ "v": "CAM_LV3_360", "n" : { "SYS": "Tombel", "EN": "Tombel" }, "vi" : [ { "r": "A-20", "o": "=", "t": "v", "v": "CAM_LV2_56" } ] },</v>
      </c>
    </row>
    <row r="363" spans="2:6" hidden="1">
      <c r="B363" t="s">
        <v>2455</v>
      </c>
      <c r="C363" t="s">
        <v>1287</v>
      </c>
      <c r="D363" t="s">
        <v>1287</v>
      </c>
      <c r="E363" t="s">
        <v>2422</v>
      </c>
      <c r="F363" t="str">
        <f t="shared" si="5"/>
        <v>{ "v": "CAM_LV3_361", "n" : { "SYS": "Upper Bayang", "EN": "Upper Bayang" }, "vi" : [ { "r": "A-20", "o": "=", "t": "v", "v": "CAM_LV2_53" } ] },</v>
      </c>
    </row>
    <row r="364" spans="2:6" hidden="1">
      <c r="B364" t="s">
        <v>2456</v>
      </c>
      <c r="C364" t="s">
        <v>1288</v>
      </c>
      <c r="D364" t="s">
        <v>1288</v>
      </c>
      <c r="E364" t="s">
        <v>2424</v>
      </c>
      <c r="F364" t="str">
        <f t="shared" si="5"/>
        <v>{ "v": "CAM_LV3_362", "n" : { "SYS": "Wabane", "EN": "Wabane" }, "vi" : [ { "r": "A-20", "o": "=", "t": "v", "v": "CAM_LV2_54" } ] },</v>
      </c>
    </row>
    <row r="365" spans="2:6" hidden="1">
      <c r="B365" t="s">
        <v>2457</v>
      </c>
      <c r="C365" t="s">
        <v>1289</v>
      </c>
      <c r="D365" t="s">
        <v>1289</v>
      </c>
      <c r="E365" t="s">
        <v>2430</v>
      </c>
      <c r="F365" t="str">
        <f t="shared" si="5"/>
        <v>{ "v": "CAM_LV3_363", "n" : { "SYS": "West-Coast", "EN": "West-Coast" }, "vi" : [ { "r": "A-20", "o": "=", "t": "v", "v": "CAM_LV2_57" } ] },</v>
      </c>
    </row>
  </sheetData>
  <autoFilter ref="B2:F365" xr:uid="{CEE4EC17-DF08-41EA-8C88-117C8612A266}">
    <filterColumn colId="1">
      <filters>
        <filter val="Bafoussam 1er"/>
        <filter val="Bafoussam 2e"/>
        <filter val="Bafoussam 3e"/>
      </filters>
    </filterColumn>
  </autoFilter>
  <phoneticPr fontId="19" type="noConversion"/>
  <conditionalFormatting sqref="C3:C365">
    <cfRule type="duplicateValues" dxfId="15" priority="2"/>
  </conditionalFormatting>
  <conditionalFormatting sqref="D3:D365">
    <cfRule type="duplicateValues" dxfId="14" priority="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AD40F-6D1B-4004-8841-6E750700D3EF}">
  <sheetPr>
    <tabColor rgb="FFFF0000"/>
  </sheetPr>
  <dimension ref="A2:F297"/>
  <sheetViews>
    <sheetView topLeftCell="A84" workbookViewId="0">
      <selection activeCell="F264" sqref="F264"/>
    </sheetView>
  </sheetViews>
  <sheetFormatPr defaultRowHeight="14.45"/>
  <cols>
    <col min="1" max="1" width="13.28515625" customWidth="1"/>
    <col min="2" max="2" width="12.85546875" bestFit="1" customWidth="1"/>
    <col min="3" max="4" width="23.7109375" bestFit="1" customWidth="1"/>
    <col min="5" max="5" width="20.28515625" customWidth="1"/>
    <col min="6" max="6" width="139.140625" bestFit="1" customWidth="1"/>
  </cols>
  <sheetData>
    <row r="2" spans="1:6">
      <c r="B2" t="s">
        <v>20</v>
      </c>
      <c r="C2" t="s">
        <v>840</v>
      </c>
      <c r="D2" t="s">
        <v>841</v>
      </c>
      <c r="E2" t="s">
        <v>2458</v>
      </c>
    </row>
    <row r="3" spans="1:6">
      <c r="A3" s="58" t="s">
        <v>1075</v>
      </c>
      <c r="B3" s="58" t="s">
        <v>2459</v>
      </c>
      <c r="C3" s="58" t="s">
        <v>2460</v>
      </c>
      <c r="D3" s="58" t="s">
        <v>2460</v>
      </c>
      <c r="E3" s="58" t="s">
        <v>2242</v>
      </c>
      <c r="F3" s="58" t="str">
        <f t="shared" ref="F3:F66" si="0">_xlfn.CONCAT(liststart,B3,listlareport,C3,listlat,D3,area_vis_lv3,E3,areavisend)</f>
        <v>{ "v": "CAM_LV4_1", "n" : { "SYS": "BONAMOUDOUROU", "EN": "BONAMOUDOUROU" }, "vi" : [ { "r": "A-30", "o": "=", "t": "v", "v": "CAM_LV3_179" } ] },</v>
      </c>
    </row>
    <row r="4" spans="1:6">
      <c r="A4" s="58" t="s">
        <v>1075</v>
      </c>
      <c r="B4" s="58" t="s">
        <v>2461</v>
      </c>
      <c r="C4" s="58" t="s">
        <v>2462</v>
      </c>
      <c r="D4" s="58" t="s">
        <v>2462</v>
      </c>
      <c r="E4" s="58" t="s">
        <v>2242</v>
      </c>
      <c r="F4" s="58" t="str">
        <f t="shared" si="0"/>
        <v>{ "v": "CAM_LV4_2", "n" : { "SYS": "BONAMOUTI DEIDO", "EN": "BONAMOUTI DEIDO" }, "vi" : [ { "r": "A-30", "o": "=", "t": "v", "v": "CAM_LV3_179" } ] },</v>
      </c>
    </row>
    <row r="5" spans="1:6">
      <c r="A5" s="58" t="s">
        <v>1075</v>
      </c>
      <c r="B5" s="58" t="s">
        <v>2463</v>
      </c>
      <c r="C5" s="58" t="s">
        <v>2464</v>
      </c>
      <c r="D5" s="58" t="s">
        <v>2464</v>
      </c>
      <c r="E5" s="58" t="s">
        <v>2242</v>
      </c>
      <c r="F5" s="58" t="str">
        <f t="shared" si="0"/>
        <v>{ "v": "CAM_LV4_3", "n" : { "SYS": "BONATENE", "EN": "BONATENE" }, "vi" : [ { "r": "A-30", "o": "=", "t": "v", "v": "CAM_LV3_179" } ] },</v>
      </c>
    </row>
    <row r="6" spans="1:6" ht="12" customHeight="1">
      <c r="A6" s="58" t="s">
        <v>1075</v>
      </c>
      <c r="B6" s="58" t="s">
        <v>2465</v>
      </c>
      <c r="C6" s="58" t="s">
        <v>2466</v>
      </c>
      <c r="D6" s="58" t="s">
        <v>2466</v>
      </c>
      <c r="E6" s="58" t="s">
        <v>2242</v>
      </c>
      <c r="F6" s="58" t="str">
        <f t="shared" si="0"/>
        <v>{ "v": "CAM_LV4_4", "n" : { "SYS": "BONATEKI", "EN": "BONATEKI" }, "vi" : [ { "r": "A-30", "o": "=", "t": "v", "v": "CAM_LV3_179" } ] },</v>
      </c>
    </row>
    <row r="7" spans="1:6">
      <c r="A7" s="58" t="s">
        <v>1075</v>
      </c>
      <c r="B7" s="58" t="s">
        <v>2467</v>
      </c>
      <c r="C7" s="58" t="s">
        <v>2468</v>
      </c>
      <c r="D7" s="58" t="s">
        <v>2468</v>
      </c>
      <c r="E7" s="58" t="s">
        <v>2242</v>
      </c>
      <c r="F7" s="58" t="str">
        <f t="shared" si="0"/>
        <v>{ "v": "CAM_LV4_5", "n" : { "SYS": "BONANJO", "EN": "BONANJO" }, "vi" : [ { "r": "A-30", "o": "=", "t": "v", "v": "CAM_LV3_179" } ] },</v>
      </c>
    </row>
    <row r="8" spans="1:6">
      <c r="A8" s="58" t="s">
        <v>1075</v>
      </c>
      <c r="B8" s="58" t="s">
        <v>2469</v>
      </c>
      <c r="C8" s="58" t="s">
        <v>2470</v>
      </c>
      <c r="D8" s="58" t="s">
        <v>2470</v>
      </c>
      <c r="E8" s="58" t="s">
        <v>2242</v>
      </c>
      <c r="F8" s="58" t="str">
        <f t="shared" si="0"/>
        <v>{ "v": "CAM_LV4_6", "n" : { "SYS": "BALI", "EN": "BALI" }, "vi" : [ { "r": "A-30", "o": "=", "t": "v", "v": "CAM_LV3_179" } ] },</v>
      </c>
    </row>
    <row r="9" spans="1:6">
      <c r="A9" s="58" t="s">
        <v>1075</v>
      </c>
      <c r="B9" s="58" t="s">
        <v>2471</v>
      </c>
      <c r="C9" s="58" t="s">
        <v>2472</v>
      </c>
      <c r="D9" s="58" t="s">
        <v>2472</v>
      </c>
      <c r="E9" s="58" t="s">
        <v>2242</v>
      </c>
      <c r="F9" s="58" t="str">
        <f t="shared" si="0"/>
        <v>{ "v": "CAM_LV4_7", "n" : { "SYS": "BONAPRISO", "EN": "BONAPRISO" }, "vi" : [ { "r": "A-30", "o": "=", "t": "v", "v": "CAM_LV3_179" } ] },</v>
      </c>
    </row>
    <row r="10" spans="1:6">
      <c r="A10" s="58" t="s">
        <v>1075</v>
      </c>
      <c r="B10" s="58" t="s">
        <v>2473</v>
      </c>
      <c r="C10" s="58" t="s">
        <v>2474</v>
      </c>
      <c r="D10" s="58" t="s">
        <v>2474</v>
      </c>
      <c r="E10" s="58" t="s">
        <v>2242</v>
      </c>
      <c r="F10" s="58" t="str">
        <f t="shared" si="0"/>
        <v>{ "v": "CAM_LV4_8", "n" : { "SYS": "NKONGMONDO", "EN": "NKONGMONDO" }, "vi" : [ { "r": "A-30", "o": "=", "t": "v", "v": "CAM_LV3_179" } ] },</v>
      </c>
    </row>
    <row r="11" spans="1:6">
      <c r="A11" s="58" t="s">
        <v>1075</v>
      </c>
      <c r="B11" s="58" t="s">
        <v>2475</v>
      </c>
      <c r="C11" s="58" t="s">
        <v>2476</v>
      </c>
      <c r="D11" s="58" t="s">
        <v>2476</v>
      </c>
      <c r="E11" s="58" t="s">
        <v>2242</v>
      </c>
      <c r="F11" s="58" t="str">
        <f t="shared" si="0"/>
        <v>{ "v": "CAM_LV4_9", "n" : { "SYS": "BESSENGUE", "EN": "BESSENGUE" }, "vi" : [ { "r": "A-30", "o": "=", "t": "v", "v": "CAM_LV3_179" } ] },</v>
      </c>
    </row>
    <row r="12" spans="1:6">
      <c r="A12" s="58" t="s">
        <v>1075</v>
      </c>
      <c r="B12" s="58" t="s">
        <v>2477</v>
      </c>
      <c r="C12" s="58" t="s">
        <v>2478</v>
      </c>
      <c r="D12" s="58" t="s">
        <v>2478</v>
      </c>
      <c r="E12" s="58" t="s">
        <v>2242</v>
      </c>
      <c r="F12" s="58" t="str">
        <f t="shared" si="0"/>
        <v>{ "v": "CAM_LV4_10", "n" : { "SYS": "NEW DEIDO", "EN": "NEW DEIDO" }, "vi" : [ { "r": "A-30", "o": "=", "t": "v", "v": "CAM_LV3_179" } ] },</v>
      </c>
    </row>
    <row r="13" spans="1:6">
      <c r="A13" s="58" t="s">
        <v>1075</v>
      </c>
      <c r="B13" s="58" t="s">
        <v>2479</v>
      </c>
      <c r="C13" s="58" t="s">
        <v>2480</v>
      </c>
      <c r="D13" s="58" t="s">
        <v>2480</v>
      </c>
      <c r="E13" s="58" t="s">
        <v>2242</v>
      </c>
      <c r="F13" s="58" t="str">
        <f t="shared" si="0"/>
        <v>{ "v": "CAM_LV4_11", "n" : { "SYS": "GRAND MOULIN", "EN": "GRAND MOULIN" }, "vi" : [ { "r": "A-30", "o": "=", "t": "v", "v": "CAM_LV3_179" } ] },</v>
      </c>
    </row>
    <row r="14" spans="1:6">
      <c r="A14" s="58" t="s">
        <v>1075</v>
      </c>
      <c r="B14" s="58" t="s">
        <v>2481</v>
      </c>
      <c r="C14" s="58" t="s">
        <v>2482</v>
      </c>
      <c r="D14" s="58" t="s">
        <v>2482</v>
      </c>
      <c r="E14" s="58" t="s">
        <v>2242</v>
      </c>
      <c r="F14" s="58" t="str">
        <f t="shared" si="0"/>
        <v>{ "v": "CAM_LV4_12", "n" : { "SYS": "NKONDO", "EN": "NKONDO" }, "vi" : [ { "r": "A-30", "o": "=", "t": "v", "v": "CAM_LV3_179" } ] },</v>
      </c>
    </row>
    <row r="15" spans="1:6">
      <c r="A15" s="58" t="s">
        <v>1075</v>
      </c>
      <c r="B15" s="58" t="s">
        <v>2483</v>
      </c>
      <c r="C15" s="58" t="s">
        <v>2484</v>
      </c>
      <c r="D15" s="58" t="s">
        <v>2484</v>
      </c>
      <c r="E15" s="58" t="s">
        <v>2242</v>
      </c>
      <c r="F15" s="58" t="str">
        <f t="shared" si="0"/>
        <v>{ "v": "CAM_LV4_13", "n" : { "SYS": "BONADIBONG", "EN": "BONADIBONG" }, "vi" : [ { "r": "A-30", "o": "=", "t": "v", "v": "CAM_LV3_179" } ] },</v>
      </c>
    </row>
    <row r="16" spans="1:6">
      <c r="A16" s="58" t="s">
        <v>1075</v>
      </c>
      <c r="B16" s="58" t="s">
        <v>2485</v>
      </c>
      <c r="C16" s="58" t="s">
        <v>2486</v>
      </c>
      <c r="D16" s="58" t="s">
        <v>2486</v>
      </c>
      <c r="E16" s="58" t="s">
        <v>2242</v>
      </c>
      <c r="F16" s="58" t="str">
        <f t="shared" si="0"/>
        <v>{ "v": "CAM_LV4_14", "n" : { "SYS": "BONAMIKENGUE", "EN": "BONAMIKENGUE" }, "vi" : [ { "r": "A-30", "o": "=", "t": "v", "v": "CAM_LV3_179" } ] },</v>
      </c>
    </row>
    <row r="17" spans="1:6">
      <c r="A17" s="58" t="s">
        <v>1075</v>
      </c>
      <c r="B17" s="58" t="s">
        <v>2487</v>
      </c>
      <c r="C17" s="58" t="s">
        <v>2488</v>
      </c>
      <c r="D17" s="58" t="s">
        <v>2488</v>
      </c>
      <c r="E17" s="58" t="s">
        <v>2242</v>
      </c>
      <c r="F17" s="58" t="str">
        <f t="shared" si="0"/>
        <v>{ "v": "CAM_LV4_15", "n" : { "SYS": "BONEWONDA", "EN": "BONEWONDA" }, "vi" : [ { "r": "A-30", "o": "=", "t": "v", "v": "CAM_LV3_179" } ] },</v>
      </c>
    </row>
    <row r="18" spans="1:6">
      <c r="A18" s="58" t="s">
        <v>1075</v>
      </c>
      <c r="B18" s="58" t="s">
        <v>2489</v>
      </c>
      <c r="C18" s="58" t="s">
        <v>2490</v>
      </c>
      <c r="D18" s="58" t="s">
        <v>2490</v>
      </c>
      <c r="E18" s="58" t="s">
        <v>2242</v>
      </c>
      <c r="F18" s="58" t="str">
        <f t="shared" si="0"/>
        <v>{ "v": "CAM_LV4_16", "n" : { "SYS": "BONAMOUANG", "EN": "BONAMOUANG" }, "vi" : [ { "r": "A-30", "o": "=", "t": "v", "v": "CAM_LV3_179" } ] },</v>
      </c>
    </row>
    <row r="19" spans="1:6">
      <c r="A19" s="58" t="s">
        <v>1075</v>
      </c>
      <c r="B19" s="58" t="s">
        <v>2491</v>
      </c>
      <c r="C19" s="58" t="s">
        <v>2492</v>
      </c>
      <c r="D19" s="58" t="s">
        <v>2492</v>
      </c>
      <c r="E19" s="58" t="s">
        <v>2242</v>
      </c>
      <c r="F19" s="58" t="str">
        <f t="shared" si="0"/>
        <v>{ "v": "CAM_LV4_17", "n" : { "SYS": "BONELEKE", "EN": "BONELEKE" }, "vi" : [ { "r": "A-30", "o": "=", "t": "v", "v": "CAM_LV3_179" } ] },</v>
      </c>
    </row>
    <row r="20" spans="1:6">
      <c r="A20" s="58" t="s">
        <v>1075</v>
      </c>
      <c r="B20" s="58" t="s">
        <v>2493</v>
      </c>
      <c r="C20" s="58" t="s">
        <v>2494</v>
      </c>
      <c r="D20" s="58" t="s">
        <v>2494</v>
      </c>
      <c r="E20" s="58" t="s">
        <v>2242</v>
      </c>
      <c r="F20" s="58" t="str">
        <f t="shared" si="0"/>
        <v>{ "v": "CAM_LV4_18", "n" : { "SYS": "BONEBONG", "EN": "BONEBONG" }, "vi" : [ { "r": "A-30", "o": "=", "t": "v", "v": "CAM_LV3_179" } ] },</v>
      </c>
    </row>
    <row r="21" spans="1:6">
      <c r="A21" s="58" t="s">
        <v>1075</v>
      </c>
      <c r="B21" s="58" t="s">
        <v>2495</v>
      </c>
      <c r="C21" s="58" t="s">
        <v>2496</v>
      </c>
      <c r="D21" s="58" t="s">
        <v>2496</v>
      </c>
      <c r="E21" s="58" t="s">
        <v>2242</v>
      </c>
      <c r="F21" s="58" t="str">
        <f t="shared" si="0"/>
        <v>{ "v": "CAM_LV4_19", "n" : { "SYS": "BONAJINJE", "EN": "BONAJINJE" }, "vi" : [ { "r": "A-30", "o": "=", "t": "v", "v": "CAM_LV3_179" } ] },</v>
      </c>
    </row>
    <row r="22" spans="1:6">
      <c r="A22" s="58" t="s">
        <v>1075</v>
      </c>
      <c r="B22" s="58" t="s">
        <v>2497</v>
      </c>
      <c r="C22" s="58" t="s">
        <v>2498</v>
      </c>
      <c r="D22" s="58" t="s">
        <v>2498</v>
      </c>
      <c r="E22" s="58" t="s">
        <v>2242</v>
      </c>
      <c r="F22" s="58" t="str">
        <f t="shared" si="0"/>
        <v>{ "v": "CAM_LV4_20", "n" : { "SYS": "NGODI ", "EN": "NGODI " }, "vi" : [ { "r": "A-30", "o": "=", "t": "v", "v": "CAM_LV3_179" } ] },</v>
      </c>
    </row>
    <row r="23" spans="1:6">
      <c r="A23" s="58" t="s">
        <v>1075</v>
      </c>
      <c r="B23" s="58" t="s">
        <v>2499</v>
      </c>
      <c r="C23" s="58" t="s">
        <v>2500</v>
      </c>
      <c r="D23" s="58" t="s">
        <v>2500</v>
      </c>
      <c r="E23" s="58" t="s">
        <v>2242</v>
      </c>
      <c r="F23" s="58" t="str">
        <f t="shared" si="0"/>
        <v>{ "v": "CAM_LV4_21", "n" : { "SYS": "BONEJANG", "EN": "BONEJANG" }, "vi" : [ { "r": "A-30", "o": "=", "t": "v", "v": "CAM_LV3_179" } ] },</v>
      </c>
    </row>
    <row r="24" spans="1:6">
      <c r="A24" s="58" t="s">
        <v>1075</v>
      </c>
      <c r="B24" s="58" t="s">
        <v>2501</v>
      </c>
      <c r="C24" s="58" t="s">
        <v>2502</v>
      </c>
      <c r="D24" s="58" t="s">
        <v>2502</v>
      </c>
      <c r="E24" s="58" t="s">
        <v>2242</v>
      </c>
      <c r="F24" s="58" t="str">
        <f t="shared" si="0"/>
        <v>{ "v": "CAM_LV4_22", "n" : { "SYS": "BONAKOUAMOUANG", "EN": "BONAKOUAMOUANG" }, "vi" : [ { "r": "A-30", "o": "=", "t": "v", "v": "CAM_LV3_179" } ] },</v>
      </c>
    </row>
    <row r="25" spans="1:6">
      <c r="A25" s="58" t="s">
        <v>1075</v>
      </c>
      <c r="B25" s="58" t="s">
        <v>2503</v>
      </c>
      <c r="C25" s="58" t="s">
        <v>2504</v>
      </c>
      <c r="D25" s="58" t="s">
        <v>2504</v>
      </c>
      <c r="E25" s="58" t="s">
        <v>2242</v>
      </c>
      <c r="F25" s="58" t="str">
        <f t="shared" si="0"/>
        <v>{ "v": "CAM_LV4_23", "n" : { "SYS": "BONANTONE", "EN": "BONANTONE" }, "vi" : [ { "r": "A-30", "o": "=", "t": "v", "v": "CAM_LV3_179" } ] },</v>
      </c>
    </row>
    <row r="26" spans="1:6">
      <c r="A26" s="58" t="s">
        <v>1075</v>
      </c>
      <c r="B26" s="58" t="s">
        <v>2505</v>
      </c>
      <c r="C26" s="58" t="s">
        <v>2506</v>
      </c>
      <c r="D26" s="58" t="s">
        <v>2506</v>
      </c>
      <c r="E26" s="58" t="s">
        <v>2242</v>
      </c>
      <c r="F26" s="58" t="str">
        <f t="shared" si="0"/>
        <v>{ "v": "CAM_LV4_24", "n" : { "SYS": "KOUMASSI", "EN": "KOUMASSI" }, "vi" : [ { "r": "A-30", "o": "=", "t": "v", "v": "CAM_LV3_179" } ] },</v>
      </c>
    </row>
    <row r="27" spans="1:6">
      <c r="A27" s="58" t="s">
        <v>1075</v>
      </c>
      <c r="B27" s="58" t="s">
        <v>2507</v>
      </c>
      <c r="C27" s="58" t="s">
        <v>2508</v>
      </c>
      <c r="D27" s="58" t="s">
        <v>2508</v>
      </c>
      <c r="E27" s="58" t="s">
        <v>2242</v>
      </c>
      <c r="F27" s="58" t="str">
        <f t="shared" si="0"/>
        <v>{ "v": "CAM_LV4_25", "n" : { "SYS": "BONADOUMA II", "EN": "BONADOUMA II" }, "vi" : [ { "r": "A-30", "o": "=", "t": "v", "v": "CAM_LV3_179" } ] },</v>
      </c>
    </row>
    <row r="28" spans="1:6">
      <c r="A28" s="58" t="s">
        <v>1075</v>
      </c>
      <c r="B28" s="58" t="s">
        <v>2509</v>
      </c>
      <c r="C28" s="58" t="s">
        <v>2510</v>
      </c>
      <c r="D28" s="58" t="s">
        <v>2510</v>
      </c>
      <c r="E28" s="58" t="s">
        <v>2242</v>
      </c>
      <c r="F28" s="58" t="str">
        <f t="shared" si="0"/>
        <v>{ "v": "CAM_LV4_26", "n" : { "SYS": "BONELANG", "EN": "BONELANG" }, "vi" : [ { "r": "A-30", "o": "=", "t": "v", "v": "CAM_LV3_179" } ] },</v>
      </c>
    </row>
    <row r="29" spans="1:6">
      <c r="A29" s="58" t="s">
        <v>1076</v>
      </c>
      <c r="B29" s="58" t="s">
        <v>2511</v>
      </c>
      <c r="C29" s="58" t="s">
        <v>2512</v>
      </c>
      <c r="D29" s="58" t="s">
        <v>2512</v>
      </c>
      <c r="E29" s="58" t="s">
        <v>2244</v>
      </c>
      <c r="F29" s="58" t="str">
        <f t="shared" si="0"/>
        <v>{ "v": "CAM_LV4_27", "n" : { "SYS": "NEW BELLE BASSA", "EN": "NEW BELLE BASSA" }, "vi" : [ { "r": "A-30", "o": "=", "t": "v", "v": "CAM_LV3_180" } ] },</v>
      </c>
    </row>
    <row r="30" spans="1:6">
      <c r="A30" s="58" t="s">
        <v>1076</v>
      </c>
      <c r="B30" s="58" t="s">
        <v>2513</v>
      </c>
      <c r="C30" s="58" t="s">
        <v>2514</v>
      </c>
      <c r="D30" s="58" t="s">
        <v>2514</v>
      </c>
      <c r="E30" s="58" t="s">
        <v>2244</v>
      </c>
      <c r="F30" s="58" t="str">
        <f t="shared" si="0"/>
        <v>{ "v": "CAM_LV4_28", "n" : { "SYS": "NEW BELLEBAMILEKE", "EN": "NEW BELLEBAMILEKE" }, "vi" : [ { "r": "A-30", "o": "=", "t": "v", "v": "CAM_LV3_180" } ] },</v>
      </c>
    </row>
    <row r="31" spans="1:6">
      <c r="A31" s="58" t="s">
        <v>1076</v>
      </c>
      <c r="B31" s="58" t="s">
        <v>2515</v>
      </c>
      <c r="C31" s="58" t="s">
        <v>2516</v>
      </c>
      <c r="D31" s="58" t="s">
        <v>2516</v>
      </c>
      <c r="E31" s="58" t="s">
        <v>2244</v>
      </c>
      <c r="F31" s="58" t="str">
        <f t="shared" si="0"/>
        <v>{ "v": "CAM_LV4_29", "n" : { "SYS": "NGANGUE ", "EN": "NGANGUE " }, "vi" : [ { "r": "A-30", "o": "=", "t": "v", "v": "CAM_LV3_180" } ] },</v>
      </c>
    </row>
    <row r="32" spans="1:6">
      <c r="A32" s="58" t="s">
        <v>1076</v>
      </c>
      <c r="B32" s="58" t="s">
        <v>2517</v>
      </c>
      <c r="C32" s="58" t="s">
        <v>2518</v>
      </c>
      <c r="D32" s="58" t="s">
        <v>2518</v>
      </c>
      <c r="E32" s="58" t="s">
        <v>2244</v>
      </c>
      <c r="F32" s="58" t="str">
        <f t="shared" si="0"/>
        <v>{ "v": "CAM_LV4_30", "n" : { "SYS": "BONANLOKA", "EN": "BONANLOKA" }, "vi" : [ { "r": "A-30", "o": "=", "t": "v", "v": "CAM_LV3_180" } ] },</v>
      </c>
    </row>
    <row r="33" spans="1:6">
      <c r="A33" s="58" t="s">
        <v>1076</v>
      </c>
      <c r="B33" s="58" t="s">
        <v>2519</v>
      </c>
      <c r="C33" s="58" t="s">
        <v>2520</v>
      </c>
      <c r="D33" s="58" t="s">
        <v>2520</v>
      </c>
      <c r="E33" s="58" t="s">
        <v>2244</v>
      </c>
      <c r="F33" s="58" t="str">
        <f t="shared" si="0"/>
        <v>{ "v": "CAM_LV4_31", "n" : { "SYS": "KASSALAFAM", "EN": "KASSALAFAM" }, "vi" : [ { "r": "A-30", "o": "=", "t": "v", "v": "CAM_LV3_180" } ] },</v>
      </c>
    </row>
    <row r="34" spans="1:6">
      <c r="A34" s="58" t="s">
        <v>1076</v>
      </c>
      <c r="B34" s="58" t="s">
        <v>2521</v>
      </c>
      <c r="C34" s="58" t="s">
        <v>2522</v>
      </c>
      <c r="D34" s="58" t="s">
        <v>2522</v>
      </c>
      <c r="E34" s="58" t="s">
        <v>2244</v>
      </c>
      <c r="F34" s="58" t="str">
        <f t="shared" si="0"/>
        <v>{ "v": "CAM_LV4_32", "n" : { "SYS": "NKOLMINTA", "EN": "NKOLMINTA" }, "vi" : [ { "r": "A-30", "o": "=", "t": "v", "v": "CAM_LV3_180" } ] },</v>
      </c>
    </row>
    <row r="35" spans="1:6">
      <c r="A35" s="58" t="s">
        <v>1076</v>
      </c>
      <c r="B35" s="58" t="s">
        <v>2523</v>
      </c>
      <c r="C35" s="58" t="s">
        <v>2524</v>
      </c>
      <c r="D35" s="58" t="s">
        <v>2524</v>
      </c>
      <c r="E35" s="58" t="s">
        <v>2244</v>
      </c>
      <c r="F35" s="58" t="str">
        <f t="shared" si="0"/>
        <v>{ "v": "CAM_LV4_33", "n" : { "SYS": "KM5", "EN": "KM5" }, "vi" : [ { "r": "A-30", "o": "=", "t": "v", "v": "CAM_LV3_180" } ] },</v>
      </c>
    </row>
    <row r="36" spans="1:6">
      <c r="A36" s="58" t="s">
        <v>1076</v>
      </c>
      <c r="B36" s="58" t="s">
        <v>2525</v>
      </c>
      <c r="C36" s="58" t="s">
        <v>2526</v>
      </c>
      <c r="D36" s="58" t="s">
        <v>2526</v>
      </c>
      <c r="E36" s="58" t="s">
        <v>2244</v>
      </c>
      <c r="F36" s="58" t="str">
        <f t="shared" si="0"/>
        <v>{ "v": "CAM_LV4_34", "n" : { "SYS": "NKOLOLOUN", "EN": "NKOLOLOUN" }, "vi" : [ { "r": "A-30", "o": "=", "t": "v", "v": "CAM_LV3_180" } ] },</v>
      </c>
    </row>
    <row r="37" spans="1:6">
      <c r="A37" s="58" t="s">
        <v>1076</v>
      </c>
      <c r="B37" s="58" t="s">
        <v>2527</v>
      </c>
      <c r="C37" s="58" t="s">
        <v>2528</v>
      </c>
      <c r="D37" s="58" t="s">
        <v>2528</v>
      </c>
      <c r="E37" s="58" t="s">
        <v>2244</v>
      </c>
      <c r="F37" s="58" t="str">
        <f t="shared" si="0"/>
        <v>{ "v": "CAM_LV4_35", "n" : { "SYS": "NOUVEL  AEROPORT", "EN": "NOUVEL  AEROPORT" }, "vi" : [ { "r": "A-30", "o": "=", "t": "v", "v": "CAM_LV3_180" } ] },</v>
      </c>
    </row>
    <row r="38" spans="1:6">
      <c r="A38" s="58" t="s">
        <v>1076</v>
      </c>
      <c r="B38" s="58" t="s">
        <v>2529</v>
      </c>
      <c r="C38" s="58" t="s">
        <v>2530</v>
      </c>
      <c r="D38" s="58" t="s">
        <v>2530</v>
      </c>
      <c r="E38" s="58" t="s">
        <v>2244</v>
      </c>
      <c r="F38" s="58" t="str">
        <f t="shared" si="0"/>
        <v>{ "v": "CAM_LV4_36", "n" : { "SYS": "ANCIEN AEROPORT", "EN": "ANCIEN AEROPORT" }, "vi" : [ { "r": "A-30", "o": "=", "t": "v", "v": "CAM_LV3_180" } ] },</v>
      </c>
    </row>
    <row r="39" spans="1:6">
      <c r="A39" s="58" t="s">
        <v>1076</v>
      </c>
      <c r="B39" s="58" t="s">
        <v>2531</v>
      </c>
      <c r="C39" s="58" t="s">
        <v>2532</v>
      </c>
      <c r="D39" s="58" t="s">
        <v>2532</v>
      </c>
      <c r="E39" s="58" t="s">
        <v>2244</v>
      </c>
      <c r="F39" s="58" t="str">
        <f t="shared" si="0"/>
        <v>{ "v": "CAM_LV4_37", "n" : { "SYS": "BOIS DES SINGES", "EN": "BOIS DES SINGES" }, "vi" : [ { "r": "A-30", "o": "=", "t": "v", "v": "CAM_LV3_180" } ] },</v>
      </c>
    </row>
    <row r="40" spans="1:6">
      <c r="A40" s="58" t="s">
        <v>1076</v>
      </c>
      <c r="B40" s="58" t="s">
        <v>2533</v>
      </c>
      <c r="C40" s="58" t="s">
        <v>2534</v>
      </c>
      <c r="D40" s="58" t="s">
        <v>2534</v>
      </c>
      <c r="E40" s="58" t="s">
        <v>2244</v>
      </c>
      <c r="F40" s="58" t="str">
        <f t="shared" si="0"/>
        <v>{ "v": "CAM_LV4_38", "n" : { "SYS": "YOUPWE", "EN": "YOUPWE" }, "vi" : [ { "r": "A-30", "o": "=", "t": "v", "v": "CAM_LV3_180" } ] },</v>
      </c>
    </row>
    <row r="41" spans="1:6">
      <c r="A41" s="58" t="s">
        <v>1076</v>
      </c>
      <c r="B41" s="58" t="s">
        <v>2535</v>
      </c>
      <c r="C41" s="58" t="s">
        <v>2536</v>
      </c>
      <c r="D41" s="58" t="s">
        <v>2536</v>
      </c>
      <c r="E41" s="58" t="s">
        <v>2244</v>
      </c>
      <c r="F41" s="58" t="str">
        <f t="shared" si="0"/>
        <v>{ "v": "CAM_LV4_39", "n" : { "SYS": "BONADOUMA 1", "EN": "BONADOUMA 1" }, "vi" : [ { "r": "A-30", "o": "=", "t": "v", "v": "CAM_LV3_180" } ] },</v>
      </c>
    </row>
    <row r="42" spans="1:6">
      <c r="A42" s="58" t="s">
        <v>1076</v>
      </c>
      <c r="B42" s="58" t="s">
        <v>2537</v>
      </c>
      <c r="C42" s="58" t="s">
        <v>2538</v>
      </c>
      <c r="D42" s="58" t="s">
        <v>2538</v>
      </c>
      <c r="E42" s="58" t="s">
        <v>2244</v>
      </c>
      <c r="F42" s="58" t="str">
        <f t="shared" si="0"/>
        <v>{ "v": "CAM_LV4_40", "n" : { "SYS": "NEW BELL CIMETIÈRE", "EN": "NEW BELL CIMETIÈRE" }, "vi" : [ { "r": "A-30", "o": "=", "t": "v", "v": "CAM_LV3_180" } ] },</v>
      </c>
    </row>
    <row r="43" spans="1:6">
      <c r="A43" s="58" t="s">
        <v>1076</v>
      </c>
      <c r="B43" s="58" t="s">
        <v>2539</v>
      </c>
      <c r="C43" s="58" t="s">
        <v>2540</v>
      </c>
      <c r="D43" s="58" t="s">
        <v>2540</v>
      </c>
      <c r="E43" s="58" t="s">
        <v>2244</v>
      </c>
      <c r="F43" s="58" t="str">
        <f t="shared" si="0"/>
        <v>{ "v": "CAM_LV4_41", "n" : { "SYS": "NEW BELL BANDJOUN", "EN": "NEW BELL BANDJOUN" }, "vi" : [ { "r": "A-30", "o": "=", "t": "v", "v": "CAM_LV3_180" } ] },</v>
      </c>
    </row>
    <row r="44" spans="1:6">
      <c r="A44" s="58" t="s">
        <v>1076</v>
      </c>
      <c r="B44" s="58" t="s">
        <v>2541</v>
      </c>
      <c r="C44" s="58" t="s">
        <v>2542</v>
      </c>
      <c r="D44" s="58" t="s">
        <v>2542</v>
      </c>
      <c r="E44" s="58" t="s">
        <v>2244</v>
      </c>
      <c r="F44" s="58" t="str">
        <f t="shared" si="0"/>
        <v>{ "v": "CAM_LV4_42", "n" : { "SYS": "MBAM EWONDO", "EN": "MBAM EWONDO" }, "vi" : [ { "r": "A-30", "o": "=", "t": "v", "v": "CAM_LV3_180" } ] },</v>
      </c>
    </row>
    <row r="45" spans="1:6">
      <c r="A45" s="58" t="s">
        <v>1076</v>
      </c>
      <c r="B45" s="58" t="s">
        <v>2543</v>
      </c>
      <c r="C45" s="58" t="s">
        <v>2544</v>
      </c>
      <c r="D45" s="58" t="s">
        <v>2544</v>
      </c>
      <c r="E45" s="58" t="s">
        <v>2244</v>
      </c>
      <c r="F45" s="58" t="str">
        <f t="shared" si="0"/>
        <v>{ "v": "CAM_LV4_43", "n" : { "SYS": "NEW BELL HAOUSSA GARE", "EN": "NEW BELL HAOUSSA GARE" }, "vi" : [ { "r": "A-30", "o": "=", "t": "v", "v": "CAM_LV3_180" } ] },</v>
      </c>
    </row>
    <row r="46" spans="1:6">
      <c r="A46" s="58" t="s">
        <v>1076</v>
      </c>
      <c r="B46" s="58" t="s">
        <v>2545</v>
      </c>
      <c r="C46" s="58" t="s">
        <v>2546</v>
      </c>
      <c r="D46" s="58" t="s">
        <v>2546</v>
      </c>
      <c r="E46" s="58" t="s">
        <v>2244</v>
      </c>
      <c r="F46" s="58" t="str">
        <f t="shared" si="0"/>
        <v>{ "v": "CAM_LV4_44", "n" : { "SYS": "NEW BELL SERVICE SOCIAL", "EN": "NEW BELL SERVICE SOCIAL" }, "vi" : [ { "r": "A-30", "o": "=", "t": "v", "v": "CAM_LV3_180" } ] },</v>
      </c>
    </row>
    <row r="47" spans="1:6">
      <c r="A47" s="58" t="s">
        <v>1076</v>
      </c>
      <c r="B47" s="58" t="s">
        <v>2547</v>
      </c>
      <c r="C47" s="58" t="s">
        <v>2548</v>
      </c>
      <c r="D47" s="58" t="s">
        <v>2548</v>
      </c>
      <c r="E47" s="58" t="s">
        <v>2244</v>
      </c>
      <c r="F47" s="58" t="str">
        <f t="shared" si="0"/>
        <v>{ "v": "CAM_LV4_45", "n" : { "SYS": "CONGO", "EN": "CONGO" }, "vi" : [ { "r": "A-30", "o": "=", "t": "v", "v": "CAM_LV3_180" } ] },</v>
      </c>
    </row>
    <row r="48" spans="1:6">
      <c r="A48" s="58" t="s">
        <v>1076</v>
      </c>
      <c r="B48" s="58" t="s">
        <v>2549</v>
      </c>
      <c r="C48" s="58" t="s">
        <v>2550</v>
      </c>
      <c r="D48" s="58" t="s">
        <v>2550</v>
      </c>
      <c r="E48" s="58" t="s">
        <v>2244</v>
      </c>
      <c r="F48" s="58" t="str">
        <f t="shared" si="0"/>
        <v>{ "v": "CAM_LV4_46", "n" : { "SYS": "CAMP YABASSI", "EN": "CAMP YABASSI" }, "vi" : [ { "r": "A-30", "o": "=", "t": "v", "v": "CAM_LV3_180" } ] },</v>
      </c>
    </row>
    <row r="49" spans="1:6">
      <c r="A49" s="58" t="s">
        <v>1076</v>
      </c>
      <c r="B49" s="58" t="s">
        <v>2551</v>
      </c>
      <c r="C49" s="58" t="s">
        <v>2552</v>
      </c>
      <c r="D49" s="58" t="s">
        <v>2552</v>
      </c>
      <c r="E49" s="58" t="s">
        <v>2244</v>
      </c>
      <c r="F49" s="58" t="str">
        <f t="shared" si="0"/>
        <v>{ "v": "CAM_LV4_47", "n" : { "SYS": "KM5 TRACTAFRIC", "EN": "KM5 TRACTAFRIC" }, "vi" : [ { "r": "A-30", "o": "=", "t": "v", "v": "CAM_LV3_180" } ] },</v>
      </c>
    </row>
    <row r="50" spans="1:6">
      <c r="A50" s="58" t="s">
        <v>1076</v>
      </c>
      <c r="B50" s="58" t="s">
        <v>2553</v>
      </c>
      <c r="C50" s="58" t="s">
        <v>2554</v>
      </c>
      <c r="D50" s="58" t="s">
        <v>2554</v>
      </c>
      <c r="E50" s="58" t="s">
        <v>2244</v>
      </c>
      <c r="F50" s="58" t="str">
        <f t="shared" si="0"/>
        <v>{ "v": "CAM_LV4_48", "n" : { "SYS": "NGO SWE ET MBOPI", "EN": "NGO SWE ET MBOPI" }, "vi" : [ { "r": "A-30", "o": "=", "t": "v", "v": "CAM_LV3_180" } ] },</v>
      </c>
    </row>
    <row r="51" spans="1:6">
      <c r="A51" s="58" t="s">
        <v>1076</v>
      </c>
      <c r="B51" s="58" t="s">
        <v>2555</v>
      </c>
      <c r="C51" s="58" t="s">
        <v>2556</v>
      </c>
      <c r="D51" s="58" t="s">
        <v>2556</v>
      </c>
      <c r="E51" s="58" t="s">
        <v>2244</v>
      </c>
      <c r="F51" s="58" t="str">
        <f t="shared" si="0"/>
        <v>{ "v": "CAM_LV4_49", "n" : { "SYS": "NEW  BELL  NOUVEAU TERRAIN", "EN": "NEW  BELL  NOUVEAU TERRAIN" }, "vi" : [ { "r": "A-30", "o": "=", "t": "v", "v": "CAM_LV3_180" } ] },</v>
      </c>
    </row>
    <row r="52" spans="1:6">
      <c r="A52" s="58" t="s">
        <v>1076</v>
      </c>
      <c r="B52" s="58" t="s">
        <v>2557</v>
      </c>
      <c r="C52" s="58" t="s">
        <v>2558</v>
      </c>
      <c r="D52" s="58" t="s">
        <v>2558</v>
      </c>
      <c r="E52" s="58" t="s">
        <v>2244</v>
      </c>
      <c r="F52" s="58" t="str">
        <f t="shared" si="0"/>
        <v>{ "v": "CAM_LV4_50", "n" : { "SYS": "FUNKEL", "EN": "FUNKEL" }, "vi" : [ { "r": "A-30", "o": "=", "t": "v", "v": "CAM_LV3_180" } ] },</v>
      </c>
    </row>
    <row r="53" spans="1:6">
      <c r="A53" s="58" t="s">
        <v>1076</v>
      </c>
      <c r="B53" s="58" t="s">
        <v>2559</v>
      </c>
      <c r="C53" s="58" t="s">
        <v>2560</v>
      </c>
      <c r="D53" s="58" t="s">
        <v>2560</v>
      </c>
      <c r="E53" s="58" t="s">
        <v>2244</v>
      </c>
      <c r="F53" s="58" t="str">
        <f t="shared" si="0"/>
        <v>{ "v": "CAM_LV4_51", "n" : { "SYS": "BABYLONE", "EN": "BABYLONE" }, "vi" : [ { "r": "A-30", "o": "=", "t": "v", "v": "CAM_LV3_180" } ] },</v>
      </c>
    </row>
    <row r="54" spans="1:6">
      <c r="A54" s="58" t="s">
        <v>1076</v>
      </c>
      <c r="B54" s="58" t="s">
        <v>2561</v>
      </c>
      <c r="C54" s="58" t="s">
        <v>2562</v>
      </c>
      <c r="D54" s="58" t="s">
        <v>2562</v>
      </c>
      <c r="E54" s="58" t="s">
        <v>2244</v>
      </c>
      <c r="F54" s="58" t="str">
        <f t="shared" si="0"/>
        <v>{ "v": "CAM_LV4_52", "n" : { "SYS": "NEW BELL TSF", "EN": "NEW BELL TSF" }, "vi" : [ { "r": "A-30", "o": "=", "t": "v", "v": "CAM_LV3_180" } ] },</v>
      </c>
    </row>
    <row r="55" spans="1:6">
      <c r="A55" s="58" t="s">
        <v>1076</v>
      </c>
      <c r="B55" s="58" t="s">
        <v>2563</v>
      </c>
      <c r="C55" s="58" t="s">
        <v>2564</v>
      </c>
      <c r="D55" s="58" t="s">
        <v>2564</v>
      </c>
      <c r="E55" s="58" t="s">
        <v>2244</v>
      </c>
      <c r="F55" s="58" t="str">
        <f t="shared" si="0"/>
        <v>{ "v": "CAM_LV4_53", "n" : { "SYS": "NEW TOWN AEROPORT II", "EN": "NEW TOWN AEROPORT II" }, "vi" : [ { "r": "A-30", "o": "=", "t": "v", "v": "CAM_LV3_180" } ] },</v>
      </c>
    </row>
    <row r="56" spans="1:6">
      <c r="A56" s="58" t="s">
        <v>1076</v>
      </c>
      <c r="B56" s="58" t="s">
        <v>2565</v>
      </c>
      <c r="C56" s="58" t="s">
        <v>2566</v>
      </c>
      <c r="D56" s="58" t="s">
        <v>2566</v>
      </c>
      <c r="E56" s="58" t="s">
        <v>2244</v>
      </c>
      <c r="F56" s="58" t="str">
        <f t="shared" si="0"/>
        <v>{ "v": "CAM_LV4_54", "n" : { "SYS": "NEW TOWN AEROPORT III", "EN": "NEW TOWN AEROPORT III" }, "vi" : [ { "r": "A-30", "o": "=", "t": "v", "v": "CAM_LV3_180" } ] },</v>
      </c>
    </row>
    <row r="57" spans="1:6">
      <c r="A57" s="58" t="s">
        <v>1076</v>
      </c>
      <c r="B57" s="58" t="s">
        <v>2567</v>
      </c>
      <c r="C57" s="58" t="s">
        <v>2568</v>
      </c>
      <c r="D57" s="58" t="s">
        <v>2568</v>
      </c>
      <c r="E57" s="58" t="s">
        <v>2244</v>
      </c>
      <c r="F57" s="58" t="str">
        <f t="shared" si="0"/>
        <v>{ "v": "CAM_LV4_55", "n" : { "SYS": "NEW TOWN AEROPORT IV", "EN": "NEW TOWN AEROPORT IV" }, "vi" : [ { "r": "A-30", "o": "=", "t": "v", "v": "CAM_LV3_180" } ] },</v>
      </c>
    </row>
    <row r="58" spans="1:6">
      <c r="A58" s="58" t="s">
        <v>1076</v>
      </c>
      <c r="B58" s="58" t="s">
        <v>2569</v>
      </c>
      <c r="C58" s="58" t="s">
        <v>2570</v>
      </c>
      <c r="D58" s="58" t="s">
        <v>2570</v>
      </c>
      <c r="E58" s="58" t="s">
        <v>2244</v>
      </c>
      <c r="F58" s="58" t="str">
        <f t="shared" si="0"/>
        <v>{ "v": "CAM_LV4_56", "n" : { "SYS": "NEW  TOWN AEROPORT I", "EN": "NEW  TOWN AEROPORT I" }, "vi" : [ { "r": "A-30", "o": "=", "t": "v", "v": "CAM_LV3_180" } ] },</v>
      </c>
    </row>
    <row r="59" spans="1:6">
      <c r="A59" s="58" t="s">
        <v>1077</v>
      </c>
      <c r="B59" s="58" t="s">
        <v>2571</v>
      </c>
      <c r="C59" s="58" t="s">
        <v>2572</v>
      </c>
      <c r="D59" s="58" t="s">
        <v>2572</v>
      </c>
      <c r="E59" s="58" t="s">
        <v>2245</v>
      </c>
      <c r="F59" s="58" t="str">
        <f t="shared" si="0"/>
        <v>{ "v": "CAM_LV4_57", "n" : { "SYS": "CITE DE LA  PAIX ", "EN": "CITE DE LA  PAIX " }, "vi" : [ { "r": "A-30", "o": "=", "t": "v", "v": "CAM_LV3_181" } ] },</v>
      </c>
    </row>
    <row r="60" spans="1:6">
      <c r="A60" s="58" t="s">
        <v>1077</v>
      </c>
      <c r="B60" s="58" t="s">
        <v>2573</v>
      </c>
      <c r="C60" s="58" t="s">
        <v>2574</v>
      </c>
      <c r="D60" s="58" t="s">
        <v>2574</v>
      </c>
      <c r="E60" s="58" t="s">
        <v>2245</v>
      </c>
      <c r="F60" s="58" t="str">
        <f t="shared" si="0"/>
        <v>{ "v": "CAM_LV4_58", "n" : { "SYS": "NDOGSIMBI", "EN": "NDOGSIMBI" }, "vi" : [ { "r": "A-30", "o": "=", "t": "v", "v": "CAM_LV3_181" } ] },</v>
      </c>
    </row>
    <row r="61" spans="1:6">
      <c r="A61" s="58" t="s">
        <v>1077</v>
      </c>
      <c r="B61" s="58" t="s">
        <v>2575</v>
      </c>
      <c r="C61" s="58" t="s">
        <v>2576</v>
      </c>
      <c r="D61" s="58" t="s">
        <v>2576</v>
      </c>
      <c r="E61" s="58" t="s">
        <v>2245</v>
      </c>
      <c r="F61" s="58" t="str">
        <f t="shared" si="0"/>
        <v>{ "v": "CAM_LV4_59", "n" : { "SYS": "YASSA", "EN": "YASSA" }, "vi" : [ { "r": "A-30", "o": "=", "t": "v", "v": "CAM_LV3_181" } ] },</v>
      </c>
    </row>
    <row r="62" spans="1:6">
      <c r="A62" s="58" t="s">
        <v>1077</v>
      </c>
      <c r="B62" s="58" t="s">
        <v>2577</v>
      </c>
      <c r="C62" s="58" t="s">
        <v>2578</v>
      </c>
      <c r="D62" s="58" t="s">
        <v>2578</v>
      </c>
      <c r="E62" s="58" t="s">
        <v>2245</v>
      </c>
      <c r="F62" s="58" t="str">
        <f t="shared" si="0"/>
        <v>{ "v": "CAM_LV4_60", "n" : { "SYS": "NGODI BAKOKO", "EN": "NGODI BAKOKO" }, "vi" : [ { "r": "A-30", "o": "=", "t": "v", "v": "CAM_LV3_181" } ] },</v>
      </c>
    </row>
    <row r="63" spans="1:6">
      <c r="A63" s="58" t="s">
        <v>1077</v>
      </c>
      <c r="B63" s="58" t="s">
        <v>2579</v>
      </c>
      <c r="C63" s="58" t="s">
        <v>2580</v>
      </c>
      <c r="D63" s="58" t="s">
        <v>2580</v>
      </c>
      <c r="E63" s="58" t="s">
        <v>2245</v>
      </c>
      <c r="F63" s="58" t="str">
        <f t="shared" si="0"/>
        <v>{ "v": "CAM_LV4_61", "n" : { "SYS": "BOKO", "EN": "BOKO" }, "vi" : [ { "r": "A-30", "o": "=", "t": "v", "v": "CAM_LV3_181" } ] },</v>
      </c>
    </row>
    <row r="64" spans="1:6">
      <c r="A64" s="58" t="s">
        <v>1077</v>
      </c>
      <c r="B64" s="58" t="s">
        <v>2581</v>
      </c>
      <c r="C64" s="58" t="s">
        <v>2582</v>
      </c>
      <c r="D64" s="58" t="s">
        <v>2582</v>
      </c>
      <c r="E64" s="58" t="s">
        <v>2245</v>
      </c>
      <c r="F64" s="58" t="str">
        <f t="shared" si="0"/>
        <v>{ "v": "CAM_LV4_62", "n" : { "SYS": "LOGBABA", "EN": "LOGBABA" }, "vi" : [ { "r": "A-30", "o": "=", "t": "v", "v": "CAM_LV3_181" } ] },</v>
      </c>
    </row>
    <row r="65" spans="1:6">
      <c r="A65" s="58" t="s">
        <v>1077</v>
      </c>
      <c r="B65" s="58" t="s">
        <v>2583</v>
      </c>
      <c r="C65" s="58" t="s">
        <v>2584</v>
      </c>
      <c r="D65" s="58" t="s">
        <v>2584</v>
      </c>
      <c r="E65" s="58" t="s">
        <v>2245</v>
      </c>
      <c r="F65" s="58" t="str">
        <f t="shared" si="0"/>
        <v>{ "v": "CAM_LV4_63", "n" : { "SYS": "NDOKOTI", "EN": "NDOKOTI" }, "vi" : [ { "r": "A-30", "o": "=", "t": "v", "v": "CAM_LV3_181" } ] },</v>
      </c>
    </row>
    <row r="66" spans="1:6">
      <c r="A66" s="58" t="s">
        <v>1077</v>
      </c>
      <c r="B66" s="58" t="s">
        <v>2585</v>
      </c>
      <c r="C66" s="58" t="s">
        <v>2586</v>
      </c>
      <c r="D66" s="58" t="s">
        <v>2586</v>
      </c>
      <c r="E66" s="58" t="s">
        <v>2245</v>
      </c>
      <c r="F66" s="58" t="str">
        <f t="shared" si="0"/>
        <v>{ "v": "CAM_LV4_64", "n" : { "SYS": "PK8", "EN": "PK8" }, "vi" : [ { "r": "A-30", "o": "=", "t": "v", "v": "CAM_LV3_181" } ] },</v>
      </c>
    </row>
    <row r="67" spans="1:6">
      <c r="A67" s="58" t="s">
        <v>1077</v>
      </c>
      <c r="B67" s="58" t="s">
        <v>2587</v>
      </c>
      <c r="C67" s="58" t="s">
        <v>2588</v>
      </c>
      <c r="D67" s="58" t="s">
        <v>2588</v>
      </c>
      <c r="E67" s="58" t="s">
        <v>2245</v>
      </c>
      <c r="F67" s="58" t="str">
        <f t="shared" ref="F67:F130" si="1">_xlfn.CONCAT(liststart,B67,listlareport,C67,listlat,D67,area_vis_lv3,E67,areavisend)</f>
        <v>{ "v": "CAM_LV4_65", "n" : { "SYS": "CENTRE INDUSTRIEL", "EN": "CENTRE INDUSTRIEL" }, "vi" : [ { "r": "A-30", "o": "=", "t": "v", "v": "CAM_LV3_181" } ] },</v>
      </c>
    </row>
    <row r="68" spans="1:6">
      <c r="A68" s="58" t="s">
        <v>1077</v>
      </c>
      <c r="B68" s="58" t="s">
        <v>2589</v>
      </c>
      <c r="C68" s="58" t="s">
        <v>2590</v>
      </c>
      <c r="D68" s="58" t="s">
        <v>2590</v>
      </c>
      <c r="E68" s="58" t="s">
        <v>2245</v>
      </c>
      <c r="F68" s="58" t="str">
        <f t="shared" si="1"/>
        <v>{ "v": "CAM_LV4_66", "n" : { "SYS": "MBANGA JAPOMA", "EN": "MBANGA JAPOMA" }, "vi" : [ { "r": "A-30", "o": "=", "t": "v", "v": "CAM_LV3_181" } ] },</v>
      </c>
    </row>
    <row r="69" spans="1:6">
      <c r="A69" s="58" t="s">
        <v>1077</v>
      </c>
      <c r="B69" s="58" t="s">
        <v>2591</v>
      </c>
      <c r="C69" s="58" t="s">
        <v>2592</v>
      </c>
      <c r="D69" s="58" t="s">
        <v>2592</v>
      </c>
      <c r="E69" s="58" t="s">
        <v>2245</v>
      </c>
      <c r="F69" s="58" t="str">
        <f t="shared" si="1"/>
        <v>{ "v": "CAM_LV4_67", "n" : { "SYS": "NYLON", "EN": "NYLON" }, "vi" : [ { "r": "A-30", "o": "=", "t": "v", "v": "CAM_LV3_181" } ] },</v>
      </c>
    </row>
    <row r="70" spans="1:6">
      <c r="A70" s="58" t="s">
        <v>1077</v>
      </c>
      <c r="B70" s="58" t="s">
        <v>2593</v>
      </c>
      <c r="C70" s="58" t="s">
        <v>2594</v>
      </c>
      <c r="D70" s="58" t="s">
        <v>2594</v>
      </c>
      <c r="E70" s="58" t="s">
        <v>2245</v>
      </c>
      <c r="F70" s="58" t="str">
        <f t="shared" si="1"/>
        <v>{ "v": "CAM_LV4_68", "n" : { "SYS": "BRAZZAVILLE", "EN": "BRAZZAVILLE" }, "vi" : [ { "r": "A-30", "o": "=", "t": "v", "v": "CAM_LV3_181" } ] },</v>
      </c>
    </row>
    <row r="71" spans="1:6">
      <c r="A71" s="58" t="s">
        <v>1077</v>
      </c>
      <c r="B71" s="58" t="s">
        <v>2595</v>
      </c>
      <c r="C71" s="58" t="s">
        <v>2596</v>
      </c>
      <c r="D71" s="58" t="s">
        <v>2596</v>
      </c>
      <c r="E71" s="58" t="s">
        <v>2245</v>
      </c>
      <c r="F71" s="58" t="str">
        <f t="shared" si="1"/>
        <v>{ "v": "CAM_LV4_69", "n" : { "SYS": "TERGAL", "EN": "TERGAL" }, "vi" : [ { "r": "A-30", "o": "=", "t": "v", "v": "CAM_LV3_181" } ] },</v>
      </c>
    </row>
    <row r="72" spans="1:6">
      <c r="A72" s="58" t="s">
        <v>1077</v>
      </c>
      <c r="B72" s="58" t="s">
        <v>2597</v>
      </c>
      <c r="C72" s="58" t="s">
        <v>2598</v>
      </c>
      <c r="D72" s="58" t="s">
        <v>2598</v>
      </c>
      <c r="E72" s="58" t="s">
        <v>2245</v>
      </c>
      <c r="F72" s="58" t="str">
        <f t="shared" si="1"/>
        <v>{ "v": "CAM_LV4_70", "n" : { "SYS": "MADASCAR", "EN": "MADASCAR" }, "vi" : [ { "r": "A-30", "o": "=", "t": "v", "v": "CAM_LV3_181" } ] },</v>
      </c>
    </row>
    <row r="73" spans="1:6">
      <c r="A73" s="58" t="s">
        <v>1077</v>
      </c>
      <c r="B73" s="58" t="s">
        <v>2599</v>
      </c>
      <c r="C73" s="58" t="s">
        <v>2600</v>
      </c>
      <c r="D73" s="58" t="s">
        <v>2600</v>
      </c>
      <c r="E73" s="58" t="s">
        <v>2245</v>
      </c>
      <c r="F73" s="58" t="str">
        <f t="shared" si="1"/>
        <v>{ "v": "CAM_LV4_71", "n" : { "SYS": "CCC", "EN": "CCC" }, "vi" : [ { "r": "A-30", "o": "=", "t": "v", "v": "CAM_LV3_181" } ] },</v>
      </c>
    </row>
    <row r="74" spans="1:6">
      <c r="A74" s="58" t="s">
        <v>1077</v>
      </c>
      <c r="B74" s="58" t="s">
        <v>2601</v>
      </c>
      <c r="C74" s="58" t="s">
        <v>2602</v>
      </c>
      <c r="D74" s="58" t="s">
        <v>2602</v>
      </c>
      <c r="E74" s="58" t="s">
        <v>2245</v>
      </c>
      <c r="F74" s="58" t="str">
        <f t="shared" si="1"/>
        <v>{ "v": "CAM_LV4_72", "n" : { "SYS": "ZONE INDUSTRIELLE DE BASSA", "EN": "ZONE INDUSTRIELLE DE BASSA" }, "vi" : [ { "r": "A-30", "o": "=", "t": "v", "v": "CAM_LV3_181" } ] },</v>
      </c>
    </row>
    <row r="75" spans="1:6">
      <c r="A75" s="58" t="s">
        <v>1077</v>
      </c>
      <c r="B75" s="58" t="s">
        <v>2603</v>
      </c>
      <c r="C75" s="58" t="s">
        <v>2604</v>
      </c>
      <c r="D75" s="58" t="s">
        <v>2604</v>
      </c>
      <c r="E75" s="58" t="s">
        <v>2245</v>
      </c>
      <c r="F75" s="58" t="str">
        <f t="shared" si="1"/>
        <v>{ "v": "CAM_LV4_73", "n" : { "SYS": "DIBOM", "EN": "DIBOM" }, "vi" : [ { "r": "A-30", "o": "=", "t": "v", "v": "CAM_LV3_181" } ] },</v>
      </c>
    </row>
    <row r="76" spans="1:6">
      <c r="A76" s="58" t="s">
        <v>1077</v>
      </c>
      <c r="B76" s="58" t="s">
        <v>2605</v>
      </c>
      <c r="C76" s="58" t="s">
        <v>2606</v>
      </c>
      <c r="D76" s="58" t="s">
        <v>2606</v>
      </c>
      <c r="E76" s="58" t="s">
        <v>2245</v>
      </c>
      <c r="F76" s="58" t="str">
        <f t="shared" si="1"/>
        <v>{ "v": "CAM_LV4_74", "n" : { "SYS": "DIBOM II", "EN": "DIBOM II" }, "vi" : [ { "r": "A-30", "o": "=", "t": "v", "v": "CAM_LV3_181" } ] },</v>
      </c>
    </row>
    <row r="77" spans="1:6">
      <c r="A77" s="58" t="s">
        <v>1077</v>
      </c>
      <c r="B77" s="58" t="s">
        <v>2607</v>
      </c>
      <c r="C77" s="58" t="s">
        <v>2608</v>
      </c>
      <c r="D77" s="58" t="s">
        <v>2608</v>
      </c>
      <c r="E77" s="58" t="s">
        <v>2245</v>
      </c>
      <c r="F77" s="58" t="str">
        <f t="shared" si="1"/>
        <v>{ "v": "CAM_LV4_75", "n" : { "SYS": "LOGBESSOU II", "EN": "LOGBESSOU II" }, "vi" : [ { "r": "A-30", "o": "=", "t": "v", "v": "CAM_LV3_181" } ] },</v>
      </c>
    </row>
    <row r="78" spans="1:6">
      <c r="A78" s="58" t="s">
        <v>1077</v>
      </c>
      <c r="B78" s="58" t="s">
        <v>2609</v>
      </c>
      <c r="C78" s="58" t="s">
        <v>2610</v>
      </c>
      <c r="D78" s="58" t="s">
        <v>2610</v>
      </c>
      <c r="E78" s="58" t="s">
        <v>2245</v>
      </c>
      <c r="F78" s="58" t="str">
        <f t="shared" si="1"/>
        <v>{ "v": "CAM_LV4_76", "n" : { "SYS": "MOUTONGO", "EN": "MOUTONGO" }, "vi" : [ { "r": "A-30", "o": "=", "t": "v", "v": "CAM_LV3_181" } ] },</v>
      </c>
    </row>
    <row r="79" spans="1:6">
      <c r="A79" s="58" t="s">
        <v>1077</v>
      </c>
      <c r="B79" s="58" t="s">
        <v>2611</v>
      </c>
      <c r="C79" s="58" t="s">
        <v>2612</v>
      </c>
      <c r="D79" s="58" t="s">
        <v>2612</v>
      </c>
      <c r="E79" s="58" t="s">
        <v>2245</v>
      </c>
      <c r="F79" s="58" t="str">
        <f t="shared" si="1"/>
        <v>{ "v": "CAM_LV4_77", "n" : { "SYS": "NDOGHEM II", "EN": "NDOGHEM II" }, "vi" : [ { "r": "A-30", "o": "=", "t": "v", "v": "CAM_LV3_181" } ] },</v>
      </c>
    </row>
    <row r="80" spans="1:6">
      <c r="A80" s="58" t="s">
        <v>1077</v>
      </c>
      <c r="B80" s="58" t="s">
        <v>2613</v>
      </c>
      <c r="C80" s="58" t="s">
        <v>2614</v>
      </c>
      <c r="D80" s="58" t="s">
        <v>2614</v>
      </c>
      <c r="E80" s="58" t="s">
        <v>2245</v>
      </c>
      <c r="F80" s="58" t="str">
        <f t="shared" si="1"/>
        <v>{ "v": "CAM_LV4_78", "n" : { "SYS": "GENIE MILITAIRE", "EN": "GENIE MILITAIRE" }, "vi" : [ { "r": "A-30", "o": "=", "t": "v", "v": "CAM_LV3_181" } ] },</v>
      </c>
    </row>
    <row r="81" spans="1:6">
      <c r="A81" s="58" t="s">
        <v>1077</v>
      </c>
      <c r="B81" s="58" t="s">
        <v>2615</v>
      </c>
      <c r="C81" s="58" t="s">
        <v>2616</v>
      </c>
      <c r="D81" s="58" t="s">
        <v>2616</v>
      </c>
      <c r="E81" s="58" t="s">
        <v>2245</v>
      </c>
      <c r="F81" s="58" t="str">
        <f t="shared" si="1"/>
        <v>{ "v": "CAM_LV4_79", "n" : { "SYS": "NDOGPASSI ", "EN": "NDOGPASSI " }, "vi" : [ { "r": "A-30", "o": "=", "t": "v", "v": "CAM_LV3_181" } ] },</v>
      </c>
    </row>
    <row r="82" spans="1:6">
      <c r="A82" s="58" t="s">
        <v>1077</v>
      </c>
      <c r="B82" s="58" t="s">
        <v>2617</v>
      </c>
      <c r="C82" s="58" t="s">
        <v>2618</v>
      </c>
      <c r="D82" s="58" t="s">
        <v>2618</v>
      </c>
      <c r="E82" s="58" t="s">
        <v>2245</v>
      </c>
      <c r="F82" s="58" t="str">
        <f t="shared" si="1"/>
        <v>{ "v": "CAM_LV4_80", "n" : { "SYS": "KAMBO", "EN": "KAMBO" }, "vi" : [ { "r": "A-30", "o": "=", "t": "v", "v": "CAM_LV3_181" } ] },</v>
      </c>
    </row>
    <row r="83" spans="1:6">
      <c r="A83" s="58" t="s">
        <v>1077</v>
      </c>
      <c r="B83" s="58" t="s">
        <v>2619</v>
      </c>
      <c r="C83" s="58" t="s">
        <v>2620</v>
      </c>
      <c r="D83" s="58" t="s">
        <v>2620</v>
      </c>
      <c r="E83" s="58" t="s">
        <v>2245</v>
      </c>
      <c r="F83" s="58" t="str">
        <f t="shared" si="1"/>
        <v>{ "v": "CAM_LV4_81", "n" : { "SYS": "GRANDE TRAME MBANGA JAPOMA", "EN": "GRANDE TRAME MBANGA JAPOMA" }, "vi" : [ { "r": "A-30", "o": "=", "t": "v", "v": "CAM_LV3_181" } ] },</v>
      </c>
    </row>
    <row r="84" spans="1:6">
      <c r="A84" s="58" t="s">
        <v>1077</v>
      </c>
      <c r="B84" s="58" t="s">
        <v>2621</v>
      </c>
      <c r="C84" s="58" t="s">
        <v>2622</v>
      </c>
      <c r="D84" s="58" t="s">
        <v>2622</v>
      </c>
      <c r="E84" s="58" t="s">
        <v>2245</v>
      </c>
      <c r="F84" s="58" t="str">
        <f t="shared" si="1"/>
        <v>{ "v": "CAM_LV4_82", "n" : { "SYS": "LOT RECASEMENT NKOLBONG", "EN": "LOT RECASEMENT NKOLBONG" }, "vi" : [ { "r": "A-30", "o": "=", "t": "v", "v": "CAM_LV3_181" } ] },</v>
      </c>
    </row>
    <row r="85" spans="1:6">
      <c r="A85" s="58" t="s">
        <v>1077</v>
      </c>
      <c r="B85" s="58" t="s">
        <v>2623</v>
      </c>
      <c r="C85" s="58" t="s">
        <v>2624</v>
      </c>
      <c r="D85" s="58" t="s">
        <v>2624</v>
      </c>
      <c r="E85" s="58" t="s">
        <v>2245</v>
      </c>
      <c r="F85" s="58" t="str">
        <f t="shared" si="1"/>
        <v>{ "v": "CAM_LV4_83", "n" : { "SYS": "GENDARMERIE MBOPI", "EN": "GENDARMERIE MBOPI" }, "vi" : [ { "r": "A-30", "o": "=", "t": "v", "v": "CAM_LV3_181" } ] },</v>
      </c>
    </row>
    <row r="86" spans="1:6">
      <c r="A86" s="58" t="s">
        <v>1077</v>
      </c>
      <c r="B86" s="58" t="s">
        <v>2625</v>
      </c>
      <c r="C86" s="58" t="s">
        <v>2626</v>
      </c>
      <c r="D86" s="58" t="s">
        <v>2626</v>
      </c>
      <c r="E86" s="58" t="s">
        <v>2245</v>
      </c>
      <c r="F86" s="58" t="str">
        <f t="shared" si="1"/>
        <v>{ "v": "CAM_LV4_84", "n" : { "SYS": "ATELIERS, CAMRAIL", "EN": "ATELIERS, CAMRAIL" }, "vi" : [ { "r": "A-30", "o": "=", "t": "v", "v": "CAM_LV3_181" } ] },</v>
      </c>
    </row>
    <row r="87" spans="1:6">
      <c r="A87" s="58" t="s">
        <v>1077</v>
      </c>
      <c r="B87" s="58" t="s">
        <v>2627</v>
      </c>
      <c r="C87" s="58" t="s">
        <v>2628</v>
      </c>
      <c r="D87" s="58" t="s">
        <v>2628</v>
      </c>
      <c r="E87" s="58" t="s">
        <v>2245</v>
      </c>
      <c r="F87" s="58" t="str">
        <f t="shared" si="1"/>
        <v>{ "v": "CAM_LV4_85", "n" : { "SYS": "OYACK1", "EN": "OYACK1" }, "vi" : [ { "r": "A-30", "o": "=", "t": "v", "v": "CAM_LV3_181" } ] },</v>
      </c>
    </row>
    <row r="88" spans="1:6">
      <c r="A88" s="58" t="s">
        <v>1077</v>
      </c>
      <c r="B88" s="58" t="s">
        <v>2629</v>
      </c>
      <c r="C88" s="58" t="s">
        <v>2630</v>
      </c>
      <c r="D88" s="58" t="s">
        <v>2630</v>
      </c>
      <c r="E88" s="58" t="s">
        <v>2245</v>
      </c>
      <c r="F88" s="58" t="str">
        <f t="shared" si="1"/>
        <v>{ "v": "CAM_LV4_86", "n" : { "SYS": "OYACK2", "EN": "OYACK2" }, "vi" : [ { "r": "A-30", "o": "=", "t": "v", "v": "CAM_LV3_181" } ] },</v>
      </c>
    </row>
    <row r="89" spans="1:6">
      <c r="A89" s="58" t="s">
        <v>1077</v>
      </c>
      <c r="B89" s="58" t="s">
        <v>2631</v>
      </c>
      <c r="C89" s="58" t="s">
        <v>2632</v>
      </c>
      <c r="D89" s="58" t="s">
        <v>2632</v>
      </c>
      <c r="E89" s="58" t="s">
        <v>2245</v>
      </c>
      <c r="F89" s="58" t="str">
        <f t="shared" si="1"/>
        <v>{ "v": "CAM_LV4_87", "n" : { "SYS": "NDOGMBE", "EN": "NDOGMBE" }, "vi" : [ { "r": "A-30", "o": "=", "t": "v", "v": "CAM_LV3_181" } ] },</v>
      </c>
    </row>
    <row r="90" spans="1:6">
      <c r="A90" s="58" t="s">
        <v>1077</v>
      </c>
      <c r="B90" s="58" t="s">
        <v>2633</v>
      </c>
      <c r="C90" s="58" t="s">
        <v>2634</v>
      </c>
      <c r="D90" s="58" t="s">
        <v>2634</v>
      </c>
      <c r="E90" s="58" t="s">
        <v>2245</v>
      </c>
      <c r="F90" s="58" t="str">
        <f t="shared" si="1"/>
        <v>{ "v": "CAM_LV4_88", "n" : { "SYS": "BOBONGO", "EN": "BOBONGO" }, "vi" : [ { "r": "A-30", "o": "=", "t": "v", "v": "CAM_LV3_181" } ] },</v>
      </c>
    </row>
    <row r="91" spans="1:6">
      <c r="A91" s="58" t="s">
        <v>1077</v>
      </c>
      <c r="B91" s="58" t="s">
        <v>2635</v>
      </c>
      <c r="C91" s="58" t="s">
        <v>2636</v>
      </c>
      <c r="D91" s="58" t="s">
        <v>2636</v>
      </c>
      <c r="E91" s="58" t="s">
        <v>2245</v>
      </c>
      <c r="F91" s="58" t="str">
        <f t="shared" si="1"/>
        <v>{ "v": "CAM_LV4_89", "n" : { "SYS": "NDOGPASSI PLAGE", "EN": "NDOGPASSI PLAGE" }, "vi" : [ { "r": "A-30", "o": "=", "t": "v", "v": "CAM_LV3_181" } ] },</v>
      </c>
    </row>
    <row r="92" spans="1:6">
      <c r="A92" s="58" t="s">
        <v>1077</v>
      </c>
      <c r="B92" s="58" t="s">
        <v>2637</v>
      </c>
      <c r="C92" s="58" t="s">
        <v>2638</v>
      </c>
      <c r="D92" s="58" t="s">
        <v>2638</v>
      </c>
      <c r="E92" s="58" t="s">
        <v>2245</v>
      </c>
      <c r="F92" s="58" t="str">
        <f t="shared" si="1"/>
        <v>{ "v": "CAM_LV4_90", "n" : { "SYS": "NDOPASSI CENTRE", "EN": "NDOPASSI CENTRE" }, "vi" : [ { "r": "A-30", "o": "=", "t": "v", "v": "CAM_LV3_181" } ] },</v>
      </c>
    </row>
    <row r="93" spans="1:6">
      <c r="A93" s="58" t="s">
        <v>1077</v>
      </c>
      <c r="B93" s="58" t="s">
        <v>2639</v>
      </c>
      <c r="C93" s="58" t="s">
        <v>2640</v>
      </c>
      <c r="D93" s="58" t="s">
        <v>2640</v>
      </c>
      <c r="E93" s="58" t="s">
        <v>2245</v>
      </c>
      <c r="F93" s="58" t="str">
        <f t="shared" si="1"/>
        <v>{ "v": "CAM_LV4_91", "n" : { "SYS": "CITE BERGE", "EN": "CITE BERGE" }, "vi" : [ { "r": "A-30", "o": "=", "t": "v", "v": "CAM_LV3_181" } ] },</v>
      </c>
    </row>
    <row r="94" spans="1:6">
      <c r="A94" s="58" t="s">
        <v>1077</v>
      </c>
      <c r="B94" s="58" t="s">
        <v>2641</v>
      </c>
      <c r="C94" s="58" t="s">
        <v>2642</v>
      </c>
      <c r="D94" s="58" t="s">
        <v>2642</v>
      </c>
      <c r="E94" s="58" t="s">
        <v>2245</v>
      </c>
      <c r="F94" s="58" t="str">
        <f t="shared" si="1"/>
        <v>{ "v": "CAM_LV4_92", "n" : { "SYS": "NYALLA BASSA", "EN": "NYALLA BASSA" }, "vi" : [ { "r": "A-30", "o": "=", "t": "v", "v": "CAM_LV3_181" } ] },</v>
      </c>
    </row>
    <row r="95" spans="1:6">
      <c r="A95" s="58" t="s">
        <v>1077</v>
      </c>
      <c r="B95" s="58" t="s">
        <v>2643</v>
      </c>
      <c r="C95" s="58" t="s">
        <v>2644</v>
      </c>
      <c r="D95" s="58" t="s">
        <v>2644</v>
      </c>
      <c r="E95" s="58" t="s">
        <v>2245</v>
      </c>
      <c r="F95" s="58" t="str">
        <f t="shared" si="1"/>
        <v>{ "v": "CAM_LV4_93", "n" : { "SYS": "LOGBESOU I", "EN": "LOGBESOU I" }, "vi" : [ { "r": "A-30", "o": "=", "t": "v", "v": "CAM_LV3_181" } ] },</v>
      </c>
    </row>
    <row r="96" spans="1:6">
      <c r="A96" s="58" t="s">
        <v>1077</v>
      </c>
      <c r="B96" s="58" t="s">
        <v>2645</v>
      </c>
      <c r="C96" s="58" t="s">
        <v>2646</v>
      </c>
      <c r="D96" s="58" t="s">
        <v>2646</v>
      </c>
      <c r="E96" s="58" t="s">
        <v>2245</v>
      </c>
      <c r="F96" s="58" t="str">
        <f t="shared" si="1"/>
        <v>{ "v": "CAM_LV4_94", "n" : { "SYS": "JAPOMA", "EN": "JAPOMA" }, "vi" : [ { "r": "A-30", "o": "=", "t": "v", "v": "CAM_LV3_181" } ] },</v>
      </c>
    </row>
    <row r="97" spans="1:6">
      <c r="A97" s="58" t="s">
        <v>1077</v>
      </c>
      <c r="B97" s="58" t="s">
        <v>2647</v>
      </c>
      <c r="C97" s="58" t="s">
        <v>2648</v>
      </c>
      <c r="D97" s="58" t="s">
        <v>2648</v>
      </c>
      <c r="E97" s="58" t="s">
        <v>2245</v>
      </c>
      <c r="F97" s="58" t="str">
        <f t="shared" si="1"/>
        <v>{ "v": "CAM_LV4_95", "n" : { "SYS": "PINDO", "EN": "PINDO" }, "vi" : [ { "r": "A-30", "o": "=", "t": "v", "v": "CAM_LV3_181" } ] },</v>
      </c>
    </row>
    <row r="98" spans="1:6">
      <c r="A98" s="58" t="s">
        <v>1077</v>
      </c>
      <c r="B98" s="58" t="s">
        <v>2649</v>
      </c>
      <c r="C98" s="58" t="s">
        <v>2650</v>
      </c>
      <c r="D98" s="58" t="s">
        <v>2650</v>
      </c>
      <c r="E98" s="58" t="s">
        <v>2245</v>
      </c>
      <c r="F98" s="58" t="str">
        <f t="shared" si="1"/>
        <v>{ "v": "CAM_LV4_96", "n" : { "SYS": "SONGBIKAKO", "EN": "SONGBIKAKO" }, "vi" : [ { "r": "A-30", "o": "=", "t": "v", "v": "CAM_LV3_181" } ] },</v>
      </c>
    </row>
    <row r="99" spans="1:6">
      <c r="A99" s="58" t="s">
        <v>1077</v>
      </c>
      <c r="B99" s="58" t="s">
        <v>2651</v>
      </c>
      <c r="C99" s="58" t="s">
        <v>2652</v>
      </c>
      <c r="D99" s="58" t="s">
        <v>2652</v>
      </c>
      <c r="E99" s="58" t="s">
        <v>2245</v>
      </c>
      <c r="F99" s="58" t="str">
        <f t="shared" si="1"/>
        <v>{ "v": "CAM_LV4_97", "n" : { "SYS": "NDOGPASSI RECASEMENT", "EN": "NDOGPASSI RECASEMENT" }, "vi" : [ { "r": "A-30", "o": "=", "t": "v", "v": "CAM_LV3_181" } ] },</v>
      </c>
    </row>
    <row r="100" spans="1:6">
      <c r="A100" s="58" t="s">
        <v>1078</v>
      </c>
      <c r="B100" s="58" t="s">
        <v>2653</v>
      </c>
      <c r="C100" s="58" t="s">
        <v>2654</v>
      </c>
      <c r="D100" s="58" t="s">
        <v>2654</v>
      </c>
      <c r="E100" s="58" t="s">
        <v>2246</v>
      </c>
      <c r="F100" s="58" t="str">
        <f t="shared" si="1"/>
        <v>{ "v": "CAM_LV4_98", "n" : { "SYS": "BONASAMA", "EN": "BONASAMA" }, "vi" : [ { "r": "A-30", "o": "=", "t": "v", "v": "CAM_LV3_182" } ] },</v>
      </c>
    </row>
    <row r="101" spans="1:6">
      <c r="A101" s="58" t="s">
        <v>1078</v>
      </c>
      <c r="B101" s="58" t="s">
        <v>2655</v>
      </c>
      <c r="C101" s="58" t="s">
        <v>2656</v>
      </c>
      <c r="D101" s="58" t="s">
        <v>2656</v>
      </c>
      <c r="E101" s="58" t="s">
        <v>2246</v>
      </c>
      <c r="F101" s="58" t="str">
        <f t="shared" si="1"/>
        <v>{ "v": "CAM_LV4_99", "n" : { "SYS": "BESSEKE", "EN": "BESSEKE" }, "vi" : [ { "r": "A-30", "o": "=", "t": "v", "v": "CAM_LV3_182" } ] },</v>
      </c>
    </row>
    <row r="102" spans="1:6">
      <c r="A102" s="58" t="s">
        <v>1078</v>
      </c>
      <c r="B102" s="58" t="s">
        <v>2657</v>
      </c>
      <c r="C102" s="58" t="s">
        <v>2658</v>
      </c>
      <c r="D102" s="58" t="s">
        <v>2658</v>
      </c>
      <c r="E102" s="58" t="s">
        <v>2246</v>
      </c>
      <c r="F102" s="58" t="str">
        <f t="shared" si="1"/>
        <v>{ "v": "CAM_LV4_100", "n" : { "SYS": "BONAMIKANO", "EN": "BONAMIKANO" }, "vi" : [ { "r": "A-30", "o": "=", "t": "v", "v": "CAM_LV3_182" } ] },</v>
      </c>
    </row>
    <row r="103" spans="1:6">
      <c r="A103" s="58" t="s">
        <v>1078</v>
      </c>
      <c r="B103" s="58" t="s">
        <v>2659</v>
      </c>
      <c r="C103" s="58" t="s">
        <v>2660</v>
      </c>
      <c r="D103" s="58" t="s">
        <v>2660</v>
      </c>
      <c r="E103" s="58" t="s">
        <v>2246</v>
      </c>
      <c r="F103" s="58" t="str">
        <f t="shared" si="1"/>
        <v>{ "v": "CAM_LV4_101", "n" : { "SYS": "BONAMBAPPE", "EN": "BONAMBAPPE" }, "vi" : [ { "r": "A-30", "o": "=", "t": "v", "v": "CAM_LV3_182" } ] },</v>
      </c>
    </row>
    <row r="104" spans="1:6">
      <c r="A104" s="58" t="s">
        <v>1078</v>
      </c>
      <c r="B104" s="58" t="s">
        <v>2661</v>
      </c>
      <c r="C104" s="58" t="s">
        <v>2662</v>
      </c>
      <c r="D104" s="58" t="s">
        <v>2662</v>
      </c>
      <c r="E104" s="58" t="s">
        <v>2246</v>
      </c>
      <c r="F104" s="58" t="str">
        <f t="shared" si="1"/>
        <v>{ "v": "CAM_LV4_102", "n" : { "SYS": "NKOMBA", "EN": "NKOMBA" }, "vi" : [ { "r": "A-30", "o": "=", "t": "v", "v": "CAM_LV3_182" } ] },</v>
      </c>
    </row>
    <row r="105" spans="1:6">
      <c r="A105" s="58" t="s">
        <v>1078</v>
      </c>
      <c r="B105" s="58" t="s">
        <v>2663</v>
      </c>
      <c r="C105" s="58" t="s">
        <v>2664</v>
      </c>
      <c r="D105" s="58" t="s">
        <v>2664</v>
      </c>
      <c r="E105" s="58" t="s">
        <v>2246</v>
      </c>
      <c r="F105" s="58" t="str">
        <f t="shared" si="1"/>
        <v>{ "v": "CAM_LV4_103", "n" : { "SYS": "GRAND HANGAR", "EN": "GRAND HANGAR" }, "vi" : [ { "r": "A-30", "o": "=", "t": "v", "v": "CAM_LV3_182" } ] },</v>
      </c>
    </row>
    <row r="106" spans="1:6">
      <c r="A106" s="58" t="s">
        <v>1078</v>
      </c>
      <c r="B106" s="58" t="s">
        <v>2665</v>
      </c>
      <c r="C106" s="58" t="s">
        <v>2666</v>
      </c>
      <c r="D106" s="58" t="s">
        <v>2666</v>
      </c>
      <c r="E106" s="58" t="s">
        <v>2246</v>
      </c>
      <c r="F106" s="58" t="str">
        <f t="shared" si="1"/>
        <v>{ "v": "CAM_LV4_104", "n" : { "SYS": "MABANDA", "EN": "MABANDA" }, "vi" : [ { "r": "A-30", "o": "=", "t": "v", "v": "CAM_LV3_182" } ] },</v>
      </c>
    </row>
    <row r="107" spans="1:6">
      <c r="A107" s="58" t="s">
        <v>1078</v>
      </c>
      <c r="B107" s="58" t="s">
        <v>2667</v>
      </c>
      <c r="C107" s="58" t="s">
        <v>2668</v>
      </c>
      <c r="D107" s="58" t="s">
        <v>2668</v>
      </c>
      <c r="E107" s="58" t="s">
        <v>2246</v>
      </c>
      <c r="F107" s="58" t="str">
        <f t="shared" si="1"/>
        <v>{ "v": "CAM_LV4_105", "n" : { "SYS": "NGWELE", "EN": "NGWELE" }, "vi" : [ { "r": "A-30", "o": "=", "t": "v", "v": "CAM_LV3_182" } ] },</v>
      </c>
    </row>
    <row r="108" spans="1:6">
      <c r="A108" s="58" t="s">
        <v>1078</v>
      </c>
      <c r="B108" s="58" t="s">
        <v>2669</v>
      </c>
      <c r="C108" s="58" t="s">
        <v>2670</v>
      </c>
      <c r="D108" s="58" t="s">
        <v>2670</v>
      </c>
      <c r="E108" s="58" t="s">
        <v>2246</v>
      </c>
      <c r="F108" s="58" t="str">
        <f t="shared" si="1"/>
        <v>{ "v": "CAM_LV4_106", "n" : { "SYS": "NDOBO", "EN": "NDOBO" }, "vi" : [ { "r": "A-30", "o": "=", "t": "v", "v": "CAM_LV3_182" } ] },</v>
      </c>
    </row>
    <row r="109" spans="1:6">
      <c r="A109" s="58" t="s">
        <v>1078</v>
      </c>
      <c r="B109" s="58" t="s">
        <v>2671</v>
      </c>
      <c r="C109" s="58" t="s">
        <v>2672</v>
      </c>
      <c r="D109" s="58" t="s">
        <v>2672</v>
      </c>
      <c r="E109" s="58" t="s">
        <v>2246</v>
      </c>
      <c r="F109" s="58" t="str">
        <f t="shared" si="1"/>
        <v>{ "v": "CAM_LV4_107", "n" : { "SYS": "BODJONGO", "EN": "BODJONGO" }, "vi" : [ { "r": "A-30", "o": "=", "t": "v", "v": "CAM_LV3_182" } ] },</v>
      </c>
    </row>
    <row r="110" spans="1:6">
      <c r="A110" s="58" t="s">
        <v>1078</v>
      </c>
      <c r="B110" s="58" t="s">
        <v>2673</v>
      </c>
      <c r="C110" s="58" t="s">
        <v>2674</v>
      </c>
      <c r="D110" s="58" t="s">
        <v>2674</v>
      </c>
      <c r="E110" s="58" t="s">
        <v>2246</v>
      </c>
      <c r="F110" s="58" t="str">
        <f t="shared" si="1"/>
        <v>{ "v": "CAM_LV4_108", "n" : { "SYS": "BONAMATOUMBE", "EN": "BONAMATOUMBE" }, "vi" : [ { "r": "A-30", "o": "=", "t": "v", "v": "CAM_LV3_182" } ] },</v>
      </c>
    </row>
    <row r="111" spans="1:6">
      <c r="A111" s="58" t="s">
        <v>1078</v>
      </c>
      <c r="B111" s="58" t="s">
        <v>2675</v>
      </c>
      <c r="C111" s="58" t="s">
        <v>2676</v>
      </c>
      <c r="D111" s="58" t="s">
        <v>2676</v>
      </c>
      <c r="E111" s="58" t="s">
        <v>2246</v>
      </c>
      <c r="F111" s="58" t="str">
        <f t="shared" si="1"/>
        <v>{ "v": "CAM_LV4_109", "n" : { "SYS": "LOBE", "EN": "LOBE" }, "vi" : [ { "r": "A-30", "o": "=", "t": "v", "v": "CAM_LV3_182" } ] },</v>
      </c>
    </row>
    <row r="112" spans="1:6">
      <c r="A112" s="58" t="s">
        <v>1078</v>
      </c>
      <c r="B112" s="58" t="s">
        <v>2677</v>
      </c>
      <c r="C112" s="58" t="s">
        <v>2678</v>
      </c>
      <c r="D112" s="58" t="s">
        <v>2678</v>
      </c>
      <c r="E112" s="58" t="s">
        <v>2246</v>
      </c>
      <c r="F112" s="58" t="str">
        <f t="shared" si="1"/>
        <v>{ "v": "CAM_LV4_110", "n" : { "SYS": "SODIKO I", "EN": "SODIKO I" }, "vi" : [ { "r": "A-30", "o": "=", "t": "v", "v": "CAM_LV3_182" } ] },</v>
      </c>
    </row>
    <row r="113" spans="1:6">
      <c r="A113" s="58" t="s">
        <v>1078</v>
      </c>
      <c r="B113" s="58" t="s">
        <v>2679</v>
      </c>
      <c r="C113" s="58" t="s">
        <v>2680</v>
      </c>
      <c r="D113" s="58" t="s">
        <v>2680</v>
      </c>
      <c r="E113" s="58" t="s">
        <v>2246</v>
      </c>
      <c r="F113" s="58" t="str">
        <f t="shared" si="1"/>
        <v>{ "v": "CAM_LV4_111", "n" : { "SYS": "BEPELE", "EN": "BEPELE" }, "vi" : [ { "r": "A-30", "o": "=", "t": "v", "v": "CAM_LV3_182" } ] },</v>
      </c>
    </row>
    <row r="114" spans="1:6">
      <c r="A114" s="58" t="s">
        <v>1078</v>
      </c>
      <c r="B114" s="58" t="s">
        <v>2681</v>
      </c>
      <c r="C114" s="58" t="s">
        <v>2682</v>
      </c>
      <c r="D114" s="58" t="s">
        <v>2682</v>
      </c>
      <c r="E114" s="58" t="s">
        <v>2246</v>
      </c>
      <c r="F114" s="58" t="str">
        <f t="shared" si="1"/>
        <v>{ "v": "CAM_LV4_112", "n" : { "SYS": "ZONE INDUSTRIELLE", "EN": "ZONE INDUSTRIELLE" }, "vi" : [ { "r": "A-30", "o": "=", "t": "v", "v": "CAM_LV3_182" } ] },</v>
      </c>
    </row>
    <row r="115" spans="1:6">
      <c r="A115" s="58" t="s">
        <v>1078</v>
      </c>
      <c r="B115" s="58" t="s">
        <v>2683</v>
      </c>
      <c r="C115" s="58" t="s">
        <v>2684</v>
      </c>
      <c r="D115" s="58" t="s">
        <v>2684</v>
      </c>
      <c r="E115" s="58" t="s">
        <v>2246</v>
      </c>
      <c r="F115" s="58" t="str">
        <f t="shared" si="1"/>
        <v>{ "v": "CAM_LV4_113", "n" : { "SYS": "BILINGUE", "EN": "BILINGUE" }, "vi" : [ { "r": "A-30", "o": "=", "t": "v", "v": "CAM_LV3_182" } ] },</v>
      </c>
    </row>
    <row r="116" spans="1:6">
      <c r="A116" s="58" t="s">
        <v>1078</v>
      </c>
      <c r="B116" s="58" t="s">
        <v>2685</v>
      </c>
      <c r="C116" s="58" t="s">
        <v>2686</v>
      </c>
      <c r="D116" s="58" t="s">
        <v>2686</v>
      </c>
      <c r="E116" s="58" t="s">
        <v>2246</v>
      </c>
      <c r="F116" s="58" t="str">
        <f t="shared" si="1"/>
        <v>{ "v": "CAM_LV4_114", "n" : { "SYS": "BONAMATOUMBE I", "EN": "BONAMATOUMBE I" }, "vi" : [ { "r": "A-30", "o": "=", "t": "v", "v": "CAM_LV3_182" } ] },</v>
      </c>
    </row>
    <row r="117" spans="1:6">
      <c r="A117" s="58" t="s">
        <v>1078</v>
      </c>
      <c r="B117" s="58" t="s">
        <v>2687</v>
      </c>
      <c r="C117" s="58" t="s">
        <v>2688</v>
      </c>
      <c r="D117" s="58" t="s">
        <v>2688</v>
      </c>
      <c r="E117" s="58" t="s">
        <v>2246</v>
      </c>
      <c r="F117" s="58" t="str">
        <f t="shared" si="1"/>
        <v>{ "v": "CAM_LV4_115", "n" : { "SYS": "BONENDALE I", "EN": "BONENDALE I" }, "vi" : [ { "r": "A-30", "o": "=", "t": "v", "v": "CAM_LV3_182" } ] },</v>
      </c>
    </row>
    <row r="118" spans="1:6">
      <c r="A118" s="58" t="s">
        <v>1078</v>
      </c>
      <c r="B118" s="58" t="s">
        <v>2689</v>
      </c>
      <c r="C118" s="58" t="s">
        <v>2690</v>
      </c>
      <c r="D118" s="58" t="s">
        <v>2690</v>
      </c>
      <c r="E118" s="58" t="s">
        <v>2246</v>
      </c>
      <c r="F118" s="58" t="str">
        <f t="shared" si="1"/>
        <v>{ "v": "CAM_LV4_116", "n" : { "SYS": "ILE DJEBALE", "EN": "ILE DJEBALE" }, "vi" : [ { "r": "A-30", "o": "=", "t": "v", "v": "CAM_LV3_182" } ] },</v>
      </c>
    </row>
    <row r="119" spans="1:6">
      <c r="A119" s="58" t="s">
        <v>1079</v>
      </c>
      <c r="B119" s="58" t="s">
        <v>2691</v>
      </c>
      <c r="C119" s="58" t="s">
        <v>2692</v>
      </c>
      <c r="D119" s="58" t="s">
        <v>2692</v>
      </c>
      <c r="E119" s="58" t="s">
        <v>2247</v>
      </c>
      <c r="F119" s="58" t="str">
        <f t="shared" si="1"/>
        <v>{ "v": "CAM_LV4_117", "n" : { "SYS": "NDOGHEM I", "EN": "NDOGHEM I" }, "vi" : [ { "r": "A-30", "o": "=", "t": "v", "v": "CAM_LV3_183" } ] },</v>
      </c>
    </row>
    <row r="120" spans="1:6">
      <c r="A120" s="58" t="s">
        <v>1079</v>
      </c>
      <c r="B120" s="58" t="s">
        <v>2693</v>
      </c>
      <c r="C120" s="58" t="s">
        <v>2694</v>
      </c>
      <c r="D120" s="58" t="s">
        <v>2694</v>
      </c>
      <c r="E120" s="58" t="s">
        <v>2247</v>
      </c>
      <c r="F120" s="58" t="str">
        <f t="shared" si="1"/>
        <v>{ "v": "CAM_LV4_118", "n" : { "SYS": "MAKEPE", "EN": "MAKEPE" }, "vi" : [ { "r": "A-30", "o": "=", "t": "v", "v": "CAM_LV3_183" } ] },</v>
      </c>
    </row>
    <row r="121" spans="1:6">
      <c r="A121" s="58" t="s">
        <v>1079</v>
      </c>
      <c r="B121" s="58" t="s">
        <v>2695</v>
      </c>
      <c r="C121" s="58" t="s">
        <v>2696</v>
      </c>
      <c r="D121" s="58" t="s">
        <v>2696</v>
      </c>
      <c r="E121" s="58" t="s">
        <v>2247</v>
      </c>
      <c r="F121" s="58" t="str">
        <f t="shared" si="1"/>
        <v>{ "v": "CAM_LV4_119", "n" : { "SYS": "NDOGBONG", "EN": "NDOGBONG" }, "vi" : [ { "r": "A-30", "o": "=", "t": "v", "v": "CAM_LV3_183" } ] },</v>
      </c>
    </row>
    <row r="122" spans="1:6">
      <c r="A122" s="58" t="s">
        <v>1079</v>
      </c>
      <c r="B122" s="58" t="s">
        <v>2697</v>
      </c>
      <c r="C122" s="58" t="s">
        <v>2698</v>
      </c>
      <c r="D122" s="58" t="s">
        <v>2698</v>
      </c>
      <c r="E122" s="58" t="s">
        <v>2247</v>
      </c>
      <c r="F122" s="58" t="str">
        <f t="shared" si="1"/>
        <v>{ "v": "CAM_LV4_120", "n" : { "SYS": "BONAMOUSSADI", "EN": "BONAMOUSSADI" }, "vi" : [ { "r": "A-30", "o": "=", "t": "v", "v": "CAM_LV3_183" } ] },</v>
      </c>
    </row>
    <row r="123" spans="1:6">
      <c r="A123" s="58" t="s">
        <v>1079</v>
      </c>
      <c r="B123" s="58" t="s">
        <v>2699</v>
      </c>
      <c r="C123" s="58" t="s">
        <v>2700</v>
      </c>
      <c r="D123" s="58" t="s">
        <v>2700</v>
      </c>
      <c r="E123" s="58" t="s">
        <v>2247</v>
      </c>
      <c r="F123" s="58" t="str">
        <f t="shared" si="1"/>
        <v>{ "v": "CAM_LV4_121", "n" : { "SYS": "MAKEPE I", "EN": "MAKEPE I" }, "vi" : [ { "r": "A-30", "o": "=", "t": "v", "v": "CAM_LV3_183" } ] },</v>
      </c>
    </row>
    <row r="124" spans="1:6">
      <c r="A124" s="58" t="s">
        <v>1079</v>
      </c>
      <c r="B124" s="58" t="s">
        <v>2701</v>
      </c>
      <c r="C124" s="58" t="s">
        <v>2702</v>
      </c>
      <c r="D124" s="58" t="s">
        <v>2702</v>
      </c>
      <c r="E124" s="58" t="s">
        <v>2247</v>
      </c>
      <c r="F124" s="58" t="str">
        <f t="shared" si="1"/>
        <v>{ "v": "CAM_LV4_122", "n" : { "SYS": "LOGPOM", "EN": "LOGPOM" }, "vi" : [ { "r": "A-30", "o": "=", "t": "v", "v": "CAM_LV3_183" } ] },</v>
      </c>
    </row>
    <row r="125" spans="1:6">
      <c r="A125" s="58" t="s">
        <v>1079</v>
      </c>
      <c r="B125" s="58" t="s">
        <v>2703</v>
      </c>
      <c r="C125" s="58" t="s">
        <v>2704</v>
      </c>
      <c r="D125" s="58" t="s">
        <v>2704</v>
      </c>
      <c r="E125" s="58" t="s">
        <v>2247</v>
      </c>
      <c r="F125" s="58" t="str">
        <f t="shared" si="1"/>
        <v>{ "v": "CAM_LV4_123", "n" : { "SYS": "KOTTO", "EN": "KOTTO" }, "vi" : [ { "r": "A-30", "o": "=", "t": "v", "v": "CAM_LV3_183" } ] },</v>
      </c>
    </row>
    <row r="126" spans="1:6">
      <c r="A126" s="58" t="s">
        <v>1079</v>
      </c>
      <c r="B126" s="58" t="s">
        <v>2705</v>
      </c>
      <c r="C126" s="58" t="s">
        <v>2706</v>
      </c>
      <c r="D126" s="58" t="s">
        <v>2706</v>
      </c>
      <c r="E126" s="58" t="s">
        <v>2247</v>
      </c>
      <c r="F126" s="58" t="str">
        <f t="shared" si="1"/>
        <v>{ "v": "CAM_LV4_124", "n" : { "SYS": "BANGUE", "EN": "BANGUE" }, "vi" : [ { "r": "A-30", "o": "=", "t": "v", "v": "CAM_LV3_183" } ] },</v>
      </c>
    </row>
    <row r="127" spans="1:6">
      <c r="A127" s="58" t="s">
        <v>1079</v>
      </c>
      <c r="B127" s="58" t="s">
        <v>2707</v>
      </c>
      <c r="C127" s="58" t="s">
        <v>2708</v>
      </c>
      <c r="D127" s="58" t="s">
        <v>2708</v>
      </c>
      <c r="E127" s="58" t="s">
        <v>2247</v>
      </c>
      <c r="F127" s="58" t="str">
        <f t="shared" si="1"/>
        <v>{ "v": "CAM_LV4_125", "n" : { "SYS": "BONANGANG", "EN": "BONANGANG" }, "vi" : [ { "r": "A-30", "o": "=", "t": "v", "v": "CAM_LV3_183" } ] },</v>
      </c>
    </row>
    <row r="128" spans="1:6">
      <c r="A128" s="58" t="s">
        <v>1079</v>
      </c>
      <c r="B128" s="58" t="s">
        <v>2709</v>
      </c>
      <c r="C128" s="58" t="s">
        <v>2586</v>
      </c>
      <c r="D128" s="58" t="s">
        <v>2586</v>
      </c>
      <c r="E128" s="58" t="s">
        <v>2247</v>
      </c>
      <c r="F128" s="58" t="str">
        <f t="shared" si="1"/>
        <v>{ "v": "CAM_LV4_126", "n" : { "SYS": "PK8", "EN": "PK8" }, "vi" : [ { "r": "A-30", "o": "=", "t": "v", "v": "CAM_LV3_183" } ] },</v>
      </c>
    </row>
    <row r="129" spans="1:6">
      <c r="A129" s="58" t="s">
        <v>1079</v>
      </c>
      <c r="B129" s="58" t="s">
        <v>2710</v>
      </c>
      <c r="C129" s="58" t="s">
        <v>2711</v>
      </c>
      <c r="D129" s="58" t="s">
        <v>2711</v>
      </c>
      <c r="E129" s="58" t="s">
        <v>2247</v>
      </c>
      <c r="F129" s="58" t="str">
        <f t="shared" si="1"/>
        <v>{ "v": "CAM_LV4_127", "n" : { "SYS": "MALANGUE", "EN": "MALANGUE" }, "vi" : [ { "r": "A-30", "o": "=", "t": "v", "v": "CAM_LV3_183" } ] },</v>
      </c>
    </row>
    <row r="130" spans="1:6">
      <c r="A130" s="58" t="s">
        <v>1079</v>
      </c>
      <c r="B130" s="58" t="s">
        <v>2712</v>
      </c>
      <c r="C130" s="58" t="s">
        <v>2713</v>
      </c>
      <c r="D130" s="58" t="s">
        <v>2713</v>
      </c>
      <c r="E130" s="58" t="s">
        <v>2247</v>
      </c>
      <c r="F130" s="58" t="str">
        <f t="shared" si="1"/>
        <v>{ "v": "CAM_LV4_128", "n" : { "SYS": "BEEDI", "EN": "BEEDI" }, "vi" : [ { "r": "A-30", "o": "=", "t": "v", "v": "CAM_LV3_183" } ] },</v>
      </c>
    </row>
    <row r="131" spans="1:6">
      <c r="A131" s="58" t="s">
        <v>1079</v>
      </c>
      <c r="B131" s="58" t="s">
        <v>2714</v>
      </c>
      <c r="C131" s="58" t="s">
        <v>2715</v>
      </c>
      <c r="D131" s="58" t="s">
        <v>2715</v>
      </c>
      <c r="E131" s="58" t="s">
        <v>2247</v>
      </c>
      <c r="F131" s="58" t="str">
        <f t="shared" ref="F131:F194" si="2">_xlfn.CONCAT(liststart,B131,listlareport,C131,listlat,D131,area_vis_lv3,E131,areavisend)</f>
        <v>{ "v": "CAM_LV4_129", "n" : { "SYS": "CITE DES PALMIERS", "EN": "CITE DES PALMIERS" }, "vi" : [ { "r": "A-30", "o": "=", "t": "v", "v": "CAM_LV3_183" } ] },</v>
      </c>
    </row>
    <row r="132" spans="1:6">
      <c r="A132" s="58" t="s">
        <v>1079</v>
      </c>
      <c r="B132" s="58" t="s">
        <v>2716</v>
      </c>
      <c r="C132" s="58" t="s">
        <v>2717</v>
      </c>
      <c r="D132" s="58" t="s">
        <v>2717</v>
      </c>
      <c r="E132" s="58" t="s">
        <v>2247</v>
      </c>
      <c r="F132" s="58" t="str">
        <f t="shared" si="2"/>
        <v>{ "v": "CAM_LV4_130", "n" : { "SYS": "BONANEYIKE", "EN": "BONANEYIKE" }, "vi" : [ { "r": "A-30", "o": "=", "t": "v", "v": "CAM_LV3_183" } ] },</v>
      </c>
    </row>
    <row r="133" spans="1:6">
      <c r="A133" s="58" t="s">
        <v>1079</v>
      </c>
      <c r="B133" s="58" t="s">
        <v>2718</v>
      </c>
      <c r="C133" s="58" t="s">
        <v>2719</v>
      </c>
      <c r="D133" s="58" t="s">
        <v>2719</v>
      </c>
      <c r="E133" s="58" t="s">
        <v>2247</v>
      </c>
      <c r="F133" s="58" t="str">
        <f t="shared" si="2"/>
        <v>{ "v": "CAM_LV4_131", "n" : { "SYS": "NGOMA", "EN": "NGOMA" }, "vi" : [ { "r": "A-30", "o": "=", "t": "v", "v": "CAM_LV3_183" } ] },</v>
      </c>
    </row>
    <row r="134" spans="1:6">
      <c r="A134" s="58" t="s">
        <v>1079</v>
      </c>
      <c r="B134" s="58" t="s">
        <v>2720</v>
      </c>
      <c r="C134" s="58" t="s">
        <v>2644</v>
      </c>
      <c r="D134" s="58" t="s">
        <v>2644</v>
      </c>
      <c r="E134" s="58" t="s">
        <v>2247</v>
      </c>
      <c r="F134" s="58" t="str">
        <f t="shared" si="2"/>
        <v>{ "v": "CAM_LV4_132", "n" : { "SYS": "LOGBESOU I", "EN": "LOGBESOU I" }, "vi" : [ { "r": "A-30", "o": "=", "t": "v", "v": "CAM_LV3_183" } ] },</v>
      </c>
    </row>
    <row r="135" spans="1:6">
      <c r="A135" s="58" t="s">
        <v>1079</v>
      </c>
      <c r="B135" s="58" t="s">
        <v>2721</v>
      </c>
      <c r="C135" s="58" t="s">
        <v>2584</v>
      </c>
      <c r="D135" s="58" t="s">
        <v>2584</v>
      </c>
      <c r="E135" s="58" t="s">
        <v>2247</v>
      </c>
      <c r="F135" s="58" t="str">
        <f t="shared" si="2"/>
        <v>{ "v": "CAM_LV4_133", "n" : { "SYS": "NDOKOTI", "EN": "NDOKOTI" }, "vi" : [ { "r": "A-30", "o": "=", "t": "v", "v": "CAM_LV3_183" } ] },</v>
      </c>
    </row>
    <row r="136" spans="1:6">
      <c r="A136" s="58" t="s">
        <v>1079</v>
      </c>
      <c r="B136" s="58" t="s">
        <v>2722</v>
      </c>
      <c r="C136" s="58" t="s">
        <v>2723</v>
      </c>
      <c r="D136" s="58" t="s">
        <v>2723</v>
      </c>
      <c r="E136" s="58" t="s">
        <v>2247</v>
      </c>
      <c r="F136" s="58" t="str">
        <f t="shared" si="2"/>
        <v>{ "v": "CAM_LV4_134", "n" : { "SYS": "CITE CICAM", "EN": "CITE CICAM" }, "vi" : [ { "r": "A-30", "o": "=", "t": "v", "v": "CAM_LV3_183" } ] },</v>
      </c>
    </row>
    <row r="137" spans="1:6">
      <c r="A137" s="58" t="s">
        <v>1079</v>
      </c>
      <c r="B137" s="58" t="s">
        <v>2724</v>
      </c>
      <c r="C137" s="58" t="s">
        <v>2725</v>
      </c>
      <c r="D137" s="58" t="s">
        <v>2725</v>
      </c>
      <c r="E137" s="58" t="s">
        <v>2247</v>
      </c>
      <c r="F137" s="58" t="str">
        <f t="shared" si="2"/>
        <v>{ "v": "CAM_LV4_135", "n" : { "SYS": "NDGBATI ", "EN": "NDGBATI " }, "vi" : [ { "r": "A-30", "o": "=", "t": "v", "v": "CAM_LV3_183" } ] },</v>
      </c>
    </row>
    <row r="138" spans="1:6">
      <c r="A138" s="58" t="s">
        <v>1079</v>
      </c>
      <c r="B138" s="58" t="s">
        <v>2726</v>
      </c>
      <c r="C138" s="58" t="s">
        <v>2727</v>
      </c>
      <c r="D138" s="58" t="s">
        <v>2727</v>
      </c>
      <c r="E138" s="58" t="s">
        <v>2247</v>
      </c>
      <c r="F138" s="58" t="str">
        <f t="shared" si="2"/>
        <v>{ "v": "CAM_LV4_136", "n" : { "SYS": "NDOGBATI II", "EN": "NDOGBATI II" }, "vi" : [ { "r": "A-30", "o": "=", "t": "v", "v": "CAM_LV3_183" } ] },</v>
      </c>
    </row>
    <row r="139" spans="1:6">
      <c r="A139" s="58" t="s">
        <v>1079</v>
      </c>
      <c r="B139" s="58" t="s">
        <v>2728</v>
      </c>
      <c r="C139" s="58" t="s">
        <v>2729</v>
      </c>
      <c r="D139" s="58" t="s">
        <v>2729</v>
      </c>
      <c r="E139" s="58" t="s">
        <v>2247</v>
      </c>
      <c r="F139" s="58" t="str">
        <f t="shared" si="2"/>
        <v>{ "v": "CAM_LV4_137", "n" : { "SYS": "SODIKOMBO", "EN": "SODIKOMBO" }, "vi" : [ { "r": "A-30", "o": "=", "t": "v", "v": "CAM_LV3_183" } ] },</v>
      </c>
    </row>
    <row r="140" spans="1:6">
      <c r="A140" s="58" t="s">
        <v>1079</v>
      </c>
      <c r="B140" s="58" t="s">
        <v>2730</v>
      </c>
      <c r="C140" s="58" t="s">
        <v>2612</v>
      </c>
      <c r="D140" s="58" t="s">
        <v>2612</v>
      </c>
      <c r="E140" s="58" t="s">
        <v>2247</v>
      </c>
      <c r="F140" s="58" t="str">
        <f t="shared" si="2"/>
        <v>{ "v": "CAM_LV4_138", "n" : { "SYS": "NDOGHEM II", "EN": "NDOGHEM II" }, "vi" : [ { "r": "A-30", "o": "=", "t": "v", "v": "CAM_LV3_183" } ] },</v>
      </c>
    </row>
    <row r="141" spans="1:6">
      <c r="A141" s="58" t="s">
        <v>1079</v>
      </c>
      <c r="B141" s="58" t="s">
        <v>2731</v>
      </c>
      <c r="C141" s="58" t="s">
        <v>2732</v>
      </c>
      <c r="D141" s="58" t="s">
        <v>2732</v>
      </c>
      <c r="E141" s="58" t="s">
        <v>2247</v>
      </c>
      <c r="F141" s="58" t="str">
        <f t="shared" si="2"/>
        <v>{ "v": "CAM_LV4_139", "n" : { "SYS": "SIC CACAO", "EN": "SIC CACAO" }, "vi" : [ { "r": "A-30", "o": "=", "t": "v", "v": "CAM_LV3_183" } ] },</v>
      </c>
    </row>
    <row r="142" spans="1:6">
      <c r="A142" s="58" t="s">
        <v>1079</v>
      </c>
      <c r="B142" s="58" t="s">
        <v>2733</v>
      </c>
      <c r="C142" s="58" t="s">
        <v>2734</v>
      </c>
      <c r="D142" s="58" t="s">
        <v>2734</v>
      </c>
      <c r="E142" s="58" t="s">
        <v>2247</v>
      </c>
      <c r="F142" s="58" t="str">
        <f t="shared" si="2"/>
        <v>{ "v": "CAM_LV4_140", "n" : { "SYS": "MAKEPE MATURITE", "EN": "MAKEPE MATURITE" }, "vi" : [ { "r": "A-30", "o": "=", "t": "v", "v": "CAM_LV3_183" } ] },</v>
      </c>
    </row>
    <row r="143" spans="1:6">
      <c r="A143" s="58" t="s">
        <v>1079</v>
      </c>
      <c r="B143" s="58" t="s">
        <v>2735</v>
      </c>
      <c r="C143" s="58" t="s">
        <v>2736</v>
      </c>
      <c r="D143" s="58" t="s">
        <v>2736</v>
      </c>
      <c r="E143" s="58" t="s">
        <v>2247</v>
      </c>
      <c r="F143" s="58" t="str">
        <f t="shared" si="2"/>
        <v>{ "v": "CAM_LV4_141", "n" : { "SYS": "CITE SIC", "EN": "CITE SIC" }, "vi" : [ { "r": "A-30", "o": "=", "t": "v", "v": "CAM_LV3_183" } ] },</v>
      </c>
    </row>
    <row r="144" spans="1:6">
      <c r="A144" s="58" t="s">
        <v>1079</v>
      </c>
      <c r="B144" s="58" t="s">
        <v>2737</v>
      </c>
      <c r="C144" s="58" t="s">
        <v>2738</v>
      </c>
      <c r="D144" s="58" t="s">
        <v>2738</v>
      </c>
      <c r="E144" s="58" t="s">
        <v>2247</v>
      </c>
      <c r="F144" s="58" t="str">
        <f t="shared" si="2"/>
        <v>{ "v": "CAM_LV4_142", "n" : { "SYS": "BEPANDDA JOURDAIN", "EN": "BEPANDDA JOURDAIN" }, "vi" : [ { "r": "A-30", "o": "=", "t": "v", "v": "CAM_LV3_183" } ] },</v>
      </c>
    </row>
    <row r="145" spans="1:6">
      <c r="A145" s="58" t="s">
        <v>1079</v>
      </c>
      <c r="B145" s="58" t="s">
        <v>2739</v>
      </c>
      <c r="C145" s="58" t="s">
        <v>2488</v>
      </c>
      <c r="D145" s="58" t="s">
        <v>2488</v>
      </c>
      <c r="E145" s="58" t="s">
        <v>2247</v>
      </c>
      <c r="F145" s="58" t="str">
        <f t="shared" si="2"/>
        <v>{ "v": "CAM_LV4_143", "n" : { "SYS": "BONEWONDA", "EN": "BONEWONDA" }, "vi" : [ { "r": "A-30", "o": "=", "t": "v", "v": "CAM_LV3_183" } ] },</v>
      </c>
    </row>
    <row r="146" spans="1:6">
      <c r="A146" s="58" t="s">
        <v>1079</v>
      </c>
      <c r="B146" s="58" t="s">
        <v>2740</v>
      </c>
      <c r="C146" s="58" t="s">
        <v>2741</v>
      </c>
      <c r="D146" s="58" t="s">
        <v>2741</v>
      </c>
      <c r="E146" s="58" t="s">
        <v>2247</v>
      </c>
      <c r="F146" s="58" t="str">
        <f t="shared" si="2"/>
        <v>{ "v": "CAM_LV4_144", "n" : { "SYS": "BEPANDA CACAO BARRY", "EN": "BEPANDA CACAO BARRY" }, "vi" : [ { "r": "A-30", "o": "=", "t": "v", "v": "CAM_LV3_183" } ] },</v>
      </c>
    </row>
    <row r="147" spans="1:6">
      <c r="A147" s="58" t="s">
        <v>1079</v>
      </c>
      <c r="B147" s="58" t="s">
        <v>2742</v>
      </c>
      <c r="C147" s="58" t="s">
        <v>2743</v>
      </c>
      <c r="D147" s="58" t="s">
        <v>2743</v>
      </c>
      <c r="E147" s="58" t="s">
        <v>2247</v>
      </c>
      <c r="F147" s="58" t="str">
        <f t="shared" si="2"/>
        <v>{ "v": "CAM_LV4_145", "n" : { "SYS": "BEPANDA OMNISPORT", "EN": "BEPANDA OMNISPORT" }, "vi" : [ { "r": "A-30", "o": "=", "t": "v", "v": "CAM_LV3_183" } ] },</v>
      </c>
    </row>
    <row r="148" spans="1:6">
      <c r="A148" s="58" t="s">
        <v>1079</v>
      </c>
      <c r="B148" s="58" t="s">
        <v>2744</v>
      </c>
      <c r="C148" s="58" t="s">
        <v>2745</v>
      </c>
      <c r="D148" s="58" t="s">
        <v>2745</v>
      </c>
      <c r="E148" s="58" t="s">
        <v>2247</v>
      </c>
      <c r="F148" s="58" t="str">
        <f t="shared" si="2"/>
        <v>{ "v": "CAM_LV4_146", "n" : { "SYS": "BEPANDA VOIRIE", "EN": "BEPANDA VOIRIE" }, "vi" : [ { "r": "A-30", "o": "=", "t": "v", "v": "CAM_LV3_183" } ] },</v>
      </c>
    </row>
    <row r="149" spans="1:6">
      <c r="A149" s="58" t="s">
        <v>1079</v>
      </c>
      <c r="B149" s="58" t="s">
        <v>2746</v>
      </c>
      <c r="C149" s="58" t="s">
        <v>2747</v>
      </c>
      <c r="D149" s="58" t="s">
        <v>2747</v>
      </c>
      <c r="E149" s="58" t="s">
        <v>2247</v>
      </c>
      <c r="F149" s="58" t="str">
        <f t="shared" si="2"/>
        <v>{ "v": "CAM_LV4_147", "n" : { "SYS": "BEPANDA YONYONG", "EN": "BEPANDA YONYONG" }, "vi" : [ { "r": "A-30", "o": "=", "t": "v", "v": "CAM_LV3_183" } ] },</v>
      </c>
    </row>
    <row r="150" spans="1:6">
      <c r="A150" s="58" t="s">
        <v>1079</v>
      </c>
      <c r="B150" s="58" t="s">
        <v>2748</v>
      </c>
      <c r="C150" s="58" t="s">
        <v>2749</v>
      </c>
      <c r="D150" s="58" t="s">
        <v>2749</v>
      </c>
      <c r="E150" s="58" t="s">
        <v>2247</v>
      </c>
      <c r="F150" s="58" t="str">
        <f t="shared" si="2"/>
        <v>{ "v": "CAM_LV4_148", "n" : { "SYS": "BEPANDA TSF", "EN": "BEPANDA TSF" }, "vi" : [ { "r": "A-30", "o": "=", "t": "v", "v": "CAM_LV3_183" } ] },</v>
      </c>
    </row>
    <row r="151" spans="1:6">
      <c r="A151" s="58" t="s">
        <v>1079</v>
      </c>
      <c r="B151" s="58" t="s">
        <v>2750</v>
      </c>
      <c r="C151" s="58" t="s">
        <v>2751</v>
      </c>
      <c r="D151" s="58" t="s">
        <v>2751</v>
      </c>
      <c r="E151" s="58" t="s">
        <v>2247</v>
      </c>
      <c r="F151" s="58" t="str">
        <f t="shared" si="2"/>
        <v>{ "v": "CAM_LV4_149", "n" : { "SYS": "BEPANDA CAMTEL", "EN": "BEPANDA CAMTEL" }, "vi" : [ { "r": "A-30", "o": "=", "t": "v", "v": "CAM_LV3_183" } ] },</v>
      </c>
    </row>
    <row r="152" spans="1:6">
      <c r="A152" s="58" t="s">
        <v>1079</v>
      </c>
      <c r="B152" s="58" t="s">
        <v>2752</v>
      </c>
      <c r="C152" s="58" t="s">
        <v>2753</v>
      </c>
      <c r="D152" s="58" t="s">
        <v>2753</v>
      </c>
      <c r="E152" s="58" t="s">
        <v>2247</v>
      </c>
      <c r="F152" s="58" t="str">
        <f t="shared" si="2"/>
        <v>{ "v": "CAM_LV4_150", "n" : { "SYS": "BONAMOUSSONGO", "EN": "BONAMOUSSONGO" }, "vi" : [ { "r": "A-30", "o": "=", "t": "v", "v": "CAM_LV3_183" } ] },</v>
      </c>
    </row>
    <row r="153" spans="1:6">
      <c r="A153" s="58" t="s">
        <v>1079</v>
      </c>
      <c r="B153" s="58" t="s">
        <v>2754</v>
      </c>
      <c r="C153" s="58" t="s">
        <v>2755</v>
      </c>
      <c r="D153" s="58" t="s">
        <v>2755</v>
      </c>
      <c r="E153" s="58" t="s">
        <v>2247</v>
      </c>
      <c r="F153" s="58" t="str">
        <f t="shared" si="2"/>
        <v>{ "v": "CAM_LV4_151", "n" : { "SYS": "BEPANDA PETIT WOURI", "EN": "BEPANDA PETIT WOURI" }, "vi" : [ { "r": "A-30", "o": "=", "t": "v", "v": "CAM_LV3_183" } ] },</v>
      </c>
    </row>
    <row r="154" spans="1:6">
      <c r="A154" s="58" t="s">
        <v>1079</v>
      </c>
      <c r="B154" s="58" t="s">
        <v>2756</v>
      </c>
      <c r="C154" s="58" t="s">
        <v>2757</v>
      </c>
      <c r="D154" s="58" t="s">
        <v>2757</v>
      </c>
      <c r="E154" s="58" t="s">
        <v>2247</v>
      </c>
      <c r="F154" s="58" t="str">
        <f t="shared" si="2"/>
        <v>{ "v": "CAM_LV4_152", "n" : { "SYS": "BEPANDA GENTIL", "EN": "BEPANDA GENTIL" }, "vi" : [ { "r": "A-30", "o": "=", "t": "v", "v": "CAM_LV3_183" } ] },</v>
      </c>
    </row>
    <row r="155" spans="1:6">
      <c r="A155" s="58" t="s">
        <v>967</v>
      </c>
      <c r="B155" s="58" t="s">
        <v>2758</v>
      </c>
      <c r="C155" s="58" t="s">
        <v>2759</v>
      </c>
      <c r="D155" s="58" t="s">
        <v>2759</v>
      </c>
      <c r="E155" s="58" t="s">
        <v>2134</v>
      </c>
      <c r="F155" s="58" t="str">
        <f t="shared" si="2"/>
        <v>{ "v": "CAM_LV4_153", "n" : { "SYS": "BASTOS", "EN": "BASTOS" }, "vi" : [ { "r": "A-30", "o": "=", "t": "v", "v": "CAM_LV3_84" } ] },</v>
      </c>
    </row>
    <row r="156" spans="1:6">
      <c r="A156" s="58" t="s">
        <v>967</v>
      </c>
      <c r="B156" s="58" t="s">
        <v>2760</v>
      </c>
      <c r="C156" s="58" t="s">
        <v>2761</v>
      </c>
      <c r="D156" s="58" t="s">
        <v>2761</v>
      </c>
      <c r="E156" s="58" t="s">
        <v>2134</v>
      </c>
      <c r="F156" s="58" t="str">
        <f t="shared" si="2"/>
        <v>{ "v": "CAM_LV4_154", "n" : { "SYS": "ELIG-EDZOA", "EN": "ELIG-EDZOA" }, "vi" : [ { "r": "A-30", "o": "=", "t": "v", "v": "CAM_LV3_84" } ] },</v>
      </c>
    </row>
    <row r="157" spans="1:6">
      <c r="A157" s="58" t="s">
        <v>967</v>
      </c>
      <c r="B157" s="58" t="s">
        <v>2762</v>
      </c>
      <c r="C157" s="58" t="s">
        <v>2763</v>
      </c>
      <c r="D157" s="58" t="s">
        <v>2763</v>
      </c>
      <c r="E157" s="58" t="s">
        <v>2134</v>
      </c>
      <c r="F157" s="58" t="str">
        <f t="shared" si="2"/>
        <v>{ "v": "CAM_LV4_155", "n" : { "SYS": "EMANA", "EN": "EMANA" }, "vi" : [ { "r": "A-30", "o": "=", "t": "v", "v": "CAM_LV3_84" } ] },</v>
      </c>
    </row>
    <row r="158" spans="1:6">
      <c r="A158" s="58" t="s">
        <v>967</v>
      </c>
      <c r="B158" s="58" t="s">
        <v>2764</v>
      </c>
      <c r="C158" s="58" t="s">
        <v>2765</v>
      </c>
      <c r="D158" s="58" t="s">
        <v>2765</v>
      </c>
      <c r="E158" s="58" t="s">
        <v>2134</v>
      </c>
      <c r="F158" s="58" t="str">
        <f t="shared" si="2"/>
        <v>{ "v": "CAM_LV4_156", "n" : { "SYS": "ETOA MEKI 1", "EN": "ETOA MEKI 1" }, "vi" : [ { "r": "A-30", "o": "=", "t": "v", "v": "CAM_LV3_84" } ] },</v>
      </c>
    </row>
    <row r="159" spans="1:6">
      <c r="A159" s="58" t="s">
        <v>967</v>
      </c>
      <c r="B159" s="58" t="s">
        <v>2766</v>
      </c>
      <c r="C159" s="58" t="s">
        <v>2767</v>
      </c>
      <c r="D159" s="58" t="s">
        <v>2767</v>
      </c>
      <c r="E159" s="58" t="s">
        <v>2134</v>
      </c>
      <c r="F159" s="58" t="str">
        <f t="shared" si="2"/>
        <v>{ "v": "CAM_LV4_157", "n" : { "SYS": "MESSASSI", "EN": "MESSASSI" }, "vi" : [ { "r": "A-30", "o": "=", "t": "v", "v": "CAM_LV3_84" } ] },</v>
      </c>
    </row>
    <row r="160" spans="1:6">
      <c r="A160" s="58" t="s">
        <v>967</v>
      </c>
      <c r="B160" s="58" t="s">
        <v>2768</v>
      </c>
      <c r="C160" s="58" t="s">
        <v>2769</v>
      </c>
      <c r="D160" s="58" t="s">
        <v>2769</v>
      </c>
      <c r="E160" s="58" t="s">
        <v>2134</v>
      </c>
      <c r="F160" s="58" t="str">
        <f t="shared" si="2"/>
        <v>{ "v": "CAM_LV4_158", "n" : { "SYS": "OLEMBE", "EN": "OLEMBE" }, "vi" : [ { "r": "A-30", "o": "=", "t": "v", "v": "CAM_LV3_84" } ] },</v>
      </c>
    </row>
    <row r="161" spans="1:6">
      <c r="A161" s="58" t="s">
        <v>967</v>
      </c>
      <c r="B161" s="58" t="s">
        <v>2770</v>
      </c>
      <c r="C161" s="58" t="s">
        <v>2771</v>
      </c>
      <c r="D161" s="58" t="s">
        <v>2771</v>
      </c>
      <c r="E161" s="58" t="s">
        <v>2134</v>
      </c>
      <c r="F161" s="58" t="str">
        <f t="shared" si="2"/>
        <v>{ "v": "CAM_LV4_159", "n" : { "SYS": "MBALLA 1", "EN": "MBALLA 1" }, "vi" : [ { "r": "A-30", "o": "=", "t": "v", "v": "CAM_LV3_84" } ] },</v>
      </c>
    </row>
    <row r="162" spans="1:6">
      <c r="A162" s="58" t="s">
        <v>967</v>
      </c>
      <c r="B162" s="58" t="s">
        <v>2772</v>
      </c>
      <c r="C162" s="58" t="s">
        <v>2773</v>
      </c>
      <c r="D162" s="58" t="s">
        <v>2773</v>
      </c>
      <c r="E162" s="58" t="s">
        <v>2134</v>
      </c>
      <c r="F162" s="58" t="str">
        <f t="shared" si="2"/>
        <v>{ "v": "CAM_LV4_160", "n" : { "SYS": "MBALLA 2", "EN": "MBALLA 2" }, "vi" : [ { "r": "A-30", "o": "=", "t": "v", "v": "CAM_LV3_84" } ] },</v>
      </c>
    </row>
    <row r="163" spans="1:6">
      <c r="A163" s="58" t="s">
        <v>967</v>
      </c>
      <c r="B163" s="58" t="s">
        <v>2774</v>
      </c>
      <c r="C163" s="58" t="s">
        <v>2775</v>
      </c>
      <c r="D163" s="58" t="s">
        <v>2775</v>
      </c>
      <c r="E163" s="58" t="s">
        <v>2134</v>
      </c>
      <c r="F163" s="58" t="str">
        <f t="shared" si="2"/>
        <v>{ "v": "CAM_LV4_161", "n" : { "SYS": "MBALLA 3", "EN": "MBALLA 3" }, "vi" : [ { "r": "A-30", "o": "=", "t": "v", "v": "CAM_LV3_84" } ] },</v>
      </c>
    </row>
    <row r="164" spans="1:6">
      <c r="A164" s="58" t="s">
        <v>967</v>
      </c>
      <c r="B164" s="58" t="s">
        <v>2776</v>
      </c>
      <c r="C164" s="58" t="s">
        <v>2777</v>
      </c>
      <c r="D164" s="58" t="s">
        <v>2777</v>
      </c>
      <c r="E164" s="58" t="s">
        <v>2134</v>
      </c>
      <c r="F164" s="58" t="str">
        <f t="shared" si="2"/>
        <v>{ "v": "CAM_LV4_162", "n" : { "SYS": "NLONGKAK", "EN": "NLONGKAK" }, "vi" : [ { "r": "A-30", "o": "=", "t": "v", "v": "CAM_LV3_84" } ] },</v>
      </c>
    </row>
    <row r="165" spans="1:6">
      <c r="A165" s="58" t="s">
        <v>967</v>
      </c>
      <c r="B165" s="58" t="s">
        <v>2778</v>
      </c>
      <c r="C165" s="58" t="s">
        <v>2779</v>
      </c>
      <c r="D165" s="58" t="s">
        <v>2779</v>
      </c>
      <c r="E165" s="58" t="s">
        <v>2134</v>
      </c>
      <c r="F165" s="58" t="str">
        <f t="shared" si="2"/>
        <v>{ "v": "CAM_LV4_163", "n" : { "SYS": "MANGUIER", "EN": "MANGUIER" }, "vi" : [ { "r": "A-30", "o": "=", "t": "v", "v": "CAM_LV3_84" } ] },</v>
      </c>
    </row>
    <row r="166" spans="1:6">
      <c r="A166" s="58" t="s">
        <v>967</v>
      </c>
      <c r="B166" s="58" t="s">
        <v>2780</v>
      </c>
      <c r="C166" s="58" t="s">
        <v>2781</v>
      </c>
      <c r="D166" s="58" t="s">
        <v>2781</v>
      </c>
      <c r="E166" s="58" t="s">
        <v>2134</v>
      </c>
      <c r="F166" s="58" t="str">
        <f t="shared" si="2"/>
        <v>{ "v": "CAM_LV4_164", "n" : { "SYS": "ETOUDI", "EN": "ETOUDI" }, "vi" : [ { "r": "A-30", "o": "=", "t": "v", "v": "CAM_LV3_84" } ] },</v>
      </c>
    </row>
    <row r="167" spans="1:6">
      <c r="A167" s="58" t="s">
        <v>967</v>
      </c>
      <c r="B167" s="58" t="s">
        <v>2782</v>
      </c>
      <c r="C167" s="58" t="s">
        <v>2783</v>
      </c>
      <c r="D167" s="58" t="s">
        <v>2783</v>
      </c>
      <c r="E167" s="58" t="s">
        <v>2134</v>
      </c>
      <c r="F167" s="58" t="str">
        <f t="shared" si="2"/>
        <v>{ "v": "CAM_LV4_165", "n" : { "SYS": "CENTRE COMMERCIAL", "EN": "CENTRE COMMERCIAL" }, "vi" : [ { "r": "A-30", "o": "=", "t": "v", "v": "CAM_LV3_84" } ] },</v>
      </c>
    </row>
    <row r="168" spans="1:6">
      <c r="A168" s="58" t="s">
        <v>967</v>
      </c>
      <c r="B168" s="58" t="s">
        <v>2784</v>
      </c>
      <c r="C168" s="58" t="s">
        <v>2785</v>
      </c>
      <c r="D168" s="58" t="s">
        <v>2785</v>
      </c>
      <c r="E168" s="58" t="s">
        <v>2134</v>
      </c>
      <c r="F168" s="58" t="str">
        <f t="shared" si="2"/>
        <v>{ "v": "CAM_LV4_166", "n" : { "SYS": "ELIG-ESSONO", "EN": "ELIG-ESSONO" }, "vi" : [ { "r": "A-30", "o": "=", "t": "v", "v": "CAM_LV3_84" } ] },</v>
      </c>
    </row>
    <row r="169" spans="1:6">
      <c r="A169" s="58" t="s">
        <v>967</v>
      </c>
      <c r="B169" s="58" t="s">
        <v>2786</v>
      </c>
      <c r="C169" s="58" t="s">
        <v>2787</v>
      </c>
      <c r="D169" s="58" t="s">
        <v>2787</v>
      </c>
      <c r="E169" s="58" t="s">
        <v>2134</v>
      </c>
      <c r="F169" s="58" t="str">
        <f t="shared" si="2"/>
        <v>{ "v": "CAM_LV4_167", "n" : { "SYS": "ETOA MEKI 2", "EN": "ETOA MEKI 2" }, "vi" : [ { "r": "A-30", "o": "=", "t": "v", "v": "CAM_LV3_84" } ] },</v>
      </c>
    </row>
    <row r="170" spans="1:6">
      <c r="A170" s="58" t="s">
        <v>967</v>
      </c>
      <c r="B170" s="58" t="s">
        <v>2788</v>
      </c>
      <c r="C170" s="58" t="s">
        <v>2789</v>
      </c>
      <c r="D170" s="58" t="s">
        <v>2789</v>
      </c>
      <c r="E170" s="58" t="s">
        <v>2134</v>
      </c>
      <c r="F170" s="58" t="str">
        <f t="shared" si="2"/>
        <v>{ "v": "CAM_LV4_168", "n" : { "SYS": "NKOLONDOM", "EN": "NKOLONDOM" }, "vi" : [ { "r": "A-30", "o": "=", "t": "v", "v": "CAM_LV3_84" } ] },</v>
      </c>
    </row>
    <row r="171" spans="1:6">
      <c r="A171" s="58" t="s">
        <v>967</v>
      </c>
      <c r="B171" s="58" t="s">
        <v>2790</v>
      </c>
      <c r="C171" s="58" t="s">
        <v>2791</v>
      </c>
      <c r="D171" s="58" t="s">
        <v>2791</v>
      </c>
      <c r="E171" s="58" t="s">
        <v>2134</v>
      </c>
      <c r="F171" s="58" t="str">
        <f t="shared" si="2"/>
        <v>{ "v": "CAM_LV4_169", "n" : { "SYS": "NYOM", "EN": "NYOM" }, "vi" : [ { "r": "A-30", "o": "=", "t": "v", "v": "CAM_LV3_84" } ] },</v>
      </c>
    </row>
    <row r="172" spans="1:6">
      <c r="A172" s="58" t="s">
        <v>967</v>
      </c>
      <c r="B172" s="58" t="s">
        <v>2792</v>
      </c>
      <c r="C172" s="58" t="s">
        <v>2793</v>
      </c>
      <c r="D172" s="58" t="s">
        <v>2793</v>
      </c>
      <c r="E172" s="58" t="s">
        <v>2134</v>
      </c>
      <c r="F172" s="58" t="str">
        <f t="shared" si="2"/>
        <v>{ "v": "CAM_LV4_170", "n" : { "SYS": "OKOLO", "EN": "OKOLO" }, "vi" : [ { "r": "A-30", "o": "=", "t": "v", "v": "CAM_LV3_84" } ] },</v>
      </c>
    </row>
    <row r="173" spans="1:6">
      <c r="A173" s="58" t="s">
        <v>967</v>
      </c>
      <c r="B173" s="58" t="s">
        <v>2794</v>
      </c>
      <c r="C173" s="58" t="s">
        <v>2795</v>
      </c>
      <c r="D173" s="58" t="s">
        <v>2795</v>
      </c>
      <c r="E173" s="58" t="s">
        <v>2134</v>
      </c>
      <c r="F173" s="58" t="str">
        <f t="shared" si="2"/>
        <v>{ "v": "CAM_LV4_171", "n" : { "SYS": "TONGOLO", "EN": "TONGOLO" }, "vi" : [ { "r": "A-30", "o": "=", "t": "v", "v": "CAM_LV3_84" } ] },</v>
      </c>
    </row>
    <row r="174" spans="1:6">
      <c r="A174" s="58" t="s">
        <v>968</v>
      </c>
      <c r="B174" s="58" t="s">
        <v>2796</v>
      </c>
      <c r="C174" s="58" t="s">
        <v>2797</v>
      </c>
      <c r="D174" s="58" t="s">
        <v>2797</v>
      </c>
      <c r="E174" s="58" t="s">
        <v>2136</v>
      </c>
      <c r="F174" s="58" t="str">
        <f t="shared" si="2"/>
        <v>{ "v": "CAM_LV4_172", "n" : { "SYS": "CITE VERTE ", "EN": "CITE VERTE " }, "vi" : [ { "r": "A-30", "o": "=", "t": "v", "v": "CAM_LV3_85" } ] },</v>
      </c>
    </row>
    <row r="175" spans="1:6">
      <c r="A175" s="58" t="s">
        <v>968</v>
      </c>
      <c r="B175" s="58" t="s">
        <v>2798</v>
      </c>
      <c r="C175" s="58" t="s">
        <v>2799</v>
      </c>
      <c r="D175" s="58" t="s">
        <v>2799</v>
      </c>
      <c r="E175" s="58" t="s">
        <v>2136</v>
      </c>
      <c r="F175" s="58" t="str">
        <f t="shared" si="2"/>
        <v>{ "v": "CAM_LV4_173", "n" : { "SYS": "MOKOLO", "EN": "MOKOLO" }, "vi" : [ { "r": "A-30", "o": "=", "t": "v", "v": "CAM_LV3_85" } ] },</v>
      </c>
    </row>
    <row r="176" spans="1:6">
      <c r="A176" s="58" t="s">
        <v>968</v>
      </c>
      <c r="B176" s="58" t="s">
        <v>2800</v>
      </c>
      <c r="C176" s="58" t="s">
        <v>2801</v>
      </c>
      <c r="D176" s="58" t="s">
        <v>2801</v>
      </c>
      <c r="E176" s="58" t="s">
        <v>2136</v>
      </c>
      <c r="F176" s="58" t="str">
        <f t="shared" si="2"/>
        <v>{ "v": "CAM_LV4_174", "n" : { "SYS": "EKOUDOU", "EN": "EKOUDOU" }, "vi" : [ { "r": "A-30", "o": "=", "t": "v", "v": "CAM_LV3_85" } ] },</v>
      </c>
    </row>
    <row r="177" spans="1:6">
      <c r="A177" s="58" t="s">
        <v>968</v>
      </c>
      <c r="B177" s="58" t="s">
        <v>2802</v>
      </c>
      <c r="C177" s="58" t="s">
        <v>2803</v>
      </c>
      <c r="D177" s="58" t="s">
        <v>2803</v>
      </c>
      <c r="E177" s="58" t="s">
        <v>2136</v>
      </c>
      <c r="F177" s="58" t="str">
        <f t="shared" si="2"/>
        <v>{ "v": "CAM_LV4_175", "n" : { "SYS": "TSINGA", "EN": "TSINGA" }, "vi" : [ { "r": "A-30", "o": "=", "t": "v", "v": "CAM_LV3_85" } ] },</v>
      </c>
    </row>
    <row r="178" spans="1:6">
      <c r="A178" s="58" t="s">
        <v>968</v>
      </c>
      <c r="B178" s="58" t="s">
        <v>2804</v>
      </c>
      <c r="C178" s="58" t="s">
        <v>2805</v>
      </c>
      <c r="D178" s="58" t="s">
        <v>2805</v>
      </c>
      <c r="E178" s="58" t="s">
        <v>2136</v>
      </c>
      <c r="F178" s="58" t="str">
        <f t="shared" si="2"/>
        <v>{ "v": "CAM_LV4_176", "n" : { "SYS": "NKOM KANA", "EN": "NKOM KANA" }, "vi" : [ { "r": "A-30", "o": "=", "t": "v", "v": "CAM_LV3_85" } ] },</v>
      </c>
    </row>
    <row r="179" spans="1:6">
      <c r="A179" s="58" t="s">
        <v>968</v>
      </c>
      <c r="B179" s="58" t="s">
        <v>2806</v>
      </c>
      <c r="C179" s="58" t="s">
        <v>2807</v>
      </c>
      <c r="D179" s="58" t="s">
        <v>2807</v>
      </c>
      <c r="E179" s="58" t="s">
        <v>2136</v>
      </c>
      <c r="F179" s="58" t="str">
        <f t="shared" si="2"/>
        <v>{ "v": "CAM_LV4_177", "n" : { "SYS": "NTOUGOU", "EN": "NTOUGOU" }, "vi" : [ { "r": "A-30", "o": "=", "t": "v", "v": "CAM_LV3_85" } ] },</v>
      </c>
    </row>
    <row r="180" spans="1:6">
      <c r="A180" s="58" t="s">
        <v>968</v>
      </c>
      <c r="B180" s="58" t="s">
        <v>2808</v>
      </c>
      <c r="C180" s="58" t="s">
        <v>2809</v>
      </c>
      <c r="D180" s="58" t="s">
        <v>2809</v>
      </c>
      <c r="E180" s="58" t="s">
        <v>2136</v>
      </c>
      <c r="F180" s="58" t="str">
        <f t="shared" si="2"/>
        <v>{ "v": "CAM_LV4_178", "n" : { "SYS": "MADAGASCAR", "EN": "MADAGASCAR" }, "vi" : [ { "r": "A-30", "o": "=", "t": "v", "v": "CAM_LV3_85" } ] },</v>
      </c>
    </row>
    <row r="181" spans="1:6">
      <c r="A181" s="58" t="s">
        <v>968</v>
      </c>
      <c r="B181" s="58" t="s">
        <v>2810</v>
      </c>
      <c r="C181" s="58" t="s">
        <v>2811</v>
      </c>
      <c r="D181" s="58" t="s">
        <v>2811</v>
      </c>
      <c r="E181" s="58" t="s">
        <v>2136</v>
      </c>
      <c r="F181" s="58" t="str">
        <f t="shared" si="2"/>
        <v>{ "v": "CAM_LV4_179", "n" : { "SYS": "ECOLE DE POLICE", "EN": "ECOLE DE POLICE" }, "vi" : [ { "r": "A-30", "o": "=", "t": "v", "v": "CAM_LV3_85" } ] },</v>
      </c>
    </row>
    <row r="182" spans="1:6">
      <c r="A182" s="58" t="s">
        <v>968</v>
      </c>
      <c r="B182" s="58" t="s">
        <v>2812</v>
      </c>
      <c r="C182" s="58" t="s">
        <v>2813</v>
      </c>
      <c r="D182" s="58" t="s">
        <v>2813</v>
      </c>
      <c r="E182" s="58" t="s">
        <v>2136</v>
      </c>
      <c r="F182" s="58" t="str">
        <f t="shared" si="2"/>
        <v>{ "v": "CAM_LV4_180", "n" : { "SYS": "GRAND MESSA", "EN": "GRAND MESSA" }, "vi" : [ { "r": "A-30", "o": "=", "t": "v", "v": "CAM_LV3_85" } ] },</v>
      </c>
    </row>
    <row r="183" spans="1:6">
      <c r="A183" s="58" t="s">
        <v>968</v>
      </c>
      <c r="B183" s="58" t="s">
        <v>2814</v>
      </c>
      <c r="C183" s="58" t="s">
        <v>2815</v>
      </c>
      <c r="D183" s="58" t="s">
        <v>2815</v>
      </c>
      <c r="E183" s="58" t="s">
        <v>2136</v>
      </c>
      <c r="F183" s="58" t="str">
        <f t="shared" si="2"/>
        <v>{ "v": "CAM_LV4_181", "n" : { "SYS": "FEBE", "EN": "FEBE" }, "vi" : [ { "r": "A-30", "o": "=", "t": "v", "v": "CAM_LV3_85" } ] },</v>
      </c>
    </row>
    <row r="184" spans="1:6">
      <c r="A184" s="58" t="s">
        <v>968</v>
      </c>
      <c r="B184" s="58" t="s">
        <v>2816</v>
      </c>
      <c r="C184" s="58" t="s">
        <v>2817</v>
      </c>
      <c r="D184" s="58" t="s">
        <v>2817</v>
      </c>
      <c r="E184" s="58" t="s">
        <v>2136</v>
      </c>
      <c r="F184" s="58" t="str">
        <f t="shared" si="2"/>
        <v>{ "v": "CAM_LV4_182", "n" : { "SYS": "OLIGA", "EN": "OLIGA" }, "vi" : [ { "r": "A-30", "o": "=", "t": "v", "v": "CAM_LV3_85" } ] },</v>
      </c>
    </row>
    <row r="185" spans="1:6">
      <c r="A185" s="58" t="s">
        <v>969</v>
      </c>
      <c r="B185" s="58" t="s">
        <v>2818</v>
      </c>
      <c r="C185" s="58" t="s">
        <v>2819</v>
      </c>
      <c r="D185" s="58" t="s">
        <v>2819</v>
      </c>
      <c r="E185" s="58" t="s">
        <v>2137</v>
      </c>
      <c r="F185" s="58" t="str">
        <f t="shared" si="2"/>
        <v>{ "v": "CAM_LV4_183", "n" : { "SYS": "OBILI", "EN": "OBILI" }, "vi" : [ { "r": "A-30", "o": "=", "t": "v", "v": "CAM_LV3_86" } ] },</v>
      </c>
    </row>
    <row r="186" spans="1:6">
      <c r="A186" s="58" t="s">
        <v>969</v>
      </c>
      <c r="B186" s="58" t="s">
        <v>2820</v>
      </c>
      <c r="C186" s="58" t="s">
        <v>2821</v>
      </c>
      <c r="D186" s="58" t="s">
        <v>2821</v>
      </c>
      <c r="E186" s="58" t="s">
        <v>2137</v>
      </c>
      <c r="F186" s="58" t="str">
        <f t="shared" si="2"/>
        <v>{ "v": "CAM_LV4_184", "n" : { "SYS": "NGOA EKELE 3", "EN": "NGOA EKELE 3" }, "vi" : [ { "r": "A-30", "o": "=", "t": "v", "v": "CAM_LV3_86" } ] },</v>
      </c>
    </row>
    <row r="187" spans="1:6">
      <c r="A187" s="58" t="s">
        <v>969</v>
      </c>
      <c r="B187" s="58" t="s">
        <v>2822</v>
      </c>
      <c r="C187" s="58" t="s">
        <v>2823</v>
      </c>
      <c r="D187" s="58" t="s">
        <v>2823</v>
      </c>
      <c r="E187" s="58" t="s">
        <v>2137</v>
      </c>
      <c r="F187" s="58" t="str">
        <f t="shared" si="2"/>
        <v>{ "v": "CAM_LV4_185", "n" : { "SYS": "AHALA 1", "EN": "AHALA 1" }, "vi" : [ { "r": "A-30", "o": "=", "t": "v", "v": "CAM_LV3_86" } ] },</v>
      </c>
    </row>
    <row r="188" spans="1:6">
      <c r="A188" s="58" t="s">
        <v>969</v>
      </c>
      <c r="B188" s="58" t="s">
        <v>2824</v>
      </c>
      <c r="C188" s="58" t="s">
        <v>2825</v>
      </c>
      <c r="D188" s="58" t="s">
        <v>2825</v>
      </c>
      <c r="E188" s="58" t="s">
        <v>2137</v>
      </c>
      <c r="F188" s="58" t="str">
        <f t="shared" si="2"/>
        <v>{ "v": "CAM_LV4_186", "n" : { "SYS": "EFOULAN", "EN": "EFOULAN" }, "vi" : [ { "r": "A-30", "o": "=", "t": "v", "v": "CAM_LV3_86" } ] },</v>
      </c>
    </row>
    <row r="189" spans="1:6">
      <c r="A189" s="58" t="s">
        <v>969</v>
      </c>
      <c r="B189" s="58" t="s">
        <v>2826</v>
      </c>
      <c r="C189" s="58" t="s">
        <v>2827</v>
      </c>
      <c r="D189" s="58" t="s">
        <v>2827</v>
      </c>
      <c r="E189" s="58" t="s">
        <v>2137</v>
      </c>
      <c r="F189" s="58" t="str">
        <f t="shared" si="2"/>
        <v>{ "v": "CAM_LV4_187", "n" : { "SYS": "OBOBOGO", "EN": "OBOBOGO" }, "vi" : [ { "r": "A-30", "o": "=", "t": "v", "v": "CAM_LV3_86" } ] },</v>
      </c>
    </row>
    <row r="190" spans="1:6">
      <c r="A190" s="58" t="s">
        <v>969</v>
      </c>
      <c r="B190" s="58" t="s">
        <v>2828</v>
      </c>
      <c r="C190" s="58" t="s">
        <v>2829</v>
      </c>
      <c r="D190" s="58" t="s">
        <v>2829</v>
      </c>
      <c r="E190" s="58" t="s">
        <v>2137</v>
      </c>
      <c r="F190" s="58" t="str">
        <f t="shared" si="2"/>
        <v>{ "v": "CAM_LV4_188", "n" : { "SYS": "NSAM", "EN": "NSAM" }, "vi" : [ { "r": "A-30", "o": "=", "t": "v", "v": "CAM_LV3_86" } ] },</v>
      </c>
    </row>
    <row r="191" spans="1:6">
      <c r="A191" s="58" t="s">
        <v>969</v>
      </c>
      <c r="B191" s="58" t="s">
        <v>2830</v>
      </c>
      <c r="C191" s="58" t="s">
        <v>2831</v>
      </c>
      <c r="D191" s="58" t="s">
        <v>2831</v>
      </c>
      <c r="E191" s="58" t="s">
        <v>2137</v>
      </c>
      <c r="F191" s="58" t="str">
        <f t="shared" si="2"/>
        <v>{ "v": "CAM_LV4_189", "n" : { "SYS": "AFANAYO 1", "EN": "AFANAYO 1" }, "vi" : [ { "r": "A-30", "o": "=", "t": "v", "v": "CAM_LV3_86" } ] },</v>
      </c>
    </row>
    <row r="192" spans="1:6">
      <c r="A192" s="58" t="s">
        <v>969</v>
      </c>
      <c r="B192" s="58" t="s">
        <v>2832</v>
      </c>
      <c r="C192" s="58" t="s">
        <v>2833</v>
      </c>
      <c r="D192" s="58" t="s">
        <v>2833</v>
      </c>
      <c r="E192" s="58" t="s">
        <v>2137</v>
      </c>
      <c r="F192" s="58" t="str">
        <f t="shared" si="2"/>
        <v>{ "v": "CAM_LV4_190", "n" : { "SYS": "OLEZOA", "EN": "OLEZOA" }, "vi" : [ { "r": "A-30", "o": "=", "t": "v", "v": "CAM_LV3_86" } ] },</v>
      </c>
    </row>
    <row r="193" spans="1:6">
      <c r="A193" s="58" t="s">
        <v>969</v>
      </c>
      <c r="B193" s="58" t="s">
        <v>2834</v>
      </c>
      <c r="C193" s="58" t="s">
        <v>2835</v>
      </c>
      <c r="D193" s="58" t="s">
        <v>2835</v>
      </c>
      <c r="E193" s="58" t="s">
        <v>2137</v>
      </c>
      <c r="F193" s="58" t="str">
        <f t="shared" si="2"/>
        <v>{ "v": "CAM_LV4_191", "n" : { "SYS": "DAKAR", "EN": "DAKAR" }, "vi" : [ { "r": "A-30", "o": "=", "t": "v", "v": "CAM_LV3_86" } ] },</v>
      </c>
    </row>
    <row r="194" spans="1:6">
      <c r="A194" s="58" t="s">
        <v>969</v>
      </c>
      <c r="B194" s="58" t="s">
        <v>2836</v>
      </c>
      <c r="C194" s="58" t="s">
        <v>2837</v>
      </c>
      <c r="D194" s="58" t="s">
        <v>2837</v>
      </c>
      <c r="E194" s="58" t="s">
        <v>2137</v>
      </c>
      <c r="F194" s="58" t="str">
        <f t="shared" si="2"/>
        <v>{ "v": "CAM_LV4_192", "n" : { "SYS": "AFANAYO 2", "EN": "AFANAYO 2" }, "vi" : [ { "r": "A-30", "o": "=", "t": "v", "v": "CAM_LV3_86" } ] },</v>
      </c>
    </row>
    <row r="195" spans="1:6">
      <c r="A195" s="58" t="s">
        <v>969</v>
      </c>
      <c r="B195" s="58" t="s">
        <v>2838</v>
      </c>
      <c r="C195" s="58" t="s">
        <v>2839</v>
      </c>
      <c r="D195" s="58" t="s">
        <v>2839</v>
      </c>
      <c r="E195" s="58" t="s">
        <v>2137</v>
      </c>
      <c r="F195" s="58" t="str">
        <f t="shared" ref="F195:F258" si="3">_xlfn.CONCAT(liststart,B195,listlareport,C195,listlat,D195,area_vis_lv3,E195,areavisend)</f>
        <v>{ "v": "CAM_LV4_193", "n" : { "SYS": "AFANAYO 3", "EN": "AFANAYO 3" }, "vi" : [ { "r": "A-30", "o": "=", "t": "v", "v": "CAM_LV3_86" } ] },</v>
      </c>
    </row>
    <row r="196" spans="1:6">
      <c r="A196" s="58" t="s">
        <v>969</v>
      </c>
      <c r="B196" s="58" t="s">
        <v>2840</v>
      </c>
      <c r="C196" s="58" t="s">
        <v>2841</v>
      </c>
      <c r="D196" s="58" t="s">
        <v>2841</v>
      </c>
      <c r="E196" s="58" t="s">
        <v>2137</v>
      </c>
      <c r="F196" s="58" t="str">
        <f t="shared" si="3"/>
        <v>{ "v": "CAM_LV4_194", "n" : { "SYS": "AFANAYO 4", "EN": "AFANAYO 4" }, "vi" : [ { "r": "A-30", "o": "=", "t": "v", "v": "CAM_LV3_86" } ] },</v>
      </c>
    </row>
    <row r="197" spans="1:6">
      <c r="A197" s="58" t="s">
        <v>969</v>
      </c>
      <c r="B197" s="58" t="s">
        <v>2842</v>
      </c>
      <c r="C197" s="58" t="s">
        <v>2843</v>
      </c>
      <c r="D197" s="58" t="s">
        <v>2843</v>
      </c>
      <c r="E197" s="58" t="s">
        <v>2137</v>
      </c>
      <c r="F197" s="58" t="str">
        <f t="shared" si="3"/>
        <v>{ "v": "CAM_LV4_195", "n" : { "SYS": "AHALA 2", "EN": "AHALA 2" }, "vi" : [ { "r": "A-30", "o": "=", "t": "v", "v": "CAM_LV3_86" } ] },</v>
      </c>
    </row>
    <row r="198" spans="1:6">
      <c r="A198" s="58" t="s">
        <v>969</v>
      </c>
      <c r="B198" s="58" t="s">
        <v>2844</v>
      </c>
      <c r="C198" s="58" t="s">
        <v>2845</v>
      </c>
      <c r="D198" s="58" t="s">
        <v>2845</v>
      </c>
      <c r="E198" s="58" t="s">
        <v>2137</v>
      </c>
      <c r="F198" s="58" t="str">
        <f t="shared" si="3"/>
        <v>{ "v": "CAM_LV4_196", "n" : { "SYS": "ETOA", "EN": "ETOA" }, "vi" : [ { "r": "A-30", "o": "=", "t": "v", "v": "CAM_LV3_86" } ] },</v>
      </c>
    </row>
    <row r="199" spans="1:6">
      <c r="A199" s="58" t="s">
        <v>969</v>
      </c>
      <c r="B199" s="58" t="s">
        <v>2846</v>
      </c>
      <c r="C199" s="58" t="s">
        <v>2847</v>
      </c>
      <c r="D199" s="58" t="s">
        <v>2847</v>
      </c>
      <c r="E199" s="58" t="s">
        <v>2137</v>
      </c>
      <c r="F199" s="58" t="str">
        <f t="shared" si="3"/>
        <v>{ "v": "CAM_LV4_197", "n" : { "SYS": "MEKOUMBOU 1", "EN": "MEKOUMBOU 1" }, "vi" : [ { "r": "A-30", "o": "=", "t": "v", "v": "CAM_LV3_86" } ] },</v>
      </c>
    </row>
    <row r="200" spans="1:6">
      <c r="A200" s="58" t="s">
        <v>969</v>
      </c>
      <c r="B200" s="58" t="s">
        <v>2848</v>
      </c>
      <c r="C200" s="58" t="s">
        <v>2849</v>
      </c>
      <c r="D200" s="58" t="s">
        <v>2849</v>
      </c>
      <c r="E200" s="58" t="s">
        <v>2137</v>
      </c>
      <c r="F200" s="58" t="str">
        <f t="shared" si="3"/>
        <v>{ "v": "CAM_LV4_198", "n" : { "SYS": "MEKOUMBOU 2", "EN": "MEKOUMBOU 2" }, "vi" : [ { "r": "A-30", "o": "=", "t": "v", "v": "CAM_LV3_86" } ] },</v>
      </c>
    </row>
    <row r="201" spans="1:6">
      <c r="A201" s="58" t="s">
        <v>969</v>
      </c>
      <c r="B201" s="58" t="s">
        <v>2850</v>
      </c>
      <c r="C201" s="58" t="s">
        <v>2851</v>
      </c>
      <c r="D201" s="58" t="s">
        <v>2851</v>
      </c>
      <c r="E201" s="58" t="s">
        <v>2137</v>
      </c>
      <c r="F201" s="58" t="str">
        <f t="shared" si="3"/>
        <v>{ "v": "CAM_LV4_199", "n" : { "SYS": "MELEN -2 CENTRE ADMINISTRATIF", "EN": "MELEN -2 CENTRE ADMINISTRATIF" }, "vi" : [ { "r": "A-30", "o": "=", "t": "v", "v": "CAM_LV3_86" } ] },</v>
      </c>
    </row>
    <row r="202" spans="1:6">
      <c r="A202" s="58" t="s">
        <v>969</v>
      </c>
      <c r="B202" s="58" t="s">
        <v>2852</v>
      </c>
      <c r="C202" s="58" t="s">
        <v>2853</v>
      </c>
      <c r="D202" s="58" t="s">
        <v>2853</v>
      </c>
      <c r="E202" s="58" t="s">
        <v>2137</v>
      </c>
      <c r="F202" s="58" t="str">
        <f t="shared" si="3"/>
        <v>{ "v": "CAM_LV4_200", "n" : { "SYS": "NGOA EKELE 1", "EN": "NGOA EKELE 1" }, "vi" : [ { "r": "A-30", "o": "=", "t": "v", "v": "CAM_LV3_86" } ] },</v>
      </c>
    </row>
    <row r="203" spans="1:6">
      <c r="A203" s="58" t="s">
        <v>969</v>
      </c>
      <c r="B203" s="58" t="s">
        <v>2854</v>
      </c>
      <c r="C203" s="58" t="s">
        <v>2855</v>
      </c>
      <c r="D203" s="58" t="s">
        <v>2855</v>
      </c>
      <c r="E203" s="58" t="s">
        <v>2137</v>
      </c>
      <c r="F203" s="58" t="str">
        <f t="shared" si="3"/>
        <v>{ "v": "CAM_LV4_201", "n" : { "SYS": "NGOA EKELE 2", "EN": "NGOA EKELE 2" }, "vi" : [ { "r": "A-30", "o": "=", "t": "v", "v": "CAM_LV3_86" } ] },</v>
      </c>
    </row>
    <row r="204" spans="1:6">
      <c r="A204" s="58" t="s">
        <v>969</v>
      </c>
      <c r="B204" s="58" t="s">
        <v>2856</v>
      </c>
      <c r="C204" s="58" t="s">
        <v>2857</v>
      </c>
      <c r="D204" s="58" t="s">
        <v>2857</v>
      </c>
      <c r="E204" s="58" t="s">
        <v>2137</v>
      </c>
      <c r="F204" s="58" t="str">
        <f t="shared" si="3"/>
        <v>{ "v": "CAM_LV4_202", "n" : { "SYS": "NKOLFON", "EN": "NKOLFON" }, "vi" : [ { "r": "A-30", "o": "=", "t": "v", "v": "CAM_LV3_86" } ] },</v>
      </c>
    </row>
    <row r="205" spans="1:6">
      <c r="A205" s="58" t="s">
        <v>969</v>
      </c>
      <c r="B205" s="58" t="s">
        <v>2858</v>
      </c>
      <c r="C205" s="58" t="s">
        <v>2859</v>
      </c>
      <c r="D205" s="58" t="s">
        <v>2859</v>
      </c>
      <c r="E205" s="58" t="s">
        <v>2137</v>
      </c>
      <c r="F205" s="58" t="str">
        <f t="shared" si="3"/>
        <v>{ "v": "CAM_LV4_203", "n" : { "SYS": "NSIMEYONG 1", "EN": "NSIMEYONG 1" }, "vi" : [ { "r": "A-30", "o": "=", "t": "v", "v": "CAM_LV3_86" } ] },</v>
      </c>
    </row>
    <row r="206" spans="1:6">
      <c r="A206" s="58" t="s">
        <v>969</v>
      </c>
      <c r="B206" s="58" t="s">
        <v>2860</v>
      </c>
      <c r="C206" s="58" t="s">
        <v>2861</v>
      </c>
      <c r="D206" s="58" t="s">
        <v>2861</v>
      </c>
      <c r="E206" s="58" t="s">
        <v>2137</v>
      </c>
      <c r="F206" s="58" t="str">
        <f t="shared" si="3"/>
        <v>{ "v": "CAM_LV4_204", "n" : { "SYS": "NSIMEYONG 2", "EN": "NSIMEYONG 2" }, "vi" : [ { "r": "A-30", "o": "=", "t": "v", "v": "CAM_LV3_86" } ] },</v>
      </c>
    </row>
    <row r="207" spans="1:6">
      <c r="A207" s="58" t="s">
        <v>969</v>
      </c>
      <c r="B207" s="58" t="s">
        <v>2862</v>
      </c>
      <c r="C207" s="58" t="s">
        <v>2863</v>
      </c>
      <c r="D207" s="58" t="s">
        <v>2863</v>
      </c>
      <c r="E207" s="58" t="s">
        <v>2137</v>
      </c>
      <c r="F207" s="58" t="str">
        <f t="shared" si="3"/>
        <v>{ "v": "CAM_LV4_205", "n" : { "SYS": "NSIMEYONG 3", "EN": "NSIMEYONG 3" }, "vi" : [ { "r": "A-30", "o": "=", "t": "v", "v": "CAM_LV3_86" } ] },</v>
      </c>
    </row>
    <row r="208" spans="1:6">
      <c r="A208" s="58" t="s">
        <v>969</v>
      </c>
      <c r="B208" s="58" t="s">
        <v>2864</v>
      </c>
      <c r="C208" s="58" t="s">
        <v>2865</v>
      </c>
      <c r="D208" s="58" t="s">
        <v>2865</v>
      </c>
      <c r="E208" s="58" t="s">
        <v>2137</v>
      </c>
      <c r="F208" s="58" t="str">
        <f t="shared" si="3"/>
        <v>{ "v": "CAM_LV4_206", "n" : { "SYS": "NTOUESSONG", "EN": "NTOUESSONG" }, "vi" : [ { "r": "A-30", "o": "=", "t": "v", "v": "CAM_LV3_86" } ] },</v>
      </c>
    </row>
    <row r="209" spans="1:6">
      <c r="A209" s="58" t="s">
        <v>969</v>
      </c>
      <c r="B209" s="58" t="s">
        <v>2866</v>
      </c>
      <c r="C209" s="58" t="s">
        <v>2867</v>
      </c>
      <c r="D209" s="58" t="s">
        <v>2867</v>
      </c>
      <c r="E209" s="58" t="s">
        <v>2137</v>
      </c>
      <c r="F209" s="58" t="str">
        <f t="shared" si="3"/>
        <v>{ "v": "CAM_LV4_207", "n" : { "SYS": "NLONG MVOLYE", "EN": "NLONG MVOLYE" }, "vi" : [ { "r": "A-30", "o": "=", "t": "v", "v": "CAM_LV3_86" } ] },</v>
      </c>
    </row>
    <row r="210" spans="1:6">
      <c r="A210" s="58" t="s">
        <v>969</v>
      </c>
      <c r="B210" s="58" t="s">
        <v>2868</v>
      </c>
      <c r="C210" s="58" t="s">
        <v>2869</v>
      </c>
      <c r="D210" s="58" t="s">
        <v>2869</v>
      </c>
      <c r="E210" s="58" t="s">
        <v>2137</v>
      </c>
      <c r="F210" s="58" t="str">
        <f t="shared" si="3"/>
        <v>{ "v": "CAM_LV4_208", "n" : { "SYS": "NKOLMESSENG 1", "EN": "NKOLMESSENG 1" }, "vi" : [ { "r": "A-30", "o": "=", "t": "v", "v": "CAM_LV3_86" } ] },</v>
      </c>
    </row>
    <row r="211" spans="1:6">
      <c r="A211" s="58" t="s">
        <v>970</v>
      </c>
      <c r="B211" s="58" t="s">
        <v>2870</v>
      </c>
      <c r="C211" s="58" t="s">
        <v>2871</v>
      </c>
      <c r="D211" s="58" t="s">
        <v>2871</v>
      </c>
      <c r="E211" s="58" t="s">
        <v>2138</v>
      </c>
      <c r="F211" s="58" t="str">
        <f t="shared" si="3"/>
        <v>{ "v": "CAM_LV4_209", "n" : { "SYS": "MVAN-NORD", "EN": "MVAN-NORD" }, "vi" : [ { "r": "A-30", "o": "=", "t": "v", "v": "CAM_LV3_87" } ] },</v>
      </c>
    </row>
    <row r="212" spans="1:6">
      <c r="A212" s="58" t="s">
        <v>970</v>
      </c>
      <c r="B212" s="58" t="s">
        <v>2872</v>
      </c>
      <c r="C212" s="58" t="s">
        <v>2873</v>
      </c>
      <c r="D212" s="58" t="s">
        <v>2873</v>
      </c>
      <c r="E212" s="58" t="s">
        <v>2138</v>
      </c>
      <c r="F212" s="58" t="str">
        <f t="shared" si="3"/>
        <v>{ "v": "CAM_LV4_210", "n" : { "SYS": "MESAME NDONGO", "EN": "MESAME NDONGO" }, "vi" : [ { "r": "A-30", "o": "=", "t": "v", "v": "CAM_LV3_87" } ] },</v>
      </c>
    </row>
    <row r="213" spans="1:6">
      <c r="A213" s="58" t="s">
        <v>970</v>
      </c>
      <c r="B213" s="58" t="s">
        <v>2874</v>
      </c>
      <c r="C213" s="58" t="s">
        <v>2875</v>
      </c>
      <c r="D213" s="58" t="s">
        <v>2875</v>
      </c>
      <c r="E213" s="58" t="s">
        <v>2138</v>
      </c>
      <c r="F213" s="58" t="str">
        <f t="shared" si="3"/>
        <v>{ "v": "CAM_LV4_211", "n" : { "SYS": "ODZA", "EN": "ODZA" }, "vi" : [ { "r": "A-30", "o": "=", "t": "v", "v": "CAM_LV3_87" } ] },</v>
      </c>
    </row>
    <row r="214" spans="1:6">
      <c r="A214" s="58" t="s">
        <v>970</v>
      </c>
      <c r="B214" s="58" t="s">
        <v>2876</v>
      </c>
      <c r="C214" s="58" t="s">
        <v>2877</v>
      </c>
      <c r="D214" s="58" t="s">
        <v>2877</v>
      </c>
      <c r="E214" s="58" t="s">
        <v>2138</v>
      </c>
      <c r="F214" s="58" t="str">
        <f t="shared" si="3"/>
        <v>{ "v": "CAM_LV4_212", "n" : { "SYS": "EKOUMDOUM", "EN": "EKOUMDOUM" }, "vi" : [ { "r": "A-30", "o": "=", "t": "v", "v": "CAM_LV3_87" } ] },</v>
      </c>
    </row>
    <row r="215" spans="1:6">
      <c r="A215" s="58" t="s">
        <v>970</v>
      </c>
      <c r="B215" s="58" t="s">
        <v>2878</v>
      </c>
      <c r="C215" s="58" t="s">
        <v>2879</v>
      </c>
      <c r="D215" s="58" t="s">
        <v>2879</v>
      </c>
      <c r="E215" s="58" t="s">
        <v>2138</v>
      </c>
      <c r="F215" s="58" t="str">
        <f t="shared" si="3"/>
        <v>{ "v": "CAM_LV4_213", "n" : { "SYS": "AWAE", "EN": "AWAE" }, "vi" : [ { "r": "A-30", "o": "=", "t": "v", "v": "CAM_LV3_87" } ] },</v>
      </c>
    </row>
    <row r="216" spans="1:6">
      <c r="A216" s="58" t="s">
        <v>970</v>
      </c>
      <c r="B216" s="58" t="s">
        <v>2880</v>
      </c>
      <c r="C216" s="58" t="s">
        <v>2881</v>
      </c>
      <c r="D216" s="58" t="s">
        <v>2881</v>
      </c>
      <c r="E216" s="58" t="s">
        <v>2138</v>
      </c>
      <c r="F216" s="58" t="str">
        <f t="shared" si="3"/>
        <v>{ "v": "CAM_LV4_214", "n" : { "SYS": "NKOMO", "EN": "NKOMO" }, "vi" : [ { "r": "A-30", "o": "=", "t": "v", "v": "CAM_LV3_87" } ] },</v>
      </c>
    </row>
    <row r="217" spans="1:6">
      <c r="A217" s="58" t="s">
        <v>970</v>
      </c>
      <c r="B217" s="58" t="s">
        <v>2882</v>
      </c>
      <c r="C217" s="58" t="s">
        <v>2883</v>
      </c>
      <c r="D217" s="58" t="s">
        <v>2883</v>
      </c>
      <c r="E217" s="58" t="s">
        <v>2138</v>
      </c>
      <c r="F217" s="58" t="str">
        <f t="shared" si="3"/>
        <v>{ "v": "CAM_LV4_215", "n" : { "SYS": "EKOUNOU", "EN": "EKOUNOU" }, "vi" : [ { "r": "A-30", "o": "=", "t": "v", "v": "CAM_LV3_87" } ] },</v>
      </c>
    </row>
    <row r="218" spans="1:6">
      <c r="A218" s="58" t="s">
        <v>970</v>
      </c>
      <c r="B218" s="58" t="s">
        <v>2884</v>
      </c>
      <c r="C218" s="58" t="s">
        <v>2885</v>
      </c>
      <c r="D218" s="58" t="s">
        <v>2885</v>
      </c>
      <c r="E218" s="58" t="s">
        <v>2138</v>
      </c>
      <c r="F218" s="58" t="str">
        <f t="shared" si="3"/>
        <v>{ "v": "CAM_LV4_216", "n" : { "SYS": "BITENG", "EN": "BITENG" }, "vi" : [ { "r": "A-30", "o": "=", "t": "v", "v": "CAM_LV3_87" } ] },</v>
      </c>
    </row>
    <row r="219" spans="1:6">
      <c r="A219" s="58" t="s">
        <v>970</v>
      </c>
      <c r="B219" s="58" t="s">
        <v>2886</v>
      </c>
      <c r="C219" s="58" t="s">
        <v>2887</v>
      </c>
      <c r="D219" s="58" t="s">
        <v>2887</v>
      </c>
      <c r="E219" s="58" t="s">
        <v>2138</v>
      </c>
      <c r="F219" s="58" t="str">
        <f t="shared" si="3"/>
        <v>{ "v": "CAM_LV4_217", "n" : { "SYS": "MIMBOMAN 1", "EN": "MIMBOMAN 1" }, "vi" : [ { "r": "A-30", "o": "=", "t": "v", "v": "CAM_LV3_87" } ] },</v>
      </c>
    </row>
    <row r="220" spans="1:6">
      <c r="A220" s="58" t="s">
        <v>970</v>
      </c>
      <c r="B220" s="58" t="s">
        <v>2888</v>
      </c>
      <c r="C220" s="58" t="s">
        <v>2889</v>
      </c>
      <c r="D220" s="58" t="s">
        <v>2889</v>
      </c>
      <c r="E220" s="58" t="s">
        <v>2138</v>
      </c>
      <c r="F220" s="58" t="str">
        <f t="shared" si="3"/>
        <v>{ "v": "CAM_LV4_218", "n" : { "SYS": "MVOG MBI", "EN": "MVOG MBI" }, "vi" : [ { "r": "A-30", "o": "=", "t": "v", "v": "CAM_LV3_87" } ] },</v>
      </c>
    </row>
    <row r="221" spans="1:6">
      <c r="A221" s="58" t="s">
        <v>970</v>
      </c>
      <c r="B221" s="58" t="s">
        <v>2890</v>
      </c>
      <c r="C221" s="58" t="s">
        <v>2891</v>
      </c>
      <c r="D221" s="58" t="s">
        <v>2891</v>
      </c>
      <c r="E221" s="58" t="s">
        <v>2138</v>
      </c>
      <c r="F221" s="58" t="str">
        <f t="shared" si="3"/>
        <v>{ "v": "CAM_LV4_219", "n" : { "SYS": "ETAM BAFIA ", "EN": "ETAM BAFIA " }, "vi" : [ { "r": "A-30", "o": "=", "t": "v", "v": "CAM_LV3_87" } ] },</v>
      </c>
    </row>
    <row r="222" spans="1:6">
      <c r="A222" s="58" t="s">
        <v>970</v>
      </c>
      <c r="B222" s="58" t="s">
        <v>2892</v>
      </c>
      <c r="C222" s="58" t="s">
        <v>2893</v>
      </c>
      <c r="D222" s="58" t="s">
        <v>2893</v>
      </c>
      <c r="E222" s="58" t="s">
        <v>2138</v>
      </c>
      <c r="F222" s="58" t="str">
        <f t="shared" si="3"/>
        <v>{ "v": "CAM_LV4_220", "n" : { "SYS": "NKOLO-NDONGO 1", "EN": "NKOLO-NDONGO 1" }, "vi" : [ { "r": "A-30", "o": "=", "t": "v", "v": "CAM_LV3_87" } ] },</v>
      </c>
    </row>
    <row r="223" spans="1:6">
      <c r="A223" s="58" t="s">
        <v>970</v>
      </c>
      <c r="B223" s="58" t="s">
        <v>2894</v>
      </c>
      <c r="C223" s="58" t="s">
        <v>2895</v>
      </c>
      <c r="D223" s="58" t="s">
        <v>2895</v>
      </c>
      <c r="E223" s="58" t="s">
        <v>2138</v>
      </c>
      <c r="F223" s="58" t="str">
        <f t="shared" si="3"/>
        <v>{ "v": "CAM_LV4_221", "n" : { "SYS": "EKIE", "EN": "EKIE" }, "vi" : [ { "r": "A-30", "o": "=", "t": "v", "v": "CAM_LV3_87" } ] },</v>
      </c>
    </row>
    <row r="224" spans="1:6">
      <c r="A224" s="58" t="s">
        <v>970</v>
      </c>
      <c r="B224" s="58" t="s">
        <v>2896</v>
      </c>
      <c r="C224" s="58" t="s">
        <v>2897</v>
      </c>
      <c r="D224" s="58" t="s">
        <v>2897</v>
      </c>
      <c r="E224" s="58" t="s">
        <v>2138</v>
      </c>
      <c r="F224" s="58" t="str">
        <f t="shared" si="3"/>
        <v>{ "v": "CAM_LV4_222", "n" : { "SYS": "EMOMBO", "EN": "EMOMBO" }, "vi" : [ { "r": "A-30", "o": "=", "t": "v", "v": "CAM_LV3_87" } ] },</v>
      </c>
    </row>
    <row r="225" spans="1:6">
      <c r="A225" s="58" t="s">
        <v>970</v>
      </c>
      <c r="B225" s="58" t="s">
        <v>2898</v>
      </c>
      <c r="C225" s="58" t="s">
        <v>2899</v>
      </c>
      <c r="D225" s="58" t="s">
        <v>2899</v>
      </c>
      <c r="E225" s="58" t="s">
        <v>2138</v>
      </c>
      <c r="F225" s="58" t="str">
        <f t="shared" si="3"/>
        <v>{ "v": "CAM_LV4_223", "n" : { "SYS": "KONDENGUI 1", "EN": "KONDENGUI 1" }, "vi" : [ { "r": "A-30", "o": "=", "t": "v", "v": "CAM_LV3_87" } ] },</v>
      </c>
    </row>
    <row r="226" spans="1:6">
      <c r="A226" s="58" t="s">
        <v>970</v>
      </c>
      <c r="B226" s="58" t="s">
        <v>2900</v>
      </c>
      <c r="C226" s="58" t="s">
        <v>2901</v>
      </c>
      <c r="D226" s="58" t="s">
        <v>2901</v>
      </c>
      <c r="E226" s="58" t="s">
        <v>2138</v>
      </c>
      <c r="F226" s="58" t="str">
        <f t="shared" si="3"/>
        <v>{ "v": "CAM_LV4_224", "n" : { "SYS": "KONDENGUI  2", "EN": "KONDENGUI  2" }, "vi" : [ { "r": "A-30", "o": "=", "t": "v", "v": "CAM_LV3_87" } ] },</v>
      </c>
    </row>
    <row r="227" spans="1:6">
      <c r="A227" s="58" t="s">
        <v>970</v>
      </c>
      <c r="B227" s="58" t="s">
        <v>2902</v>
      </c>
      <c r="C227" s="58" t="s">
        <v>2903</v>
      </c>
      <c r="D227" s="58" t="s">
        <v>2903</v>
      </c>
      <c r="E227" s="58" t="s">
        <v>2138</v>
      </c>
      <c r="F227" s="58" t="str">
        <f t="shared" si="3"/>
        <v>{ "v": "CAM_LV4_225", "n" : { "SYS": "KONDENGUI  3", "EN": "KONDENGUI  3" }, "vi" : [ { "r": "A-30", "o": "=", "t": "v", "v": "CAM_LV3_87" } ] },</v>
      </c>
    </row>
    <row r="228" spans="1:6">
      <c r="A228" s="58" t="s">
        <v>970</v>
      </c>
      <c r="B228" s="58" t="s">
        <v>2904</v>
      </c>
      <c r="C228" s="58" t="s">
        <v>2905</v>
      </c>
      <c r="D228" s="58" t="s">
        <v>2905</v>
      </c>
      <c r="E228" s="58" t="s">
        <v>2138</v>
      </c>
      <c r="F228" s="58" t="str">
        <f t="shared" si="3"/>
        <v>{ "v": "CAM_LV4_226", "n" : { "SYS": "MIMBOMAN 3", "EN": "MIMBOMAN 3" }, "vi" : [ { "r": "A-30", "o": "=", "t": "v", "v": "CAM_LV3_87" } ] },</v>
      </c>
    </row>
    <row r="229" spans="1:6">
      <c r="A229" s="58" t="s">
        <v>970</v>
      </c>
      <c r="B229" s="58" t="s">
        <v>2906</v>
      </c>
      <c r="C229" s="58" t="s">
        <v>2907</v>
      </c>
      <c r="D229" s="58" t="s">
        <v>2907</v>
      </c>
      <c r="E229" s="58" t="s">
        <v>2138</v>
      </c>
      <c r="F229" s="58" t="str">
        <f t="shared" si="3"/>
        <v>{ "v": "CAM_LV4_227", "n" : { "SYS": "MVAN-SUD", "EN": "MVAN-SUD" }, "vi" : [ { "r": "A-30", "o": "=", "t": "v", "v": "CAM_LV3_87" } ] },</v>
      </c>
    </row>
    <row r="230" spans="1:6">
      <c r="A230" s="58" t="s">
        <v>970</v>
      </c>
      <c r="B230" s="58" t="s">
        <v>2908</v>
      </c>
      <c r="C230" s="58" t="s">
        <v>2909</v>
      </c>
      <c r="D230" s="58" t="s">
        <v>2909</v>
      </c>
      <c r="E230" s="58" t="s">
        <v>2138</v>
      </c>
      <c r="F230" s="58" t="str">
        <f t="shared" si="3"/>
        <v>{ "v": "CAM_LV4_228", "n" : { "SYS": "NDAMVOUT", "EN": "NDAMVOUT" }, "vi" : [ { "r": "A-30", "o": "=", "t": "v", "v": "CAM_LV3_87" } ] },</v>
      </c>
    </row>
    <row r="231" spans="1:6">
      <c r="A231" s="58" t="s">
        <v>971</v>
      </c>
      <c r="B231" s="58" t="s">
        <v>2910</v>
      </c>
      <c r="C231" s="58" t="s">
        <v>2911</v>
      </c>
      <c r="D231" s="58" t="s">
        <v>2911</v>
      </c>
      <c r="E231" s="58" t="s">
        <v>2139</v>
      </c>
      <c r="F231" s="58" t="str">
        <f t="shared" si="3"/>
        <v>{ "v": "CAM_LV4_229", "n" : { "SYS": "MVOG ADA", "EN": "MVOG ADA" }, "vi" : [ { "r": "A-30", "o": "=", "t": "v", "v": "CAM_LV3_88" } ] },</v>
      </c>
    </row>
    <row r="232" spans="1:6">
      <c r="A232" s="58" t="s">
        <v>971</v>
      </c>
      <c r="B232" s="58" t="s">
        <v>2912</v>
      </c>
      <c r="C232" s="58" t="s">
        <v>2913</v>
      </c>
      <c r="D232" s="58" t="s">
        <v>2913</v>
      </c>
      <c r="E232" s="58" t="s">
        <v>2139</v>
      </c>
      <c r="F232" s="58" t="str">
        <f t="shared" si="3"/>
        <v>{ "v": "CAM_LV4_230", "n" : { "SYS": "ESSOS", "EN": "ESSOS" }, "vi" : [ { "r": "A-30", "o": "=", "t": "v", "v": "CAM_LV3_88" } ] },</v>
      </c>
    </row>
    <row r="233" spans="1:6">
      <c r="A233" s="58" t="s">
        <v>971</v>
      </c>
      <c r="B233" s="58" t="s">
        <v>2914</v>
      </c>
      <c r="C233" s="58" t="s">
        <v>2915</v>
      </c>
      <c r="D233" s="58" t="s">
        <v>2915</v>
      </c>
      <c r="E233" s="58" t="s">
        <v>2139</v>
      </c>
      <c r="F233" s="58" t="str">
        <f t="shared" si="3"/>
        <v>{ "v": "CAM_LV4_231", "n" : { "SYS": "NKOL-MESSENG", "EN": "NKOL-MESSENG" }, "vi" : [ { "r": "A-30", "o": "=", "t": "v", "v": "CAM_LV3_88" } ] },</v>
      </c>
    </row>
    <row r="234" spans="1:6">
      <c r="A234" s="58" t="s">
        <v>971</v>
      </c>
      <c r="B234" s="58" t="s">
        <v>2916</v>
      </c>
      <c r="C234" s="58" t="s">
        <v>2917</v>
      </c>
      <c r="D234" s="58" t="s">
        <v>2917</v>
      </c>
      <c r="E234" s="58" t="s">
        <v>2139</v>
      </c>
      <c r="F234" s="58" t="str">
        <f t="shared" si="3"/>
        <v>{ "v": "CAM_LV4_232", "n" : { "SYS": "NGOUSSO 2", "EN": "NGOUSSO 2" }, "vi" : [ { "r": "A-30", "o": "=", "t": "v", "v": "CAM_LV3_88" } ] },</v>
      </c>
    </row>
    <row r="235" spans="1:6">
      <c r="A235" s="58" t="s">
        <v>971</v>
      </c>
      <c r="B235" s="58" t="s">
        <v>2918</v>
      </c>
      <c r="C235" s="58" t="s">
        <v>2919</v>
      </c>
      <c r="D235" s="58" t="s">
        <v>2919</v>
      </c>
      <c r="E235" s="58" t="s">
        <v>2139</v>
      </c>
      <c r="F235" s="58" t="str">
        <f t="shared" si="3"/>
        <v>{ "v": "CAM_LV4_233", "n" : { "SYS": "NGOULMEKONG", "EN": "NGOULMEKONG" }, "vi" : [ { "r": "A-30", "o": "=", "t": "v", "v": "CAM_LV3_88" } ] },</v>
      </c>
    </row>
    <row r="236" spans="1:6">
      <c r="A236" s="58" t="s">
        <v>971</v>
      </c>
      <c r="B236" s="58" t="s">
        <v>2920</v>
      </c>
      <c r="C236" s="58" t="s">
        <v>2921</v>
      </c>
      <c r="D236" s="58" t="s">
        <v>2921</v>
      </c>
      <c r="E236" s="58" t="s">
        <v>2139</v>
      </c>
      <c r="F236" s="58" t="str">
        <f t="shared" si="3"/>
        <v>{ "v": "CAM_LV4_234", "n" : { "SYS": "MFANDENA1", "EN": "MFANDENA1" }, "vi" : [ { "r": "A-30", "o": "=", "t": "v", "v": "CAM_LV3_88" } ] },</v>
      </c>
    </row>
    <row r="237" spans="1:6">
      <c r="A237" s="58" t="s">
        <v>971</v>
      </c>
      <c r="B237" s="58" t="s">
        <v>2922</v>
      </c>
      <c r="C237" s="58" t="s">
        <v>2923</v>
      </c>
      <c r="D237" s="58" t="s">
        <v>2923</v>
      </c>
      <c r="E237" s="58" t="s">
        <v>2139</v>
      </c>
      <c r="F237" s="58" t="str">
        <f t="shared" si="3"/>
        <v>{ "v": "CAM_LV4_235", "n" : { "SYS": "MFANDENA 2", "EN": "MFANDENA 2" }, "vi" : [ { "r": "A-30", "o": "=", "t": "v", "v": "CAM_LV3_88" } ] },</v>
      </c>
    </row>
    <row r="238" spans="1:6">
      <c r="A238" s="58" t="s">
        <v>971</v>
      </c>
      <c r="B238" s="58" t="s">
        <v>2924</v>
      </c>
      <c r="C238" s="58" t="s">
        <v>2925</v>
      </c>
      <c r="D238" s="58" t="s">
        <v>2925</v>
      </c>
      <c r="E238" s="58" t="s">
        <v>2139</v>
      </c>
      <c r="F238" s="58" t="str">
        <f t="shared" si="3"/>
        <v>{ "v": "CAM_LV4_236", "n" : { "SYS": "MVOG EBANDA", "EN": "MVOG EBANDA" }, "vi" : [ { "r": "A-30", "o": "=", "t": "v", "v": "CAM_LV3_88" } ] },</v>
      </c>
    </row>
    <row r="239" spans="1:6">
      <c r="A239" s="58" t="s">
        <v>971</v>
      </c>
      <c r="B239" s="58" t="s">
        <v>2926</v>
      </c>
      <c r="C239" s="58" t="s">
        <v>2927</v>
      </c>
      <c r="D239" s="58" t="s">
        <v>2927</v>
      </c>
      <c r="E239" s="58" t="s">
        <v>2139</v>
      </c>
      <c r="F239" s="58" t="str">
        <f t="shared" si="3"/>
        <v>{ "v": "CAM_LV4_237", "n" : { "SYS": "NGOUSSO 1", "EN": "NGOUSSO 1" }, "vi" : [ { "r": "A-30", "o": "=", "t": "v", "v": "CAM_LV3_88" } ] },</v>
      </c>
    </row>
    <row r="240" spans="1:6">
      <c r="A240" s="58" t="s">
        <v>971</v>
      </c>
      <c r="B240" s="58" t="s">
        <v>2928</v>
      </c>
      <c r="C240" s="58" t="s">
        <v>2929</v>
      </c>
      <c r="D240" s="58" t="s">
        <v>2929</v>
      </c>
      <c r="E240" s="58" t="s">
        <v>2139</v>
      </c>
      <c r="F240" s="58" t="str">
        <f t="shared" si="3"/>
        <v>{ "v": "CAM_LV4_238", "n" : { "SYS": "NGOUSSO-NTEM", "EN": "NGOUSSO-NTEM" }, "vi" : [ { "r": "A-30", "o": "=", "t": "v", "v": "CAM_LV3_88" } ] },</v>
      </c>
    </row>
    <row r="241" spans="1:6">
      <c r="A241" s="58" t="s">
        <v>971</v>
      </c>
      <c r="B241" s="58" t="s">
        <v>2930</v>
      </c>
      <c r="C241" s="58" t="s">
        <v>2931</v>
      </c>
      <c r="D241" s="58" t="s">
        <v>2931</v>
      </c>
      <c r="E241" s="58" t="s">
        <v>2139</v>
      </c>
      <c r="F241" s="58" t="str">
        <f t="shared" si="3"/>
        <v>{ "v": "CAM_LV4_239", "n" : { "SYS": "NKOL-EBOGO", "EN": "NKOL-EBOGO" }, "vi" : [ { "r": "A-30", "o": "=", "t": "v", "v": "CAM_LV3_88" } ] },</v>
      </c>
    </row>
    <row r="242" spans="1:6">
      <c r="A242" s="58" t="s">
        <v>971</v>
      </c>
      <c r="B242" s="58" t="s">
        <v>2932</v>
      </c>
      <c r="C242" s="58" t="s">
        <v>2933</v>
      </c>
      <c r="D242" s="58" t="s">
        <v>2933</v>
      </c>
      <c r="E242" s="58" t="s">
        <v>2139</v>
      </c>
      <c r="F242" s="58" t="str">
        <f t="shared" si="3"/>
        <v>{ "v": "CAM_LV4_240", "n" : { "SYS": "QUARTIER FOUDA", "EN": "QUARTIER FOUDA" }, "vi" : [ { "r": "A-30", "o": "=", "t": "v", "v": "CAM_LV3_88" } ] },</v>
      </c>
    </row>
    <row r="243" spans="1:6">
      <c r="A243" s="58" t="s">
        <v>972</v>
      </c>
      <c r="B243" s="58" t="s">
        <v>2934</v>
      </c>
      <c r="C243" s="58" t="s">
        <v>2935</v>
      </c>
      <c r="D243" s="58" t="s">
        <v>2935</v>
      </c>
      <c r="E243" s="58" t="s">
        <v>2140</v>
      </c>
      <c r="F243" s="58" t="str">
        <f t="shared" si="3"/>
        <v>{ "v": "CAM_LV4_241", "n" : { "SYS": "MELEN", "EN": "MELEN" }, "vi" : [ { "r": "A-30", "o": "=", "t": "v", "v": "CAM_LV3_89" } ] },</v>
      </c>
    </row>
    <row r="244" spans="1:6">
      <c r="A244" s="58" t="s">
        <v>972</v>
      </c>
      <c r="B244" s="58" t="s">
        <v>2936</v>
      </c>
      <c r="C244" s="58" t="s">
        <v>2937</v>
      </c>
      <c r="D244" s="58" t="s">
        <v>2937</v>
      </c>
      <c r="E244" s="58" t="s">
        <v>2140</v>
      </c>
      <c r="F244" s="58" t="str">
        <f t="shared" si="3"/>
        <v>{ "v": "CAM_LV4_242", "n" : { "SYS": "ETOUG EBE 1", "EN": "ETOUG EBE 1" }, "vi" : [ { "r": "A-30", "o": "=", "t": "v", "v": "CAM_LV3_89" } ] },</v>
      </c>
    </row>
    <row r="245" spans="1:6">
      <c r="A245" s="58" t="s">
        <v>972</v>
      </c>
      <c r="B245" s="58" t="s">
        <v>2938</v>
      </c>
      <c r="C245" s="58" t="s">
        <v>2939</v>
      </c>
      <c r="D245" s="58" t="s">
        <v>2939</v>
      </c>
      <c r="E245" s="58" t="s">
        <v>2140</v>
      </c>
      <c r="F245" s="58" t="str">
        <f t="shared" si="3"/>
        <v>{ "v": "CAM_LV4_243", "n" : { "SYS": "MVOG BETSI", "EN": "MVOG BETSI" }, "vi" : [ { "r": "A-30", "o": "=", "t": "v", "v": "CAM_LV3_89" } ] },</v>
      </c>
    </row>
    <row r="246" spans="1:6">
      <c r="A246" s="58" t="s">
        <v>972</v>
      </c>
      <c r="B246" s="58" t="s">
        <v>2940</v>
      </c>
      <c r="C246" s="58" t="s">
        <v>2941</v>
      </c>
      <c r="D246" s="58" t="s">
        <v>2941</v>
      </c>
      <c r="E246" s="58" t="s">
        <v>2140</v>
      </c>
      <c r="F246" s="58" t="str">
        <f t="shared" si="3"/>
        <v>{ "v": "CAM_LV4_244", "n" : { "SYS": "BIYEM ASSI", "EN": "BIYEM ASSI" }, "vi" : [ { "r": "A-30", "o": "=", "t": "v", "v": "CAM_LV3_89" } ] },</v>
      </c>
    </row>
    <row r="247" spans="1:6">
      <c r="A247" s="58" t="s">
        <v>972</v>
      </c>
      <c r="B247" s="58" t="s">
        <v>2942</v>
      </c>
      <c r="C247" s="58" t="s">
        <v>2943</v>
      </c>
      <c r="D247" s="58" t="s">
        <v>2943</v>
      </c>
      <c r="E247" s="58" t="s">
        <v>2140</v>
      </c>
      <c r="F247" s="58" t="str">
        <f t="shared" si="3"/>
        <v>{ "v": "CAM_LV4_245", "n" : { "SYS": "MENDONG 1", "EN": "MENDONG 1" }, "vi" : [ { "r": "A-30", "o": "=", "t": "v", "v": "CAM_LV3_89" } ] },</v>
      </c>
    </row>
    <row r="248" spans="1:6">
      <c r="A248" s="58" t="s">
        <v>972</v>
      </c>
      <c r="B248" s="58" t="s">
        <v>2944</v>
      </c>
      <c r="C248" s="58" t="s">
        <v>2945</v>
      </c>
      <c r="D248" s="58" t="s">
        <v>2945</v>
      </c>
      <c r="E248" s="58" t="s">
        <v>2140</v>
      </c>
      <c r="F248" s="58" t="str">
        <f t="shared" si="3"/>
        <v>{ "v": "CAM_LV4_246", "n" : { "SYS": "SIMBOCK", "EN": "SIMBOCK" }, "vi" : [ { "r": "A-30", "o": "=", "t": "v", "v": "CAM_LV3_89" } ] },</v>
      </c>
    </row>
    <row r="249" spans="1:6">
      <c r="A249" s="58" t="s">
        <v>972</v>
      </c>
      <c r="B249" s="58" t="s">
        <v>2946</v>
      </c>
      <c r="C249" s="58" t="s">
        <v>2947</v>
      </c>
      <c r="D249" s="58" t="s">
        <v>2947</v>
      </c>
      <c r="E249" s="58" t="s">
        <v>2140</v>
      </c>
      <c r="F249" s="58" t="str">
        <f t="shared" si="3"/>
        <v>{ "v": "CAM_LV4_247", "n" : { "SYS": "ELIG EFFA", "EN": "ELIG EFFA" }, "vi" : [ { "r": "A-30", "o": "=", "t": "v", "v": "CAM_LV3_89" } ] },</v>
      </c>
    </row>
    <row r="250" spans="1:6">
      <c r="A250" s="58" t="s">
        <v>972</v>
      </c>
      <c r="B250" s="58" t="s">
        <v>2948</v>
      </c>
      <c r="C250" s="58" t="s">
        <v>2949</v>
      </c>
      <c r="D250" s="58" t="s">
        <v>2949</v>
      </c>
      <c r="E250" s="58" t="s">
        <v>2140</v>
      </c>
      <c r="F250" s="58" t="str">
        <f t="shared" si="3"/>
        <v>{ "v": "CAM_LV4_248", "n" : { "SYS": "ETOUG EBE 2", "EN": "ETOUG EBE 2" }, "vi" : [ { "r": "A-30", "o": "=", "t": "v", "v": "CAM_LV3_89" } ] },</v>
      </c>
    </row>
    <row r="251" spans="1:6">
      <c r="A251" s="58" t="s">
        <v>972</v>
      </c>
      <c r="B251" s="58" t="s">
        <v>2950</v>
      </c>
      <c r="C251" s="58" t="s">
        <v>2951</v>
      </c>
      <c r="D251" s="58" t="s">
        <v>2951</v>
      </c>
      <c r="E251" s="58" t="s">
        <v>2140</v>
      </c>
      <c r="F251" s="58" t="str">
        <f t="shared" si="3"/>
        <v>{ "v": "CAM_LV4_249", "n" : { "SYS": "MELEN 8", "EN": "MELEN 8" }, "vi" : [ { "r": "A-30", "o": "=", "t": "v", "v": "CAM_LV3_89" } ] },</v>
      </c>
    </row>
    <row r="252" spans="1:6">
      <c r="A252" s="58" t="s">
        <v>972</v>
      </c>
      <c r="B252" s="58" t="s">
        <v>2952</v>
      </c>
      <c r="C252" s="58" t="s">
        <v>2953</v>
      </c>
      <c r="D252" s="58" t="s">
        <v>2953</v>
      </c>
      <c r="E252" s="58" t="s">
        <v>2140</v>
      </c>
      <c r="F252" s="58" t="str">
        <f t="shared" si="3"/>
        <v>{ "v": "CAM_LV4_250", "n" : { "SYS": "MELEN 8B  ET C", "EN": "MELEN 8B  ET C" }, "vi" : [ { "r": "A-30", "o": "=", "t": "v", "v": "CAM_LV3_89" } ] },</v>
      </c>
    </row>
    <row r="253" spans="1:6">
      <c r="A253" s="58" t="s">
        <v>972</v>
      </c>
      <c r="B253" s="58" t="s">
        <v>2954</v>
      </c>
      <c r="C253" s="58" t="s">
        <v>2955</v>
      </c>
      <c r="D253" s="58" t="s">
        <v>2955</v>
      </c>
      <c r="E253" s="58" t="s">
        <v>2140</v>
      </c>
      <c r="F253" s="58" t="str">
        <f t="shared" si="3"/>
        <v>{ "v": "CAM_LV4_251", "n" : { "SYS": "MENDONG  1", "EN": "MENDONG  1" }, "vi" : [ { "r": "A-30", "o": "=", "t": "v", "v": "CAM_LV3_89" } ] },</v>
      </c>
    </row>
    <row r="254" spans="1:6">
      <c r="A254" s="58" t="s">
        <v>972</v>
      </c>
      <c r="B254" s="58" t="s">
        <v>2956</v>
      </c>
      <c r="C254" s="58" t="s">
        <v>2957</v>
      </c>
      <c r="D254" s="58" t="s">
        <v>2957</v>
      </c>
      <c r="E254" s="58" t="s">
        <v>2140</v>
      </c>
      <c r="F254" s="58" t="str">
        <f t="shared" si="3"/>
        <v>{ "v": "CAM_LV4_252", "n" : { "SYS": "MENDONG 2", "EN": "MENDONG 2" }, "vi" : [ { "r": "A-30", "o": "=", "t": "v", "v": "CAM_LV3_89" } ] },</v>
      </c>
    </row>
    <row r="255" spans="1:6">
      <c r="A255" s="58" t="s">
        <v>972</v>
      </c>
      <c r="B255" s="58" t="s">
        <v>2958</v>
      </c>
      <c r="C255" s="58" t="s">
        <v>2959</v>
      </c>
      <c r="D255" s="58" t="s">
        <v>2959</v>
      </c>
      <c r="E255" s="58" t="s">
        <v>2140</v>
      </c>
      <c r="F255" s="58" t="str">
        <f t="shared" si="3"/>
        <v>{ "v": "CAM_LV4_253", "n" : { "SYS": "NKOLBIKOK", "EN": "NKOLBIKOK" }, "vi" : [ { "r": "A-30", "o": "=", "t": "v", "v": "CAM_LV3_89" } ] },</v>
      </c>
    </row>
    <row r="256" spans="1:6">
      <c r="A256" s="58" t="s">
        <v>972</v>
      </c>
      <c r="B256" s="58" t="s">
        <v>2960</v>
      </c>
      <c r="C256" s="58" t="s">
        <v>2961</v>
      </c>
      <c r="D256" s="58" t="s">
        <v>2961</v>
      </c>
      <c r="E256" s="58" t="s">
        <v>2140</v>
      </c>
      <c r="F256" s="58" t="str">
        <f t="shared" si="3"/>
        <v>{ "v": "CAM_LV4_254", "n" : { "SYS": "SIMBOCK ECOLE DE GUERRE", "EN": "SIMBOCK ECOLE DE GUERRE" }, "vi" : [ { "r": "A-30", "o": "=", "t": "v", "v": "CAM_LV3_89" } ] },</v>
      </c>
    </row>
    <row r="257" spans="1:6">
      <c r="A257" s="58" t="s">
        <v>973</v>
      </c>
      <c r="B257" s="58" t="s">
        <v>2962</v>
      </c>
      <c r="C257" s="58" t="s">
        <v>2963</v>
      </c>
      <c r="D257" s="58" t="s">
        <v>2963</v>
      </c>
      <c r="E257" s="58" t="s">
        <v>2141</v>
      </c>
      <c r="F257" s="58" t="str">
        <f t="shared" si="3"/>
        <v>{ "v": "CAM_LV4_255", "n" : { "SYS": "ETETAK", "EN": "ETETAK" }, "vi" : [ { "r": "A-30", "o": "=", "t": "v", "v": "CAM_LV3_90" } ] },</v>
      </c>
    </row>
    <row r="258" spans="1:6">
      <c r="A258" s="58" t="s">
        <v>973</v>
      </c>
      <c r="B258" s="58" t="s">
        <v>2964</v>
      </c>
      <c r="C258" s="58" t="s">
        <v>2965</v>
      </c>
      <c r="D258" s="58" t="s">
        <v>2965</v>
      </c>
      <c r="E258" s="58" t="s">
        <v>2141</v>
      </c>
      <c r="F258" s="58" t="str">
        <f t="shared" si="3"/>
        <v>{ "v": "CAM_LV4_256", "n" : { "SYS": "OYOM ABANG", "EN": "OYOM ABANG" }, "vi" : [ { "r": "A-30", "o": "=", "t": "v", "v": "CAM_LV3_90" } ] },</v>
      </c>
    </row>
    <row r="259" spans="1:6">
      <c r="A259" s="58" t="s">
        <v>973</v>
      </c>
      <c r="B259" s="58" t="s">
        <v>2966</v>
      </c>
      <c r="C259" s="58" t="s">
        <v>2967</v>
      </c>
      <c r="D259" s="58" t="s">
        <v>2967</v>
      </c>
      <c r="E259" s="58" t="s">
        <v>2141</v>
      </c>
      <c r="F259" s="58" t="str">
        <f t="shared" ref="F259:F297" si="4">_xlfn.CONCAT(liststart,B259,listlareport,C259,listlat,D259,area_vis_lv3,E259,areavisend)</f>
        <v>{ "v": "CAM_LV4_257", "n" : { "SYS": "NKOLBISSON", "EN": "NKOLBISSON" }, "vi" : [ { "r": "A-30", "o": "=", "t": "v", "v": "CAM_LV3_90" } ] },</v>
      </c>
    </row>
    <row r="260" spans="1:6">
      <c r="A260" s="58" t="s">
        <v>973</v>
      </c>
      <c r="B260" s="58" t="s">
        <v>2968</v>
      </c>
      <c r="C260" s="58" t="s">
        <v>2969</v>
      </c>
      <c r="D260" s="58" t="s">
        <v>2969</v>
      </c>
      <c r="E260" s="58" t="s">
        <v>2141</v>
      </c>
      <c r="F260" s="58" t="str">
        <f t="shared" si="4"/>
        <v>{ "v": "CAM_LV4_258", "n" : { "SYS": "MINKOAMEYOS", "EN": "MINKOAMEYOS" }, "vi" : [ { "r": "A-30", "o": "=", "t": "v", "v": "CAM_LV3_90" } ] },</v>
      </c>
    </row>
    <row r="261" spans="1:6">
      <c r="A261" s="58" t="s">
        <v>973</v>
      </c>
      <c r="B261" s="58" t="s">
        <v>2970</v>
      </c>
      <c r="C261" s="58" t="s">
        <v>2971</v>
      </c>
      <c r="D261" s="58" t="s">
        <v>2971</v>
      </c>
      <c r="E261" s="58" t="s">
        <v>2141</v>
      </c>
      <c r="F261" s="58" t="str">
        <f t="shared" si="4"/>
        <v>{ "v": "CAM_LV4_259", "n" : { "SYS": "NKOLSO", "EN": "NKOLSO" }, "vi" : [ { "r": "A-30", "o": "=", "t": "v", "v": "CAM_LV3_90" } ] },</v>
      </c>
    </row>
    <row r="262" spans="1:6">
      <c r="A262" s="58" t="s">
        <v>973</v>
      </c>
      <c r="B262" s="58" t="s">
        <v>2972</v>
      </c>
      <c r="C262" s="58" t="s">
        <v>2973</v>
      </c>
      <c r="D262" s="58" t="s">
        <v>2973</v>
      </c>
      <c r="E262" s="58" t="s">
        <v>2141</v>
      </c>
      <c r="F262" s="58" t="str">
        <f t="shared" si="4"/>
        <v>{ "v": "CAM_LV4_260", "n" : { "SYS": "NKOLAFEME", "EN": "NKOLAFEME" }, "vi" : [ { "r": "A-30", "o": "=", "t": "v", "v": "CAM_LV3_90" } ] },</v>
      </c>
    </row>
    <row r="263" spans="1:6">
      <c r="A263" s="58"/>
      <c r="B263" s="58" t="s">
        <v>2974</v>
      </c>
      <c r="C263" s="58" t="s">
        <v>731</v>
      </c>
      <c r="D263" s="58" t="s">
        <v>1301</v>
      </c>
      <c r="E263" s="58"/>
      <c r="F263" s="58" t="str">
        <f>_xlfn.CONCAT(liststart,B263,listlareport,C263,listlat,D263,EndLV4)</f>
        <v>{ "v": "CAM_LV4_261", "n" : { "SYS": "Other", "EN": "Autre" }</v>
      </c>
    </row>
    <row r="264" spans="1:6">
      <c r="A264" s="8" t="s">
        <v>1177</v>
      </c>
      <c r="B264" s="8" t="s">
        <v>2975</v>
      </c>
      <c r="C264" s="360" t="s">
        <v>2976</v>
      </c>
      <c r="D264" s="360" t="s">
        <v>2976</v>
      </c>
      <c r="E264" s="8" t="s">
        <v>2344</v>
      </c>
      <c r="F264" s="8" t="str">
        <f t="shared" si="4"/>
        <v>{ "v": "CAM_LV4_262", "n" : { "SYS": "BENENGO,B", "EN": "BENENGO,B" }, "vi" : [ { "r": "A-30", "o": "=", "t": "v", "v": "CAM_LV3_266" } ] },</v>
      </c>
    </row>
    <row r="265" spans="1:6">
      <c r="A265" s="8" t="s">
        <v>1177</v>
      </c>
      <c r="B265" s="8" t="s">
        <v>2977</v>
      </c>
      <c r="C265" s="360" t="s">
        <v>2978</v>
      </c>
      <c r="D265" s="360" t="s">
        <v>2978</v>
      </c>
      <c r="E265" s="8" t="s">
        <v>2344</v>
      </c>
      <c r="F265" s="8" t="str">
        <f t="shared" si="4"/>
        <v>{ "v": "CAM_LV4_263", "n" : { "SYS": "BADIENGSO", "EN": "BADIENGSO" }, "vi" : [ { "r": "A-30", "o": "=", "t": "v", "v": "CAM_LV3_266" } ] },</v>
      </c>
    </row>
    <row r="266" spans="1:6">
      <c r="A266" s="8" t="s">
        <v>1177</v>
      </c>
      <c r="B266" s="8" t="s">
        <v>2979</v>
      </c>
      <c r="C266" s="360" t="s">
        <v>2980</v>
      </c>
      <c r="D266" s="360" t="s">
        <v>2980</v>
      </c>
      <c r="E266" s="8" t="s">
        <v>2344</v>
      </c>
      <c r="F266" s="8" t="str">
        <f t="shared" si="4"/>
        <v>{ "v": "CAM_LV4_264", "n" : { "SYS": "ZONE,INDUSTRIELLE", "EN": "ZONE,INDUSTRIELLE" }, "vi" : [ { "r": "A-30", "o": "=", "t": "v", "v": "CAM_LV3_266" } ] },</v>
      </c>
    </row>
    <row r="267" spans="1:6">
      <c r="A267" s="8" t="s">
        <v>1177</v>
      </c>
      <c r="B267" s="8" t="s">
        <v>2981</v>
      </c>
      <c r="C267" s="360" t="s">
        <v>2982</v>
      </c>
      <c r="D267" s="360" t="s">
        <v>2982</v>
      </c>
      <c r="E267" s="8" t="s">
        <v>2344</v>
      </c>
      <c r="F267" s="8" t="str">
        <f t="shared" si="4"/>
        <v>{ "v": "CAM_LV4_265", "n" : { "SYS": "FAMLA", "EN": "FAMLA" }, "vi" : [ { "r": "A-30", "o": "=", "t": "v", "v": "CAM_LV3_266" } ] },</v>
      </c>
    </row>
    <row r="268" spans="1:6">
      <c r="A268" s="8" t="s">
        <v>1177</v>
      </c>
      <c r="B268" s="8" t="s">
        <v>2983</v>
      </c>
      <c r="C268" s="360" t="s">
        <v>2984</v>
      </c>
      <c r="D268" s="360" t="s">
        <v>2984</v>
      </c>
      <c r="E268" s="8" t="s">
        <v>2344</v>
      </c>
      <c r="F268" s="8" t="str">
        <f t="shared" si="4"/>
        <v>{ "v": "CAM_LV4_266", "n" : { "SYS": "DJELENG 5", "EN": "DJELENG 5" }, "vi" : [ { "r": "A-30", "o": "=", "t": "v", "v": "CAM_LV3_266" } ] },</v>
      </c>
    </row>
    <row r="269" spans="1:6">
      <c r="A269" s="8" t="s">
        <v>1177</v>
      </c>
      <c r="B269" s="8" t="s">
        <v>2985</v>
      </c>
      <c r="C269" s="360" t="s">
        <v>2986</v>
      </c>
      <c r="D269" s="360" t="s">
        <v>2986</v>
      </c>
      <c r="E269" s="8" t="s">
        <v>2344</v>
      </c>
      <c r="F269" s="8" t="str">
        <f t="shared" si="4"/>
        <v>{ "v": "CAM_LV4_267", "n" : { "SYS": "DJEMOUN", "EN": "DJEMOUN" }, "vi" : [ { "r": "A-30", "o": "=", "t": "v", "v": "CAM_LV3_266" } ] },</v>
      </c>
    </row>
    <row r="270" spans="1:6">
      <c r="A270" s="8" t="s">
        <v>1177</v>
      </c>
      <c r="B270" s="8" t="s">
        <v>2987</v>
      </c>
      <c r="C270" s="360" t="s">
        <v>2988</v>
      </c>
      <c r="D270" s="360" t="s">
        <v>2988</v>
      </c>
      <c r="E270" s="8" t="s">
        <v>2344</v>
      </c>
      <c r="F270" s="8" t="str">
        <f t="shared" si="4"/>
        <v>{ "v": "CAM_LV4_268", "n" : { "SYS": "QUARTIER,ADMINISTRATIF", "EN": "QUARTIER,ADMINISTRATIF" }, "vi" : [ { "r": "A-30", "o": "=", "t": "v", "v": "CAM_LV3_266" } ] },</v>
      </c>
    </row>
    <row r="271" spans="1:6">
      <c r="A271" s="8" t="s">
        <v>1177</v>
      </c>
      <c r="B271" s="8" t="s">
        <v>2989</v>
      </c>
      <c r="C271" s="360" t="s">
        <v>2990</v>
      </c>
      <c r="D271" s="360" t="s">
        <v>2990</v>
      </c>
      <c r="E271" s="8" t="s">
        <v>2344</v>
      </c>
      <c r="F271" s="8" t="str">
        <f t="shared" si="4"/>
        <v>{ "v": "CAM_LV4_269", "n" : { "SYS": "BAMENZI", "EN": "BAMENZI" }, "vi" : [ { "r": "A-30", "o": "=", "t": "v", "v": "CAM_LV3_266" } ] },</v>
      </c>
    </row>
    <row r="272" spans="1:6">
      <c r="A272" s="8" t="s">
        <v>1177</v>
      </c>
      <c r="B272" s="8" t="s">
        <v>2991</v>
      </c>
      <c r="C272" s="360" t="s">
        <v>2992</v>
      </c>
      <c r="D272" s="360" t="s">
        <v>2992</v>
      </c>
      <c r="E272" s="8" t="s">
        <v>2344</v>
      </c>
      <c r="F272" s="8" t="str">
        <f t="shared" si="4"/>
        <v>{ "v": "CAM_LV4_270", "n" : { "SYS": "KING,PLACE", "EN": "KING,PLACE" }, "vi" : [ { "r": "A-30", "o": "=", "t": "v", "v": "CAM_LV3_266" } ] },</v>
      </c>
    </row>
    <row r="273" spans="1:6">
      <c r="A273" s="8" t="s">
        <v>1177</v>
      </c>
      <c r="B273" s="8" t="s">
        <v>2993</v>
      </c>
      <c r="C273" s="360" t="s">
        <v>2994</v>
      </c>
      <c r="D273" s="360" t="s">
        <v>2994</v>
      </c>
      <c r="E273" s="8" t="s">
        <v>2344</v>
      </c>
      <c r="F273" s="8" t="str">
        <f t="shared" si="4"/>
        <v>{ "v": "CAM_LV4_271", "n" : { "SYS": "CHEFFERIE", "EN": "CHEFFERIE" }, "vi" : [ { "r": "A-30", "o": "=", "t": "v", "v": "CAM_LV3_266" } ] },</v>
      </c>
    </row>
    <row r="274" spans="1:6">
      <c r="A274" s="8" t="s">
        <v>1177</v>
      </c>
      <c r="B274" s="8" t="s">
        <v>2995</v>
      </c>
      <c r="C274" s="360" t="s">
        <v>2996</v>
      </c>
      <c r="D274" s="360" t="s">
        <v>2996</v>
      </c>
      <c r="E274" s="8" t="s">
        <v>2344</v>
      </c>
      <c r="F274" s="8" t="str">
        <f t="shared" si="4"/>
        <v>{ "v": "CAM_LV4_272", "n" : { "SYS": "BENENGO,A", "EN": "BENENGO,A" }, "vi" : [ { "r": "A-30", "o": "=", "t": "v", "v": "CAM_LV3_266" } ] },</v>
      </c>
    </row>
    <row r="275" spans="1:6">
      <c r="A275" s="8" t="s">
        <v>1177</v>
      </c>
      <c r="B275" s="8" t="s">
        <v>2997</v>
      </c>
      <c r="C275" s="360" t="s">
        <v>2998</v>
      </c>
      <c r="D275" s="360" t="s">
        <v>2998</v>
      </c>
      <c r="E275" s="8" t="s">
        <v>2344</v>
      </c>
      <c r="F275" s="8" t="str">
        <f t="shared" si="4"/>
        <v>{ "v": "CAM_LV4_273", "n" : { "SYS": "TAMJA", "EN": "TAMJA" }, "vi" : [ { "r": "A-30", "o": "=", "t": "v", "v": "CAM_LV3_266" } ] },</v>
      </c>
    </row>
    <row r="276" spans="1:6">
      <c r="A276" s="8" t="s">
        <v>1177</v>
      </c>
      <c r="B276" s="8" t="s">
        <v>2999</v>
      </c>
      <c r="C276" s="360" t="s">
        <v>3000</v>
      </c>
      <c r="D276" s="360" t="s">
        <v>3000</v>
      </c>
      <c r="E276" s="8" t="s">
        <v>2344</v>
      </c>
      <c r="F276" s="8" t="str">
        <f t="shared" si="4"/>
        <v>{ "v": "CAM_LV4_274", "n" : { "SYS": "NDIEDAM", "EN": "NDIEDAM" }, "vi" : [ { "r": "A-30", "o": "=", "t": "v", "v": "CAM_LV3_266" } ] },</v>
      </c>
    </row>
    <row r="277" spans="1:6">
      <c r="A277" s="8" t="s">
        <v>1177</v>
      </c>
      <c r="B277" s="8" t="s">
        <v>3001</v>
      </c>
      <c r="C277" s="360" t="s">
        <v>3002</v>
      </c>
      <c r="D277" s="360" t="s">
        <v>3002</v>
      </c>
      <c r="E277" s="8" t="s">
        <v>2344</v>
      </c>
      <c r="F277" s="8" t="str">
        <f t="shared" si="4"/>
        <v>{ "v": "CAM_LV4_275", "n" : { "SYS": "HOUKAHA", "EN": "HOUKAHA" }, "vi" : [ { "r": "A-30", "o": "=", "t": "v", "v": "CAM_LV3_266" } ] },</v>
      </c>
    </row>
    <row r="278" spans="1:6">
      <c r="A278" s="8" t="s">
        <v>1178</v>
      </c>
      <c r="B278" s="8" t="s">
        <v>3003</v>
      </c>
      <c r="C278" s="360" t="s">
        <v>3004</v>
      </c>
      <c r="D278" s="360" t="s">
        <v>3004</v>
      </c>
      <c r="E278" s="8" t="s">
        <v>2346</v>
      </c>
      <c r="F278" s="8" t="str">
        <f t="shared" si="4"/>
        <v>{ "v": "CAM_LV4_276", "n" : { "SYS": "TYO,BALENG", "EN": "TYO,BALENG" }, "vi" : [ { "r": "A-30", "o": "=", "t": "v", "v": "CAM_LV3_267" } ] },</v>
      </c>
    </row>
    <row r="279" spans="1:6">
      <c r="A279" s="8" t="s">
        <v>1178</v>
      </c>
      <c r="B279" s="8" t="s">
        <v>3005</v>
      </c>
      <c r="C279" s="360" t="s">
        <v>3006</v>
      </c>
      <c r="D279" s="360" t="s">
        <v>3006</v>
      </c>
      <c r="E279" s="8" t="s">
        <v>2346</v>
      </c>
      <c r="F279" s="8" t="str">
        <f t="shared" si="4"/>
        <v>{ "v": "CAM_LV4_277", "n" : { "SYS": "TYO,VILLE", "EN": "TYO,VILLE" }, "vi" : [ { "r": "A-30", "o": "=", "t": "v", "v": "CAM_LV3_267" } ] },</v>
      </c>
    </row>
    <row r="280" spans="1:6">
      <c r="A280" s="8" t="s">
        <v>1178</v>
      </c>
      <c r="B280" s="8" t="s">
        <v>3007</v>
      </c>
      <c r="C280" s="360" t="s">
        <v>3008</v>
      </c>
      <c r="D280" s="360" t="s">
        <v>3008</v>
      </c>
      <c r="E280" s="8" t="s">
        <v>2346</v>
      </c>
      <c r="F280" s="8" t="str">
        <f t="shared" si="4"/>
        <v>{ "v": "CAM_LV4_278", "n" : { "SYS": "MEBOUTI", "EN": "MEBOUTI" }, "vi" : [ { "r": "A-30", "o": "=", "t": "v", "v": "CAM_LV3_267" } ] },</v>
      </c>
    </row>
    <row r="281" spans="1:6">
      <c r="A281" s="8" t="s">
        <v>1178</v>
      </c>
      <c r="B281" s="8" t="s">
        <v>3009</v>
      </c>
      <c r="C281" s="360" t="s">
        <v>3010</v>
      </c>
      <c r="D281" s="360" t="s">
        <v>3010</v>
      </c>
      <c r="E281" s="8" t="s">
        <v>2346</v>
      </c>
      <c r="F281" s="8" t="str">
        <f t="shared" si="4"/>
        <v>{ "v": "CAM_LV4_279", "n" : { "SYS": "KOPTCHOU", "EN": "KOPTCHOU" }, "vi" : [ { "r": "A-30", "o": "=", "t": "v", "v": "CAM_LV3_267" } ] },</v>
      </c>
    </row>
    <row r="282" spans="1:6">
      <c r="A282" s="8" t="s">
        <v>1178</v>
      </c>
      <c r="B282" s="8" t="s">
        <v>3011</v>
      </c>
      <c r="C282" s="360" t="s">
        <v>3012</v>
      </c>
      <c r="D282" s="360" t="s">
        <v>3012</v>
      </c>
      <c r="E282" s="8" t="s">
        <v>2346</v>
      </c>
      <c r="F282" s="8" t="str">
        <f t="shared" si="4"/>
        <v>{ "v": "CAM_LV4_280", "n" : { "SYS": "TAUNGANG II", "EN": "TAUNGANG II" }, "vi" : [ { "r": "A-30", "o": "=", "t": "v", "v": "CAM_LV3_267" } ] },</v>
      </c>
    </row>
    <row r="283" spans="1:6">
      <c r="A283" s="8" t="s">
        <v>1178</v>
      </c>
      <c r="B283" s="8" t="s">
        <v>3013</v>
      </c>
      <c r="C283" s="360" t="s">
        <v>3014</v>
      </c>
      <c r="D283" s="360" t="s">
        <v>3014</v>
      </c>
      <c r="E283" s="8" t="s">
        <v>2346</v>
      </c>
      <c r="F283" s="8" t="str">
        <f t="shared" si="4"/>
        <v>{ "v": "CAM_LV4_281", "n" : { "SYS": "TCHITCHAP", "EN": "TCHITCHAP" }, "vi" : [ { "r": "A-30", "o": "=", "t": "v", "v": "CAM_LV3_267" } ] },</v>
      </c>
    </row>
    <row r="284" spans="1:6">
      <c r="A284" s="8" t="s">
        <v>1178</v>
      </c>
      <c r="B284" s="8" t="s">
        <v>3015</v>
      </c>
      <c r="C284" s="360" t="s">
        <v>3016</v>
      </c>
      <c r="D284" s="360" t="s">
        <v>3016</v>
      </c>
      <c r="E284" s="8" t="s">
        <v>2346</v>
      </c>
      <c r="F284" s="8" t="str">
        <f t="shared" si="4"/>
        <v>{ "v": "CAM_LV4_282", "n" : { "SYS": "TYO,VILLAGE", "EN": "TYO,VILLAGE" }, "vi" : [ { "r": "A-30", "o": "=", "t": "v", "v": "CAM_LV3_267" } ] },</v>
      </c>
    </row>
    <row r="285" spans="1:6">
      <c r="A285" s="8" t="s">
        <v>1178</v>
      </c>
      <c r="B285" s="8" t="s">
        <v>3017</v>
      </c>
      <c r="C285" s="360" t="s">
        <v>3018</v>
      </c>
      <c r="D285" s="360" t="s">
        <v>3018</v>
      </c>
      <c r="E285" s="8" t="s">
        <v>2346</v>
      </c>
      <c r="F285" s="8" t="str">
        <f t="shared" si="4"/>
        <v>{ "v": "CAM_LV4_283", "n" : { "SYS": "DJELENG,1-2-3-4", "EN": "DJELENG,1-2-3-4" }, "vi" : [ { "r": "A-30", "o": "=", "t": "v", "v": "CAM_LV3_267" } ] },</v>
      </c>
    </row>
    <row r="286" spans="1:6">
      <c r="A286" s="8" t="s">
        <v>1178</v>
      </c>
      <c r="B286" s="8" t="s">
        <v>3019</v>
      </c>
      <c r="C286" s="360" t="s">
        <v>3020</v>
      </c>
      <c r="D286" s="360" t="s">
        <v>3020</v>
      </c>
      <c r="E286" s="8" t="s">
        <v>2346</v>
      </c>
      <c r="F286" s="8" t="str">
        <f t="shared" si="4"/>
        <v>{ "v": "CAM_LV4_284", "n" : { "SYS": "TOUNGANG", "EN": "TOUNGANG" }, "vi" : [ { "r": "A-30", "o": "=", "t": "v", "v": "CAM_LV3_267" } ] },</v>
      </c>
    </row>
    <row r="287" spans="1:6">
      <c r="A287" s="8" t="s">
        <v>1179</v>
      </c>
      <c r="B287" s="8" t="s">
        <v>3021</v>
      </c>
      <c r="C287" s="360" t="s">
        <v>3022</v>
      </c>
      <c r="D287" s="360" t="s">
        <v>3022</v>
      </c>
      <c r="E287" s="8" t="s">
        <v>2347</v>
      </c>
      <c r="F287" s="8" t="str">
        <f t="shared" si="4"/>
        <v>{ "v": "CAM_LV4_285", "n" : { "SYS": "KENA", "EN": "KENA" }, "vi" : [ { "r": "A-30", "o": "=", "t": "v", "v": "CAM_LV3_268" } ] },</v>
      </c>
    </row>
    <row r="288" spans="1:6">
      <c r="A288" s="8" t="s">
        <v>1179</v>
      </c>
      <c r="B288" s="8" t="s">
        <v>3023</v>
      </c>
      <c r="C288" s="360" t="s">
        <v>3024</v>
      </c>
      <c r="D288" s="360" t="s">
        <v>3024</v>
      </c>
      <c r="E288" s="8" t="s">
        <v>2347</v>
      </c>
      <c r="F288" s="8" t="str">
        <f t="shared" si="4"/>
        <v>{ "v": "CAM_LV4_286", "n" : { "SYS": "KAMKOP", "EN": "KAMKOP" }, "vi" : [ { "r": "A-30", "o": "=", "t": "v", "v": "CAM_LV3_268" } ] },</v>
      </c>
    </row>
    <row r="289" spans="1:6">
      <c r="A289" s="8" t="s">
        <v>1179</v>
      </c>
      <c r="B289" s="8" t="s">
        <v>3025</v>
      </c>
      <c r="C289" s="360" t="s">
        <v>3026</v>
      </c>
      <c r="D289" s="360" t="s">
        <v>3026</v>
      </c>
      <c r="E289" s="8" t="s">
        <v>2347</v>
      </c>
      <c r="F289" s="8" t="str">
        <f t="shared" si="4"/>
        <v>{ "v": "CAM_LV4_287", "n" : { "SYS": "DJUKU", "EN": "DJUKU" }, "vi" : [ { "r": "A-30", "o": "=", "t": "v", "v": "CAM_LV3_268" } ] },</v>
      </c>
    </row>
    <row r="290" spans="1:6">
      <c r="A290" s="8" t="s">
        <v>1179</v>
      </c>
      <c r="B290" s="8" t="s">
        <v>3027</v>
      </c>
      <c r="C290" s="360" t="s">
        <v>3028</v>
      </c>
      <c r="D290" s="360" t="s">
        <v>3028</v>
      </c>
      <c r="E290" s="8" t="s">
        <v>2347</v>
      </c>
      <c r="F290" s="8" t="str">
        <f t="shared" si="4"/>
        <v>{ "v": "CAM_LV4_288", "n" : { "SYS": "BALENG", "EN": "BALENG" }, "vi" : [ { "r": "A-30", "o": "=", "t": "v", "v": "CAM_LV3_268" } ] },</v>
      </c>
    </row>
    <row r="291" spans="1:6">
      <c r="A291" s="8" t="s">
        <v>1179</v>
      </c>
      <c r="B291" s="8" t="s">
        <v>3029</v>
      </c>
      <c r="C291" s="360" t="s">
        <v>3030</v>
      </c>
      <c r="D291" s="360" t="s">
        <v>3030</v>
      </c>
      <c r="E291" s="8" t="s">
        <v>2347</v>
      </c>
      <c r="F291" s="8" t="str">
        <f t="shared" si="4"/>
        <v>{ "v": "CAM_LV4_289", "n" : { "SYS": "NGOUACHE", "EN": "NGOUACHE" }, "vi" : [ { "r": "A-30", "o": "=", "t": "v", "v": "CAM_LV3_268" } ] },</v>
      </c>
    </row>
    <row r="292" spans="1:6">
      <c r="A292" s="8" t="s">
        <v>1179</v>
      </c>
      <c r="B292" s="8" t="s">
        <v>3031</v>
      </c>
      <c r="C292" s="360" t="s">
        <v>3032</v>
      </c>
      <c r="D292" s="360" t="s">
        <v>3032</v>
      </c>
      <c r="E292" s="8" t="s">
        <v>2347</v>
      </c>
      <c r="F292" s="8" t="str">
        <f t="shared" si="4"/>
        <v>{ "v": "CAM_LV4_290", "n" : { "SYS": "KOUOGOUO", "EN": "KOUOGOUO" }, "vi" : [ { "r": "A-30", "o": "=", "t": "v", "v": "CAM_LV3_268" } ] },</v>
      </c>
    </row>
    <row r="293" spans="1:6">
      <c r="A293" s="8" t="s">
        <v>1179</v>
      </c>
      <c r="B293" s="8" t="s">
        <v>3033</v>
      </c>
      <c r="C293" s="360" t="s">
        <v>3034</v>
      </c>
      <c r="D293" s="360" t="s">
        <v>3034</v>
      </c>
      <c r="E293" s="8" t="s">
        <v>2347</v>
      </c>
      <c r="F293" s="8" t="str">
        <f t="shared" si="4"/>
        <v>{ "v": "CAM_LV4_291", "n" : { "SYS": "LAFE II", "EN": "LAFE II" }, "vi" : [ { "r": "A-30", "o": "=", "t": "v", "v": "CAM_LV3_268" } ] },</v>
      </c>
    </row>
    <row r="294" spans="1:6">
      <c r="A294" s="8" t="s">
        <v>1179</v>
      </c>
      <c r="B294" s="8" t="s">
        <v>3035</v>
      </c>
      <c r="C294" s="360" t="s">
        <v>3036</v>
      </c>
      <c r="D294" s="360" t="s">
        <v>3036</v>
      </c>
      <c r="E294" s="8" t="s">
        <v>2347</v>
      </c>
      <c r="F294" s="8" t="str">
        <f t="shared" si="4"/>
        <v>{ "v": "CAM_LV4_292", "n" : { "SYS": "TOKET", "EN": "TOKET" }, "vi" : [ { "r": "A-30", "o": "=", "t": "v", "v": "CAM_LV3_268" } ] },</v>
      </c>
    </row>
    <row r="295" spans="1:6">
      <c r="A295" s="8" t="s">
        <v>1179</v>
      </c>
      <c r="B295" s="8" t="s">
        <v>3037</v>
      </c>
      <c r="C295" s="360" t="s">
        <v>3038</v>
      </c>
      <c r="D295" s="360" t="s">
        <v>3038</v>
      </c>
      <c r="E295" s="8" t="s">
        <v>2347</v>
      </c>
      <c r="F295" s="8" t="str">
        <f t="shared" si="4"/>
        <v>{ "v": "CAM_LV4_293", "n" : { "SYS": "TCHOUWONG", "EN": "TCHOUWONG" }, "vi" : [ { "r": "A-30", "o": "=", "t": "v", "v": "CAM_LV3_268" } ] },</v>
      </c>
    </row>
    <row r="296" spans="1:6">
      <c r="A296" s="8" t="s">
        <v>1179</v>
      </c>
      <c r="B296" s="8" t="s">
        <v>3039</v>
      </c>
      <c r="C296" s="360" t="s">
        <v>3040</v>
      </c>
      <c r="D296" s="360" t="s">
        <v>3040</v>
      </c>
      <c r="E296" s="8" t="s">
        <v>2347</v>
      </c>
      <c r="F296" s="8" t="str">
        <f t="shared" si="4"/>
        <v>{ "v": "CAM_LV4_294", "n" : { "SYS": "TCHIPOU", "EN": "TCHIPOU" }, "vi" : [ { "r": "A-30", "o": "=", "t": "v", "v": "CAM_LV3_268" } ] },</v>
      </c>
    </row>
    <row r="297" spans="1:6">
      <c r="A297" s="8" t="s">
        <v>1179</v>
      </c>
      <c r="B297" s="8" t="s">
        <v>3041</v>
      </c>
      <c r="C297" s="360" t="s">
        <v>3042</v>
      </c>
      <c r="D297" s="360" t="s">
        <v>3042</v>
      </c>
      <c r="E297" s="8" t="s">
        <v>2347</v>
      </c>
      <c r="F297" s="8" t="str">
        <f t="shared" si="4"/>
        <v>{ "v": "CAM_LV4_295", "n" : { "SYS": "NDZE", "EN": "NDZE" }, "vi" : [ { "r": "A-30", "o": "=", "t": "v", "v": "CAM_LV3_268" } ] },</v>
      </c>
    </row>
  </sheetData>
  <autoFilter ref="A2:F2" xr:uid="{ED7AD40F-6D1B-4004-8841-6E750700D3EF}"/>
  <phoneticPr fontId="19" type="noConversion"/>
  <conditionalFormatting sqref="C3:C263 C298:C365">
    <cfRule type="duplicateValues" dxfId="13" priority="2"/>
  </conditionalFormatting>
  <conditionalFormatting sqref="D3:D263 D298:D365">
    <cfRule type="duplicateValues" dxfId="12" priority="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D06E6-845C-46D2-9AFE-3DAD55907394}">
  <sheetPr>
    <tabColor rgb="FFFF0000"/>
  </sheetPr>
  <dimension ref="A2:I365"/>
  <sheetViews>
    <sheetView workbookViewId="0">
      <selection activeCell="C13" sqref="C13"/>
    </sheetView>
  </sheetViews>
  <sheetFormatPr defaultRowHeight="14.45"/>
  <cols>
    <col min="2" max="2" width="16.5703125" customWidth="1"/>
    <col min="3" max="3" width="28.85546875" customWidth="1"/>
    <col min="4" max="4" width="29.5703125" customWidth="1"/>
    <col min="5" max="5" width="16.5703125" customWidth="1"/>
    <col min="8" max="8" width="14.5703125" customWidth="1"/>
    <col min="9" max="9" width="17" customWidth="1"/>
  </cols>
  <sheetData>
    <row r="2" spans="1:9">
      <c r="A2" t="s">
        <v>839</v>
      </c>
      <c r="B2" s="353" t="s">
        <v>20</v>
      </c>
      <c r="C2" s="353" t="s">
        <v>840</v>
      </c>
      <c r="D2" s="353" t="s">
        <v>841</v>
      </c>
      <c r="E2" s="353" t="s">
        <v>2036</v>
      </c>
      <c r="H2" t="s">
        <v>3043</v>
      </c>
      <c r="I2" t="s">
        <v>3044</v>
      </c>
    </row>
    <row r="3" spans="1:9">
      <c r="A3">
        <v>1</v>
      </c>
      <c r="B3" t="str">
        <f t="shared" ref="B3:B66" si="0">_xlfn.CONCAT("CAM_LV3_",A3)</f>
        <v>CAM_LV3_1</v>
      </c>
      <c r="C3" t="s">
        <v>2460</v>
      </c>
      <c r="D3" t="s">
        <v>870</v>
      </c>
      <c r="E3" t="e">
        <f>+_xlfn.XLOOKUP(C3,Sheet4!F:F,Sheet4!G:G)</f>
        <v>#N/A</v>
      </c>
      <c r="H3" t="s">
        <v>3045</v>
      </c>
      <c r="I3" t="s">
        <v>2460</v>
      </c>
    </row>
    <row r="4" spans="1:9">
      <c r="A4">
        <v>2</v>
      </c>
      <c r="B4" t="str">
        <f t="shared" si="0"/>
        <v>CAM_LV3_2</v>
      </c>
      <c r="C4" t="s">
        <v>2462</v>
      </c>
      <c r="D4" t="s">
        <v>871</v>
      </c>
      <c r="E4" t="e">
        <f>+_xlfn.XLOOKUP(C4,Sheet4!F:F,Sheet4!G:G)</f>
        <v>#N/A</v>
      </c>
      <c r="H4" t="s">
        <v>3045</v>
      </c>
      <c r="I4" t="s">
        <v>2462</v>
      </c>
    </row>
    <row r="5" spans="1:9">
      <c r="A5">
        <v>3</v>
      </c>
      <c r="B5" t="str">
        <f t="shared" si="0"/>
        <v>CAM_LV3_3</v>
      </c>
      <c r="C5" t="s">
        <v>2464</v>
      </c>
      <c r="D5" t="s">
        <v>873</v>
      </c>
      <c r="E5" t="e">
        <f>+_xlfn.XLOOKUP(C5,Sheet4!F:F,Sheet4!G:G)</f>
        <v>#N/A</v>
      </c>
      <c r="H5" t="s">
        <v>3045</v>
      </c>
      <c r="I5" t="s">
        <v>2464</v>
      </c>
    </row>
    <row r="6" spans="1:9">
      <c r="A6">
        <v>4</v>
      </c>
      <c r="B6" t="str">
        <f t="shared" si="0"/>
        <v>CAM_LV3_4</v>
      </c>
      <c r="C6" t="s">
        <v>2466</v>
      </c>
      <c r="D6" t="s">
        <v>875</v>
      </c>
      <c r="E6" t="e">
        <f>+_xlfn.XLOOKUP(C6,Sheet4!F:F,Sheet4!G:G)</f>
        <v>#N/A</v>
      </c>
      <c r="H6" t="s">
        <v>3045</v>
      </c>
      <c r="I6" t="s">
        <v>2466</v>
      </c>
    </row>
    <row r="7" spans="1:9">
      <c r="A7">
        <v>5</v>
      </c>
      <c r="B7" t="str">
        <f t="shared" si="0"/>
        <v>CAM_LV3_5</v>
      </c>
      <c r="C7" t="s">
        <v>2468</v>
      </c>
      <c r="D7" t="s">
        <v>876</v>
      </c>
      <c r="E7" t="e">
        <f>+_xlfn.XLOOKUP(C7,Sheet4!F:F,Sheet4!G:G)</f>
        <v>#N/A</v>
      </c>
      <c r="H7" t="s">
        <v>3045</v>
      </c>
      <c r="I7" t="s">
        <v>2468</v>
      </c>
    </row>
    <row r="8" spans="1:9">
      <c r="A8">
        <v>6</v>
      </c>
      <c r="B8" t="str">
        <f t="shared" si="0"/>
        <v>CAM_LV3_6</v>
      </c>
      <c r="C8" t="s">
        <v>2470</v>
      </c>
      <c r="D8" t="s">
        <v>878</v>
      </c>
      <c r="E8" t="str">
        <f>+_xlfn.XLOOKUP(C8,Sheet4!F:F,Sheet4!G:G)</f>
        <v>CAM_LV2_37</v>
      </c>
      <c r="H8" t="s">
        <v>3045</v>
      </c>
      <c r="I8" t="s">
        <v>2470</v>
      </c>
    </row>
    <row r="9" spans="1:9">
      <c r="A9">
        <v>7</v>
      </c>
      <c r="B9" t="str">
        <f t="shared" si="0"/>
        <v>CAM_LV3_7</v>
      </c>
      <c r="C9" t="s">
        <v>2472</v>
      </c>
      <c r="D9" t="s">
        <v>879</v>
      </c>
      <c r="E9" t="e">
        <f>+_xlfn.XLOOKUP(C9,Sheet4!F:F,Sheet4!G:G)</f>
        <v>#N/A</v>
      </c>
      <c r="H9" t="s">
        <v>3045</v>
      </c>
      <c r="I9" t="s">
        <v>2472</v>
      </c>
    </row>
    <row r="10" spans="1:9">
      <c r="A10">
        <v>8</v>
      </c>
      <c r="B10" t="str">
        <f t="shared" si="0"/>
        <v>CAM_LV3_8</v>
      </c>
      <c r="C10" t="s">
        <v>2474</v>
      </c>
      <c r="D10" t="s">
        <v>880</v>
      </c>
      <c r="E10" t="e">
        <f>+_xlfn.XLOOKUP(C10,Sheet4!F:F,Sheet4!G:G)</f>
        <v>#N/A</v>
      </c>
      <c r="H10" t="s">
        <v>3045</v>
      </c>
      <c r="I10" t="s">
        <v>2474</v>
      </c>
    </row>
    <row r="11" spans="1:9">
      <c r="A11">
        <v>9</v>
      </c>
      <c r="B11" t="str">
        <f t="shared" si="0"/>
        <v>CAM_LV3_9</v>
      </c>
      <c r="C11" t="s">
        <v>2476</v>
      </c>
      <c r="D11" t="s">
        <v>881</v>
      </c>
      <c r="E11" t="e">
        <f>+_xlfn.XLOOKUP(C11,Sheet4!F:F,Sheet4!G:G)</f>
        <v>#N/A</v>
      </c>
      <c r="H11" t="s">
        <v>3045</v>
      </c>
      <c r="I11" t="s">
        <v>2476</v>
      </c>
    </row>
    <row r="12" spans="1:9">
      <c r="A12">
        <v>10</v>
      </c>
      <c r="B12" t="str">
        <f t="shared" si="0"/>
        <v>CAM_LV3_10</v>
      </c>
      <c r="C12" t="s">
        <v>2478</v>
      </c>
      <c r="D12" t="s">
        <v>882</v>
      </c>
      <c r="E12" t="e">
        <f>+_xlfn.XLOOKUP(C12,Sheet4!F:F,Sheet4!G:G)</f>
        <v>#N/A</v>
      </c>
      <c r="H12" t="s">
        <v>3045</v>
      </c>
      <c r="I12" t="s">
        <v>2478</v>
      </c>
    </row>
    <row r="13" spans="1:9">
      <c r="A13">
        <v>11</v>
      </c>
      <c r="B13" t="str">
        <f t="shared" si="0"/>
        <v>CAM_LV3_11</v>
      </c>
      <c r="C13" t="s">
        <v>2480</v>
      </c>
      <c r="D13" t="s">
        <v>883</v>
      </c>
      <c r="E13" t="e">
        <f>+_xlfn.XLOOKUP(C13,Sheet4!F:F,Sheet4!G:G)</f>
        <v>#N/A</v>
      </c>
      <c r="H13" t="s">
        <v>3045</v>
      </c>
      <c r="I13" t="s">
        <v>2480</v>
      </c>
    </row>
    <row r="14" spans="1:9">
      <c r="A14">
        <v>12</v>
      </c>
      <c r="B14" t="str">
        <f t="shared" si="0"/>
        <v>CAM_LV3_12</v>
      </c>
      <c r="C14" t="s">
        <v>2482</v>
      </c>
      <c r="D14" t="s">
        <v>884</v>
      </c>
      <c r="E14" t="e">
        <f>+_xlfn.XLOOKUP(C14,Sheet4!F:F,Sheet4!G:G)</f>
        <v>#N/A</v>
      </c>
      <c r="H14" t="s">
        <v>3045</v>
      </c>
      <c r="I14" t="s">
        <v>2482</v>
      </c>
    </row>
    <row r="15" spans="1:9">
      <c r="A15">
        <v>13</v>
      </c>
      <c r="B15" t="str">
        <f t="shared" si="0"/>
        <v>CAM_LV3_13</v>
      </c>
      <c r="C15" t="s">
        <v>2484</v>
      </c>
      <c r="D15" t="s">
        <v>885</v>
      </c>
      <c r="E15" t="e">
        <f>+_xlfn.XLOOKUP(C15,Sheet4!F:F,Sheet4!G:G)</f>
        <v>#N/A</v>
      </c>
      <c r="H15" t="s">
        <v>3045</v>
      </c>
      <c r="I15" t="s">
        <v>2484</v>
      </c>
    </row>
    <row r="16" spans="1:9">
      <c r="A16">
        <v>14</v>
      </c>
      <c r="B16" t="str">
        <f t="shared" si="0"/>
        <v>CAM_LV3_14</v>
      </c>
      <c r="C16" t="s">
        <v>2486</v>
      </c>
      <c r="D16" t="s">
        <v>886</v>
      </c>
      <c r="E16" t="e">
        <f>+_xlfn.XLOOKUP(C16,Sheet4!F:F,Sheet4!G:G)</f>
        <v>#N/A</v>
      </c>
      <c r="H16" t="s">
        <v>3045</v>
      </c>
      <c r="I16" t="s">
        <v>2486</v>
      </c>
    </row>
    <row r="17" spans="1:9">
      <c r="A17">
        <v>15</v>
      </c>
      <c r="B17" t="str">
        <f t="shared" si="0"/>
        <v>CAM_LV3_15</v>
      </c>
      <c r="C17" t="s">
        <v>2488</v>
      </c>
      <c r="D17" t="s">
        <v>888</v>
      </c>
      <c r="E17" t="e">
        <f>+_xlfn.XLOOKUP(C17,Sheet4!F:F,Sheet4!G:G)</f>
        <v>#N/A</v>
      </c>
      <c r="H17" t="s">
        <v>3045</v>
      </c>
      <c r="I17" t="s">
        <v>2488</v>
      </c>
    </row>
    <row r="18" spans="1:9">
      <c r="A18">
        <v>16</v>
      </c>
      <c r="B18" t="str">
        <f t="shared" si="0"/>
        <v>CAM_LV3_16</v>
      </c>
      <c r="C18" t="s">
        <v>2490</v>
      </c>
      <c r="D18" t="s">
        <v>889</v>
      </c>
      <c r="E18" t="e">
        <f>+_xlfn.XLOOKUP(C18,Sheet4!F:F,Sheet4!G:G)</f>
        <v>#N/A</v>
      </c>
      <c r="H18" t="s">
        <v>3045</v>
      </c>
      <c r="I18" t="s">
        <v>2490</v>
      </c>
    </row>
    <row r="19" spans="1:9">
      <c r="A19">
        <v>17</v>
      </c>
      <c r="B19" t="str">
        <f t="shared" si="0"/>
        <v>CAM_LV3_17</v>
      </c>
      <c r="C19" t="s">
        <v>2492</v>
      </c>
      <c r="D19" t="s">
        <v>890</v>
      </c>
      <c r="E19" t="e">
        <f>+_xlfn.XLOOKUP(C19,Sheet4!F:F,Sheet4!G:G)</f>
        <v>#N/A</v>
      </c>
      <c r="H19" t="s">
        <v>3045</v>
      </c>
      <c r="I19" t="s">
        <v>2492</v>
      </c>
    </row>
    <row r="20" spans="1:9">
      <c r="A20">
        <v>18</v>
      </c>
      <c r="B20" t="str">
        <f t="shared" si="0"/>
        <v>CAM_LV3_18</v>
      </c>
      <c r="C20" t="s">
        <v>2494</v>
      </c>
      <c r="D20" t="s">
        <v>891</v>
      </c>
      <c r="E20" t="e">
        <f>+_xlfn.XLOOKUP(C20,Sheet4!F:F,Sheet4!G:G)</f>
        <v>#N/A</v>
      </c>
      <c r="H20" t="s">
        <v>3045</v>
      </c>
      <c r="I20" t="s">
        <v>2494</v>
      </c>
    </row>
    <row r="21" spans="1:9">
      <c r="A21">
        <v>19</v>
      </c>
      <c r="B21" t="str">
        <f t="shared" si="0"/>
        <v>CAM_LV3_19</v>
      </c>
      <c r="C21" t="s">
        <v>2496</v>
      </c>
      <c r="D21" t="s">
        <v>892</v>
      </c>
      <c r="E21" t="e">
        <f>+_xlfn.XLOOKUP(C21,Sheet4!F:F,Sheet4!G:G)</f>
        <v>#N/A</v>
      </c>
      <c r="H21" t="s">
        <v>3045</v>
      </c>
      <c r="I21" t="s">
        <v>2496</v>
      </c>
    </row>
    <row r="22" spans="1:9">
      <c r="A22">
        <v>20</v>
      </c>
      <c r="B22" t="str">
        <f t="shared" si="0"/>
        <v>CAM_LV3_20</v>
      </c>
      <c r="C22" t="s">
        <v>2498</v>
      </c>
      <c r="D22" t="s">
        <v>893</v>
      </c>
      <c r="E22" t="e">
        <f>+_xlfn.XLOOKUP(C22,Sheet4!F:F,Sheet4!G:G)</f>
        <v>#N/A</v>
      </c>
      <c r="H22" t="s">
        <v>3045</v>
      </c>
      <c r="I22" t="s">
        <v>2498</v>
      </c>
    </row>
    <row r="23" spans="1:9">
      <c r="A23">
        <v>21</v>
      </c>
      <c r="B23" t="str">
        <f t="shared" si="0"/>
        <v>CAM_LV3_21</v>
      </c>
      <c r="C23" t="s">
        <v>2500</v>
      </c>
      <c r="D23" t="s">
        <v>894</v>
      </c>
      <c r="E23" t="e">
        <f>+_xlfn.XLOOKUP(C23,Sheet4!F:F,Sheet4!G:G)</f>
        <v>#N/A</v>
      </c>
      <c r="H23" t="s">
        <v>3045</v>
      </c>
      <c r="I23" t="s">
        <v>2500</v>
      </c>
    </row>
    <row r="24" spans="1:9">
      <c r="A24">
        <v>22</v>
      </c>
      <c r="B24" t="str">
        <f t="shared" si="0"/>
        <v>CAM_LV3_22</v>
      </c>
      <c r="C24" t="s">
        <v>2502</v>
      </c>
      <c r="D24" t="s">
        <v>896</v>
      </c>
      <c r="E24" t="e">
        <f>+_xlfn.XLOOKUP(C24,Sheet4!F:F,Sheet4!G:G)</f>
        <v>#N/A</v>
      </c>
      <c r="H24" t="s">
        <v>3045</v>
      </c>
      <c r="I24" t="s">
        <v>2502</v>
      </c>
    </row>
    <row r="25" spans="1:9">
      <c r="A25">
        <v>23</v>
      </c>
      <c r="B25" t="str">
        <f t="shared" si="0"/>
        <v>CAM_LV3_23</v>
      </c>
      <c r="C25" t="s">
        <v>2504</v>
      </c>
      <c r="D25" t="s">
        <v>898</v>
      </c>
      <c r="E25" t="e">
        <f>+_xlfn.XLOOKUP(C25,Sheet4!F:F,Sheet4!G:G)</f>
        <v>#N/A</v>
      </c>
      <c r="H25" t="s">
        <v>3045</v>
      </c>
      <c r="I25" t="s">
        <v>2504</v>
      </c>
    </row>
    <row r="26" spans="1:9">
      <c r="A26">
        <v>24</v>
      </c>
      <c r="B26" t="str">
        <f t="shared" si="0"/>
        <v>CAM_LV3_24</v>
      </c>
      <c r="C26" t="s">
        <v>2506</v>
      </c>
      <c r="D26" t="s">
        <v>900</v>
      </c>
      <c r="E26" t="e">
        <f>+_xlfn.XLOOKUP(C26,Sheet4!F:F,Sheet4!G:G)</f>
        <v>#N/A</v>
      </c>
      <c r="H26" t="s">
        <v>3045</v>
      </c>
      <c r="I26" t="s">
        <v>2506</v>
      </c>
    </row>
    <row r="27" spans="1:9">
      <c r="A27">
        <v>25</v>
      </c>
      <c r="B27" t="str">
        <f t="shared" si="0"/>
        <v>CAM_LV3_25</v>
      </c>
      <c r="C27" t="s">
        <v>2508</v>
      </c>
      <c r="D27" t="s">
        <v>902</v>
      </c>
      <c r="E27" t="e">
        <f>+_xlfn.XLOOKUP(C27,Sheet4!F:F,Sheet4!G:G)</f>
        <v>#N/A</v>
      </c>
      <c r="H27" t="s">
        <v>3045</v>
      </c>
      <c r="I27" t="s">
        <v>2508</v>
      </c>
    </row>
    <row r="28" spans="1:9">
      <c r="A28">
        <v>26</v>
      </c>
      <c r="B28" t="str">
        <f t="shared" si="0"/>
        <v>CAM_LV3_26</v>
      </c>
      <c r="C28" t="s">
        <v>2510</v>
      </c>
      <c r="D28" t="s">
        <v>903</v>
      </c>
      <c r="E28" t="e">
        <f>+_xlfn.XLOOKUP(C28,Sheet4!F:F,Sheet4!G:G)</f>
        <v>#N/A</v>
      </c>
      <c r="H28" t="s">
        <v>3045</v>
      </c>
      <c r="I28" t="s">
        <v>2510</v>
      </c>
    </row>
    <row r="29" spans="1:9">
      <c r="A29">
        <v>27</v>
      </c>
      <c r="B29" t="str">
        <f t="shared" si="0"/>
        <v>CAM_LV3_27</v>
      </c>
      <c r="C29" t="s">
        <v>2512</v>
      </c>
      <c r="D29" t="s">
        <v>904</v>
      </c>
      <c r="E29" t="e">
        <f>+_xlfn.XLOOKUP(C29,Sheet4!F:F,Sheet4!G:G)</f>
        <v>#N/A</v>
      </c>
      <c r="H29" t="s">
        <v>3046</v>
      </c>
      <c r="I29" t="s">
        <v>2512</v>
      </c>
    </row>
    <row r="30" spans="1:9">
      <c r="A30">
        <v>28</v>
      </c>
      <c r="B30" t="str">
        <f t="shared" si="0"/>
        <v>CAM_LV3_28</v>
      </c>
      <c r="C30" t="s">
        <v>2514</v>
      </c>
      <c r="D30" t="s">
        <v>905</v>
      </c>
      <c r="E30" t="e">
        <f>+_xlfn.XLOOKUP(C30,Sheet4!F:F,Sheet4!G:G)</f>
        <v>#N/A</v>
      </c>
      <c r="H30" t="s">
        <v>3046</v>
      </c>
      <c r="I30" t="s">
        <v>2514</v>
      </c>
    </row>
    <row r="31" spans="1:9">
      <c r="A31">
        <v>29</v>
      </c>
      <c r="B31" t="str">
        <f t="shared" si="0"/>
        <v>CAM_LV3_29</v>
      </c>
      <c r="C31" t="s">
        <v>2516</v>
      </c>
      <c r="D31" t="s">
        <v>907</v>
      </c>
      <c r="E31" t="e">
        <f>+_xlfn.XLOOKUP(C31,Sheet4!F:F,Sheet4!G:G)</f>
        <v>#N/A</v>
      </c>
      <c r="H31" t="s">
        <v>3046</v>
      </c>
      <c r="I31" t="s">
        <v>2516</v>
      </c>
    </row>
    <row r="32" spans="1:9">
      <c r="A32">
        <v>30</v>
      </c>
      <c r="B32" t="str">
        <f t="shared" si="0"/>
        <v>CAM_LV3_30</v>
      </c>
      <c r="C32" t="s">
        <v>2518</v>
      </c>
      <c r="D32" t="s">
        <v>909</v>
      </c>
      <c r="E32" t="e">
        <f>+_xlfn.XLOOKUP(C32,Sheet4!F:F,Sheet4!G:G)</f>
        <v>#N/A</v>
      </c>
      <c r="H32" t="s">
        <v>3046</v>
      </c>
      <c r="I32" t="s">
        <v>2518</v>
      </c>
    </row>
    <row r="33" spans="1:9">
      <c r="A33">
        <v>31</v>
      </c>
      <c r="B33" t="str">
        <f t="shared" si="0"/>
        <v>CAM_LV3_31</v>
      </c>
      <c r="C33" t="s">
        <v>2520</v>
      </c>
      <c r="D33" t="s">
        <v>911</v>
      </c>
      <c r="E33" t="e">
        <f>+_xlfn.XLOOKUP(C33,Sheet4!F:F,Sheet4!G:G)</f>
        <v>#N/A</v>
      </c>
      <c r="H33" t="s">
        <v>3046</v>
      </c>
      <c r="I33" t="s">
        <v>2520</v>
      </c>
    </row>
    <row r="34" spans="1:9">
      <c r="A34">
        <v>32</v>
      </c>
      <c r="B34" t="str">
        <f t="shared" si="0"/>
        <v>CAM_LV3_32</v>
      </c>
      <c r="C34" t="s">
        <v>2522</v>
      </c>
      <c r="D34" t="s">
        <v>912</v>
      </c>
      <c r="E34" t="e">
        <f>+_xlfn.XLOOKUP(C34,Sheet4!F:F,Sheet4!G:G)</f>
        <v>#N/A</v>
      </c>
      <c r="H34" t="s">
        <v>3046</v>
      </c>
      <c r="I34" t="s">
        <v>2522</v>
      </c>
    </row>
    <row r="35" spans="1:9">
      <c r="A35">
        <v>33</v>
      </c>
      <c r="B35" t="str">
        <f t="shared" si="0"/>
        <v>CAM_LV3_33</v>
      </c>
      <c r="C35" t="s">
        <v>2524</v>
      </c>
      <c r="D35" t="s">
        <v>914</v>
      </c>
      <c r="E35" t="e">
        <f>+_xlfn.XLOOKUP(C35,Sheet4!F:F,Sheet4!G:G)</f>
        <v>#N/A</v>
      </c>
      <c r="H35" t="s">
        <v>3046</v>
      </c>
      <c r="I35" t="s">
        <v>2524</v>
      </c>
    </row>
    <row r="36" spans="1:9">
      <c r="A36">
        <v>34</v>
      </c>
      <c r="B36" t="str">
        <f t="shared" si="0"/>
        <v>CAM_LV3_34</v>
      </c>
      <c r="C36" t="s">
        <v>2526</v>
      </c>
      <c r="D36" t="s">
        <v>915</v>
      </c>
      <c r="E36" t="e">
        <f>+_xlfn.XLOOKUP(C36,Sheet4!F:F,Sheet4!G:G)</f>
        <v>#N/A</v>
      </c>
      <c r="H36" t="s">
        <v>3046</v>
      </c>
      <c r="I36" t="s">
        <v>2526</v>
      </c>
    </row>
    <row r="37" spans="1:9">
      <c r="A37">
        <v>35</v>
      </c>
      <c r="B37" t="str">
        <f t="shared" si="0"/>
        <v>CAM_LV3_35</v>
      </c>
      <c r="C37" t="s">
        <v>2528</v>
      </c>
      <c r="D37" t="s">
        <v>916</v>
      </c>
      <c r="E37" t="e">
        <f>+_xlfn.XLOOKUP(C37,Sheet4!F:F,Sheet4!G:G)</f>
        <v>#N/A</v>
      </c>
      <c r="H37" t="s">
        <v>3046</v>
      </c>
      <c r="I37" t="s">
        <v>2528</v>
      </c>
    </row>
    <row r="38" spans="1:9">
      <c r="A38">
        <v>36</v>
      </c>
      <c r="B38" t="str">
        <f t="shared" si="0"/>
        <v>CAM_LV3_36</v>
      </c>
      <c r="C38" t="s">
        <v>2530</v>
      </c>
      <c r="D38" t="s">
        <v>917</v>
      </c>
      <c r="E38" t="e">
        <f>+_xlfn.XLOOKUP(C38,Sheet4!F:F,Sheet4!G:G)</f>
        <v>#N/A</v>
      </c>
      <c r="H38" t="s">
        <v>3046</v>
      </c>
      <c r="I38" t="s">
        <v>2530</v>
      </c>
    </row>
    <row r="39" spans="1:9">
      <c r="A39">
        <v>37</v>
      </c>
      <c r="B39" t="str">
        <f t="shared" si="0"/>
        <v>CAM_LV3_37</v>
      </c>
      <c r="C39" t="s">
        <v>2532</v>
      </c>
      <c r="D39" t="s">
        <v>918</v>
      </c>
      <c r="E39" t="e">
        <f>+_xlfn.XLOOKUP(C39,Sheet4!F:F,Sheet4!G:G)</f>
        <v>#N/A</v>
      </c>
      <c r="H39" t="s">
        <v>3046</v>
      </c>
      <c r="I39" t="s">
        <v>2532</v>
      </c>
    </row>
    <row r="40" spans="1:9">
      <c r="A40">
        <v>38</v>
      </c>
      <c r="B40" t="str">
        <f t="shared" si="0"/>
        <v>CAM_LV3_38</v>
      </c>
      <c r="C40" t="s">
        <v>2534</v>
      </c>
      <c r="D40" t="s">
        <v>919</v>
      </c>
      <c r="E40" t="e">
        <f>+_xlfn.XLOOKUP(C40,Sheet4!F:F,Sheet4!G:G)</f>
        <v>#N/A</v>
      </c>
      <c r="H40" t="s">
        <v>3046</v>
      </c>
      <c r="I40" t="s">
        <v>2534</v>
      </c>
    </row>
    <row r="41" spans="1:9">
      <c r="A41">
        <v>39</v>
      </c>
      <c r="B41" t="str">
        <f t="shared" si="0"/>
        <v>CAM_LV3_39</v>
      </c>
      <c r="C41" t="s">
        <v>2536</v>
      </c>
      <c r="D41" t="s">
        <v>920</v>
      </c>
      <c r="E41" t="e">
        <f>+_xlfn.XLOOKUP(C41,Sheet4!F:F,Sheet4!G:G)</f>
        <v>#N/A</v>
      </c>
      <c r="H41" t="s">
        <v>3046</v>
      </c>
      <c r="I41" t="s">
        <v>2536</v>
      </c>
    </row>
    <row r="42" spans="1:9">
      <c r="A42">
        <v>40</v>
      </c>
      <c r="B42" t="str">
        <f t="shared" si="0"/>
        <v>CAM_LV3_40</v>
      </c>
      <c r="C42" t="s">
        <v>2538</v>
      </c>
      <c r="D42" t="s">
        <v>921</v>
      </c>
      <c r="E42" t="e">
        <f>+_xlfn.XLOOKUP(C42,Sheet4!F:F,Sheet4!G:G)</f>
        <v>#N/A</v>
      </c>
      <c r="H42" t="s">
        <v>3046</v>
      </c>
      <c r="I42" t="s">
        <v>2538</v>
      </c>
    </row>
    <row r="43" spans="1:9">
      <c r="A43">
        <v>41</v>
      </c>
      <c r="B43" t="str">
        <f t="shared" si="0"/>
        <v>CAM_LV3_41</v>
      </c>
      <c r="C43" t="s">
        <v>2540</v>
      </c>
      <c r="D43" t="s">
        <v>922</v>
      </c>
      <c r="E43" t="e">
        <f>+_xlfn.XLOOKUP(C43,Sheet4!F:F,Sheet4!G:G)</f>
        <v>#N/A</v>
      </c>
      <c r="H43" t="s">
        <v>3046</v>
      </c>
      <c r="I43" t="s">
        <v>2540</v>
      </c>
    </row>
    <row r="44" spans="1:9">
      <c r="A44">
        <v>42</v>
      </c>
      <c r="B44" t="str">
        <f t="shared" si="0"/>
        <v>CAM_LV3_42</v>
      </c>
      <c r="C44" t="s">
        <v>2542</v>
      </c>
      <c r="D44" t="s">
        <v>923</v>
      </c>
      <c r="E44" t="e">
        <f>+_xlfn.XLOOKUP(C44,Sheet4!F:F,Sheet4!G:G)</f>
        <v>#N/A</v>
      </c>
      <c r="H44" t="s">
        <v>3046</v>
      </c>
      <c r="I44" t="s">
        <v>2542</v>
      </c>
    </row>
    <row r="45" spans="1:9">
      <c r="A45">
        <v>43</v>
      </c>
      <c r="B45" t="str">
        <f t="shared" si="0"/>
        <v>CAM_LV3_43</v>
      </c>
      <c r="C45" t="s">
        <v>2544</v>
      </c>
      <c r="D45" t="s">
        <v>924</v>
      </c>
      <c r="E45" t="e">
        <f>+_xlfn.XLOOKUP(C45,Sheet4!F:F,Sheet4!G:G)</f>
        <v>#N/A</v>
      </c>
      <c r="H45" t="s">
        <v>3046</v>
      </c>
      <c r="I45" t="s">
        <v>2544</v>
      </c>
    </row>
    <row r="46" spans="1:9">
      <c r="A46">
        <v>44</v>
      </c>
      <c r="B46" t="str">
        <f t="shared" si="0"/>
        <v>CAM_LV3_44</v>
      </c>
      <c r="C46" t="s">
        <v>2546</v>
      </c>
      <c r="D46" t="s">
        <v>925</v>
      </c>
      <c r="E46" t="e">
        <f>+_xlfn.XLOOKUP(C46,Sheet4!F:F,Sheet4!G:G)</f>
        <v>#N/A</v>
      </c>
      <c r="H46" t="s">
        <v>3046</v>
      </c>
      <c r="I46" t="s">
        <v>2546</v>
      </c>
    </row>
    <row r="47" spans="1:9">
      <c r="A47">
        <v>45</v>
      </c>
      <c r="B47" t="str">
        <f t="shared" si="0"/>
        <v>CAM_LV3_45</v>
      </c>
      <c r="C47" t="s">
        <v>2548</v>
      </c>
      <c r="D47" t="s">
        <v>926</v>
      </c>
      <c r="E47" t="e">
        <f>+_xlfn.XLOOKUP(C47,Sheet4!F:F,Sheet4!G:G)</f>
        <v>#N/A</v>
      </c>
      <c r="H47" t="s">
        <v>3046</v>
      </c>
      <c r="I47" t="s">
        <v>2548</v>
      </c>
    </row>
    <row r="48" spans="1:9">
      <c r="A48">
        <v>46</v>
      </c>
      <c r="B48" t="str">
        <f t="shared" si="0"/>
        <v>CAM_LV3_46</v>
      </c>
      <c r="C48" t="s">
        <v>2550</v>
      </c>
      <c r="D48" t="s">
        <v>927</v>
      </c>
      <c r="E48" t="e">
        <f>+_xlfn.XLOOKUP(C48,Sheet4!F:F,Sheet4!G:G)</f>
        <v>#N/A</v>
      </c>
      <c r="H48" t="s">
        <v>3046</v>
      </c>
      <c r="I48" t="s">
        <v>2550</v>
      </c>
    </row>
    <row r="49" spans="1:9">
      <c r="A49">
        <v>47</v>
      </c>
      <c r="B49" t="str">
        <f t="shared" si="0"/>
        <v>CAM_LV3_47</v>
      </c>
      <c r="C49" t="s">
        <v>2552</v>
      </c>
      <c r="D49" t="s">
        <v>928</v>
      </c>
      <c r="E49" t="e">
        <f>+_xlfn.XLOOKUP(C49,Sheet4!F:F,Sheet4!G:G)</f>
        <v>#N/A</v>
      </c>
      <c r="H49" t="s">
        <v>3046</v>
      </c>
      <c r="I49" t="s">
        <v>2552</v>
      </c>
    </row>
    <row r="50" spans="1:9">
      <c r="A50">
        <v>48</v>
      </c>
      <c r="B50" t="str">
        <f t="shared" si="0"/>
        <v>CAM_LV3_48</v>
      </c>
      <c r="C50" t="s">
        <v>2554</v>
      </c>
      <c r="D50" t="s">
        <v>929</v>
      </c>
      <c r="E50" t="e">
        <f>+_xlfn.XLOOKUP(C50,Sheet4!F:F,Sheet4!G:G)</f>
        <v>#N/A</v>
      </c>
      <c r="H50" t="s">
        <v>3046</v>
      </c>
      <c r="I50" t="s">
        <v>2554</v>
      </c>
    </row>
    <row r="51" spans="1:9">
      <c r="A51">
        <v>49</v>
      </c>
      <c r="B51" t="str">
        <f t="shared" si="0"/>
        <v>CAM_LV3_49</v>
      </c>
      <c r="C51" t="s">
        <v>2556</v>
      </c>
      <c r="D51" t="s">
        <v>930</v>
      </c>
      <c r="E51" t="e">
        <f>+_xlfn.XLOOKUP(C51,Sheet4!F:F,Sheet4!G:G)</f>
        <v>#N/A</v>
      </c>
      <c r="H51" t="s">
        <v>3046</v>
      </c>
      <c r="I51" t="s">
        <v>2556</v>
      </c>
    </row>
    <row r="52" spans="1:9">
      <c r="A52">
        <v>50</v>
      </c>
      <c r="B52" t="str">
        <f t="shared" si="0"/>
        <v>CAM_LV3_50</v>
      </c>
      <c r="C52" t="s">
        <v>2558</v>
      </c>
      <c r="D52" t="s">
        <v>931</v>
      </c>
      <c r="E52" t="e">
        <f>+_xlfn.XLOOKUP(C52,Sheet4!F:F,Sheet4!G:G)</f>
        <v>#N/A</v>
      </c>
      <c r="H52" t="s">
        <v>3046</v>
      </c>
      <c r="I52" t="s">
        <v>2558</v>
      </c>
    </row>
    <row r="53" spans="1:9">
      <c r="A53">
        <v>51</v>
      </c>
      <c r="B53" t="str">
        <f t="shared" si="0"/>
        <v>CAM_LV3_51</v>
      </c>
      <c r="C53" t="s">
        <v>2560</v>
      </c>
      <c r="D53" t="s">
        <v>932</v>
      </c>
      <c r="E53" t="e">
        <f>+_xlfn.XLOOKUP(C53,Sheet4!F:F,Sheet4!G:G)</f>
        <v>#N/A</v>
      </c>
      <c r="H53" t="s">
        <v>3046</v>
      </c>
      <c r="I53" t="s">
        <v>2560</v>
      </c>
    </row>
    <row r="54" spans="1:9">
      <c r="A54">
        <v>52</v>
      </c>
      <c r="B54" t="str">
        <f t="shared" si="0"/>
        <v>CAM_LV3_52</v>
      </c>
      <c r="C54" t="s">
        <v>2562</v>
      </c>
      <c r="D54" t="s">
        <v>933</v>
      </c>
      <c r="E54" t="e">
        <f>+_xlfn.XLOOKUP(C54,Sheet4!F:F,Sheet4!G:G)</f>
        <v>#N/A</v>
      </c>
      <c r="H54" t="s">
        <v>3046</v>
      </c>
      <c r="I54" t="s">
        <v>2562</v>
      </c>
    </row>
    <row r="55" spans="1:9">
      <c r="A55">
        <v>53</v>
      </c>
      <c r="B55" t="str">
        <f t="shared" si="0"/>
        <v>CAM_LV3_53</v>
      </c>
      <c r="C55" t="s">
        <v>2564</v>
      </c>
      <c r="D55" t="s">
        <v>934</v>
      </c>
      <c r="E55" t="e">
        <f>+_xlfn.XLOOKUP(C55,Sheet4!F:F,Sheet4!G:G)</f>
        <v>#N/A</v>
      </c>
      <c r="H55" t="s">
        <v>3046</v>
      </c>
      <c r="I55" t="s">
        <v>2564</v>
      </c>
    </row>
    <row r="56" spans="1:9">
      <c r="A56">
        <v>54</v>
      </c>
      <c r="B56" t="str">
        <f t="shared" si="0"/>
        <v>CAM_LV3_54</v>
      </c>
      <c r="C56" t="s">
        <v>2566</v>
      </c>
      <c r="D56" t="s">
        <v>935</v>
      </c>
      <c r="E56" t="e">
        <f>+_xlfn.XLOOKUP(C56,Sheet4!F:F,Sheet4!G:G)</f>
        <v>#N/A</v>
      </c>
      <c r="H56" t="s">
        <v>3046</v>
      </c>
      <c r="I56" t="s">
        <v>2566</v>
      </c>
    </row>
    <row r="57" spans="1:9">
      <c r="A57">
        <v>55</v>
      </c>
      <c r="B57" t="str">
        <f t="shared" si="0"/>
        <v>CAM_LV3_55</v>
      </c>
      <c r="C57" t="s">
        <v>2568</v>
      </c>
      <c r="D57" t="s">
        <v>936</v>
      </c>
      <c r="E57" t="e">
        <f>+_xlfn.XLOOKUP(C57,Sheet4!F:F,Sheet4!G:G)</f>
        <v>#N/A</v>
      </c>
      <c r="H57" t="s">
        <v>3046</v>
      </c>
      <c r="I57" t="s">
        <v>2568</v>
      </c>
    </row>
    <row r="58" spans="1:9">
      <c r="A58">
        <v>56</v>
      </c>
      <c r="B58" t="str">
        <f t="shared" si="0"/>
        <v>CAM_LV3_56</v>
      </c>
      <c r="C58" t="s">
        <v>2570</v>
      </c>
      <c r="D58" t="s">
        <v>938</v>
      </c>
      <c r="E58" t="e">
        <f>+_xlfn.XLOOKUP(C58,Sheet4!F:F,Sheet4!G:G)</f>
        <v>#N/A</v>
      </c>
      <c r="H58" t="s">
        <v>3046</v>
      </c>
      <c r="I58" t="s">
        <v>2570</v>
      </c>
    </row>
    <row r="59" spans="1:9">
      <c r="A59">
        <v>57</v>
      </c>
      <c r="B59" t="str">
        <f t="shared" si="0"/>
        <v>CAM_LV3_57</v>
      </c>
      <c r="C59" t="s">
        <v>2572</v>
      </c>
      <c r="D59" t="s">
        <v>939</v>
      </c>
      <c r="E59" t="e">
        <f>+_xlfn.XLOOKUP(C59,Sheet4!F:F,Sheet4!G:G)</f>
        <v>#N/A</v>
      </c>
      <c r="H59" t="s">
        <v>3047</v>
      </c>
      <c r="I59" t="s">
        <v>2572</v>
      </c>
    </row>
    <row r="60" spans="1:9">
      <c r="A60">
        <v>58</v>
      </c>
      <c r="B60" t="str">
        <f t="shared" si="0"/>
        <v>CAM_LV3_58</v>
      </c>
      <c r="C60" t="s">
        <v>2574</v>
      </c>
      <c r="D60" t="s">
        <v>940</v>
      </c>
      <c r="E60" t="e">
        <f>+_xlfn.XLOOKUP(C60,Sheet4!F:F,Sheet4!G:G)</f>
        <v>#N/A</v>
      </c>
      <c r="H60" t="s">
        <v>3047</v>
      </c>
      <c r="I60" t="s">
        <v>2574</v>
      </c>
    </row>
    <row r="61" spans="1:9">
      <c r="A61">
        <v>59</v>
      </c>
      <c r="B61" t="str">
        <f t="shared" si="0"/>
        <v>CAM_LV3_59</v>
      </c>
      <c r="C61" t="s">
        <v>2576</v>
      </c>
      <c r="D61" t="s">
        <v>941</v>
      </c>
      <c r="E61" t="e">
        <f>+_xlfn.XLOOKUP(C61,Sheet4!F:F,Sheet4!G:G)</f>
        <v>#N/A</v>
      </c>
      <c r="H61" t="s">
        <v>3047</v>
      </c>
      <c r="I61" t="s">
        <v>2576</v>
      </c>
    </row>
    <row r="62" spans="1:9">
      <c r="A62">
        <v>60</v>
      </c>
      <c r="B62" t="str">
        <f t="shared" si="0"/>
        <v>CAM_LV3_60</v>
      </c>
      <c r="C62" t="s">
        <v>2578</v>
      </c>
      <c r="D62" t="s">
        <v>942</v>
      </c>
      <c r="E62" t="e">
        <f>+_xlfn.XLOOKUP(C62,Sheet4!F:F,Sheet4!G:G)</f>
        <v>#N/A</v>
      </c>
      <c r="H62" t="s">
        <v>3047</v>
      </c>
      <c r="I62" t="s">
        <v>2578</v>
      </c>
    </row>
    <row r="63" spans="1:9">
      <c r="A63">
        <v>61</v>
      </c>
      <c r="B63" t="str">
        <f t="shared" si="0"/>
        <v>CAM_LV3_61</v>
      </c>
      <c r="C63" t="s">
        <v>2580</v>
      </c>
      <c r="D63" t="s">
        <v>943</v>
      </c>
      <c r="E63" t="e">
        <f>+_xlfn.XLOOKUP(C63,Sheet4!F:F,Sheet4!G:G)</f>
        <v>#N/A</v>
      </c>
      <c r="H63" t="s">
        <v>3047</v>
      </c>
      <c r="I63" t="s">
        <v>2580</v>
      </c>
    </row>
    <row r="64" spans="1:9">
      <c r="A64">
        <v>62</v>
      </c>
      <c r="B64" t="str">
        <f t="shared" si="0"/>
        <v>CAM_LV3_62</v>
      </c>
      <c r="C64" t="s">
        <v>2582</v>
      </c>
      <c r="D64" t="s">
        <v>944</v>
      </c>
      <c r="E64" t="e">
        <f>+_xlfn.XLOOKUP(C64,Sheet4!F:F,Sheet4!G:G)</f>
        <v>#N/A</v>
      </c>
      <c r="H64" t="s">
        <v>3047</v>
      </c>
      <c r="I64" t="s">
        <v>2582</v>
      </c>
    </row>
    <row r="65" spans="1:9">
      <c r="A65">
        <v>63</v>
      </c>
      <c r="B65" t="str">
        <f t="shared" si="0"/>
        <v>CAM_LV3_63</v>
      </c>
      <c r="C65" t="s">
        <v>2584</v>
      </c>
      <c r="D65" t="s">
        <v>945</v>
      </c>
      <c r="E65" t="e">
        <f>+_xlfn.XLOOKUP(C65,Sheet4!F:F,Sheet4!G:G)</f>
        <v>#N/A</v>
      </c>
      <c r="H65" t="s">
        <v>3047</v>
      </c>
      <c r="I65" t="s">
        <v>2584</v>
      </c>
    </row>
    <row r="66" spans="1:9">
      <c r="A66">
        <v>64</v>
      </c>
      <c r="B66" t="str">
        <f t="shared" si="0"/>
        <v>CAM_LV3_64</v>
      </c>
      <c r="C66" t="s">
        <v>2586</v>
      </c>
      <c r="D66" t="s">
        <v>946</v>
      </c>
      <c r="E66" t="e">
        <f>+_xlfn.XLOOKUP(C66,Sheet4!F:F,Sheet4!G:G)</f>
        <v>#N/A</v>
      </c>
      <c r="H66" t="s">
        <v>3047</v>
      </c>
      <c r="I66" t="s">
        <v>2586</v>
      </c>
    </row>
    <row r="67" spans="1:9">
      <c r="A67">
        <v>65</v>
      </c>
      <c r="B67" t="str">
        <f t="shared" ref="B67:B130" si="1">_xlfn.CONCAT("CAM_LV3_",A67)</f>
        <v>CAM_LV3_65</v>
      </c>
      <c r="C67" t="s">
        <v>2588</v>
      </c>
      <c r="D67" t="s">
        <v>947</v>
      </c>
      <c r="E67" t="e">
        <f>+_xlfn.XLOOKUP(C67,Sheet4!F:F,Sheet4!G:G)</f>
        <v>#N/A</v>
      </c>
      <c r="H67" t="s">
        <v>3047</v>
      </c>
      <c r="I67" t="s">
        <v>2588</v>
      </c>
    </row>
    <row r="68" spans="1:9">
      <c r="A68">
        <v>66</v>
      </c>
      <c r="B68" t="str">
        <f t="shared" si="1"/>
        <v>CAM_LV3_66</v>
      </c>
      <c r="C68" t="s">
        <v>2590</v>
      </c>
      <c r="D68" t="s">
        <v>948</v>
      </c>
      <c r="E68" t="e">
        <f>+_xlfn.XLOOKUP(C68,Sheet4!F:F,Sheet4!G:G)</f>
        <v>#N/A</v>
      </c>
      <c r="H68" t="s">
        <v>3047</v>
      </c>
      <c r="I68" t="s">
        <v>2590</v>
      </c>
    </row>
    <row r="69" spans="1:9">
      <c r="A69">
        <v>67</v>
      </c>
      <c r="B69" t="str">
        <f t="shared" si="1"/>
        <v>CAM_LV3_67</v>
      </c>
      <c r="C69" t="s">
        <v>2592</v>
      </c>
      <c r="D69" t="s">
        <v>949</v>
      </c>
      <c r="E69" t="e">
        <f>+_xlfn.XLOOKUP(C69,Sheet4!F:F,Sheet4!G:G)</f>
        <v>#N/A</v>
      </c>
      <c r="H69" t="s">
        <v>3047</v>
      </c>
      <c r="I69" t="s">
        <v>2592</v>
      </c>
    </row>
    <row r="70" spans="1:9">
      <c r="A70">
        <v>68</v>
      </c>
      <c r="B70" t="str">
        <f t="shared" si="1"/>
        <v>CAM_LV3_68</v>
      </c>
      <c r="C70" t="s">
        <v>2594</v>
      </c>
      <c r="D70" t="s">
        <v>950</v>
      </c>
      <c r="E70" t="e">
        <f>+_xlfn.XLOOKUP(C70,Sheet4!F:F,Sheet4!G:G)</f>
        <v>#N/A</v>
      </c>
      <c r="H70" t="s">
        <v>3047</v>
      </c>
      <c r="I70" t="s">
        <v>2594</v>
      </c>
    </row>
    <row r="71" spans="1:9">
      <c r="A71">
        <v>69</v>
      </c>
      <c r="B71" t="str">
        <f t="shared" si="1"/>
        <v>CAM_LV3_69</v>
      </c>
      <c r="C71" t="s">
        <v>2596</v>
      </c>
      <c r="D71" t="s">
        <v>951</v>
      </c>
      <c r="E71" t="e">
        <f>+_xlfn.XLOOKUP(C71,Sheet4!F:F,Sheet4!G:G)</f>
        <v>#N/A</v>
      </c>
      <c r="H71" t="s">
        <v>3047</v>
      </c>
      <c r="I71" t="s">
        <v>2596</v>
      </c>
    </row>
    <row r="72" spans="1:9">
      <c r="A72">
        <v>70</v>
      </c>
      <c r="B72" t="str">
        <f t="shared" si="1"/>
        <v>CAM_LV3_70</v>
      </c>
      <c r="C72" t="s">
        <v>2598</v>
      </c>
      <c r="D72" t="s">
        <v>952</v>
      </c>
      <c r="E72" t="e">
        <f>+_xlfn.XLOOKUP(C72,Sheet4!F:F,Sheet4!G:G)</f>
        <v>#N/A</v>
      </c>
      <c r="H72" t="s">
        <v>3047</v>
      </c>
      <c r="I72" t="s">
        <v>2598</v>
      </c>
    </row>
    <row r="73" spans="1:9">
      <c r="A73">
        <v>71</v>
      </c>
      <c r="B73" t="str">
        <f t="shared" si="1"/>
        <v>CAM_LV3_71</v>
      </c>
      <c r="C73" t="s">
        <v>2600</v>
      </c>
      <c r="D73" t="s">
        <v>953</v>
      </c>
      <c r="E73" t="e">
        <f>+_xlfn.XLOOKUP(C73,Sheet4!F:F,Sheet4!G:G)</f>
        <v>#N/A</v>
      </c>
      <c r="H73" t="s">
        <v>3047</v>
      </c>
      <c r="I73" t="s">
        <v>2600</v>
      </c>
    </row>
    <row r="74" spans="1:9">
      <c r="A74">
        <v>72</v>
      </c>
      <c r="B74" t="str">
        <f t="shared" si="1"/>
        <v>CAM_LV3_72</v>
      </c>
      <c r="C74" t="s">
        <v>2602</v>
      </c>
      <c r="D74" t="s">
        <v>954</v>
      </c>
      <c r="E74" t="e">
        <f>+_xlfn.XLOOKUP(C74,Sheet4!F:F,Sheet4!G:G)</f>
        <v>#N/A</v>
      </c>
      <c r="H74" t="s">
        <v>3047</v>
      </c>
      <c r="I74" t="s">
        <v>2602</v>
      </c>
    </row>
    <row r="75" spans="1:9">
      <c r="A75">
        <v>73</v>
      </c>
      <c r="B75" t="str">
        <f t="shared" si="1"/>
        <v>CAM_LV3_73</v>
      </c>
      <c r="C75" t="s">
        <v>2604</v>
      </c>
      <c r="D75" t="s">
        <v>955</v>
      </c>
      <c r="E75" t="e">
        <f>+_xlfn.XLOOKUP(C75,Sheet4!F:F,Sheet4!G:G)</f>
        <v>#N/A</v>
      </c>
      <c r="H75" t="s">
        <v>3047</v>
      </c>
      <c r="I75" t="s">
        <v>2604</v>
      </c>
    </row>
    <row r="76" spans="1:9">
      <c r="A76">
        <v>74</v>
      </c>
      <c r="B76" t="str">
        <f t="shared" si="1"/>
        <v>CAM_LV3_74</v>
      </c>
      <c r="C76" t="s">
        <v>2606</v>
      </c>
      <c r="D76" t="s">
        <v>956</v>
      </c>
      <c r="E76" t="e">
        <f>+_xlfn.XLOOKUP(C76,Sheet4!F:F,Sheet4!G:G)</f>
        <v>#N/A</v>
      </c>
      <c r="H76" t="s">
        <v>3047</v>
      </c>
      <c r="I76" t="s">
        <v>2606</v>
      </c>
    </row>
    <row r="77" spans="1:9">
      <c r="A77">
        <v>75</v>
      </c>
      <c r="B77" t="str">
        <f t="shared" si="1"/>
        <v>CAM_LV3_75</v>
      </c>
      <c r="C77" t="s">
        <v>2608</v>
      </c>
      <c r="D77" t="s">
        <v>957</v>
      </c>
      <c r="E77" t="e">
        <f>+_xlfn.XLOOKUP(C77,Sheet4!F:F,Sheet4!G:G)</f>
        <v>#N/A</v>
      </c>
      <c r="H77" t="s">
        <v>3047</v>
      </c>
      <c r="I77" t="s">
        <v>2608</v>
      </c>
    </row>
    <row r="78" spans="1:9">
      <c r="A78">
        <v>76</v>
      </c>
      <c r="B78" t="str">
        <f t="shared" si="1"/>
        <v>CAM_LV3_76</v>
      </c>
      <c r="C78" t="s">
        <v>2610</v>
      </c>
      <c r="D78" t="s">
        <v>958</v>
      </c>
      <c r="E78" t="e">
        <f>+_xlfn.XLOOKUP(C78,Sheet4!F:F,Sheet4!G:G)</f>
        <v>#N/A</v>
      </c>
      <c r="H78" t="s">
        <v>3047</v>
      </c>
      <c r="I78" t="s">
        <v>2610</v>
      </c>
    </row>
    <row r="79" spans="1:9">
      <c r="A79">
        <v>77</v>
      </c>
      <c r="B79" t="str">
        <f t="shared" si="1"/>
        <v>CAM_LV3_77</v>
      </c>
      <c r="C79" t="s">
        <v>2612</v>
      </c>
      <c r="D79" t="s">
        <v>959</v>
      </c>
      <c r="E79" t="e">
        <f>+_xlfn.XLOOKUP(C79,Sheet4!F:F,Sheet4!G:G)</f>
        <v>#N/A</v>
      </c>
      <c r="H79" t="s">
        <v>3047</v>
      </c>
      <c r="I79" t="s">
        <v>2612</v>
      </c>
    </row>
    <row r="80" spans="1:9">
      <c r="A80">
        <v>78</v>
      </c>
      <c r="B80" t="str">
        <f t="shared" si="1"/>
        <v>CAM_LV3_78</v>
      </c>
      <c r="C80" t="s">
        <v>2614</v>
      </c>
      <c r="D80" t="s">
        <v>960</v>
      </c>
      <c r="E80" t="e">
        <f>+_xlfn.XLOOKUP(C80,Sheet4!F:F,Sheet4!G:G)</f>
        <v>#N/A</v>
      </c>
      <c r="H80" t="s">
        <v>3047</v>
      </c>
      <c r="I80" t="s">
        <v>2614</v>
      </c>
    </row>
    <row r="81" spans="1:9">
      <c r="A81">
        <v>79</v>
      </c>
      <c r="B81" t="str">
        <f t="shared" si="1"/>
        <v>CAM_LV3_79</v>
      </c>
      <c r="C81" t="s">
        <v>2616</v>
      </c>
      <c r="D81" t="s">
        <v>961</v>
      </c>
      <c r="E81" t="e">
        <f>+_xlfn.XLOOKUP(C81,Sheet4!F:F,Sheet4!G:G)</f>
        <v>#N/A</v>
      </c>
      <c r="H81" t="s">
        <v>3047</v>
      </c>
      <c r="I81" t="s">
        <v>2616</v>
      </c>
    </row>
    <row r="82" spans="1:9">
      <c r="A82">
        <v>80</v>
      </c>
      <c r="B82" t="str">
        <f t="shared" si="1"/>
        <v>CAM_LV3_80</v>
      </c>
      <c r="C82" t="s">
        <v>2618</v>
      </c>
      <c r="D82" t="s">
        <v>962</v>
      </c>
      <c r="E82" t="e">
        <f>+_xlfn.XLOOKUP(C82,Sheet4!F:F,Sheet4!G:G)</f>
        <v>#N/A</v>
      </c>
      <c r="H82" t="s">
        <v>3047</v>
      </c>
      <c r="I82" t="s">
        <v>2618</v>
      </c>
    </row>
    <row r="83" spans="1:9">
      <c r="A83">
        <v>81</v>
      </c>
      <c r="B83" t="str">
        <f t="shared" si="1"/>
        <v>CAM_LV3_81</v>
      </c>
      <c r="C83" t="s">
        <v>2620</v>
      </c>
      <c r="D83" t="s">
        <v>963</v>
      </c>
      <c r="E83" t="e">
        <f>+_xlfn.XLOOKUP(C83,Sheet4!F:F,Sheet4!G:G)</f>
        <v>#N/A</v>
      </c>
      <c r="H83" t="s">
        <v>3047</v>
      </c>
      <c r="I83" t="s">
        <v>2620</v>
      </c>
    </row>
    <row r="84" spans="1:9">
      <c r="A84">
        <v>82</v>
      </c>
      <c r="B84" t="str">
        <f t="shared" si="1"/>
        <v>CAM_LV3_82</v>
      </c>
      <c r="C84" t="s">
        <v>2622</v>
      </c>
      <c r="D84" t="s">
        <v>964</v>
      </c>
      <c r="E84" t="e">
        <f>+_xlfn.XLOOKUP(C84,Sheet4!F:F,Sheet4!G:G)</f>
        <v>#N/A</v>
      </c>
      <c r="H84" t="s">
        <v>3047</v>
      </c>
      <c r="I84" t="s">
        <v>2622</v>
      </c>
    </row>
    <row r="85" spans="1:9">
      <c r="A85">
        <v>83</v>
      </c>
      <c r="B85" t="str">
        <f t="shared" si="1"/>
        <v>CAM_LV3_83</v>
      </c>
      <c r="C85" t="s">
        <v>2624</v>
      </c>
      <c r="D85" t="s">
        <v>965</v>
      </c>
      <c r="E85" t="e">
        <f>+_xlfn.XLOOKUP(C85,Sheet4!F:F,Sheet4!G:G)</f>
        <v>#N/A</v>
      </c>
      <c r="H85" t="s">
        <v>3047</v>
      </c>
      <c r="I85" t="s">
        <v>2624</v>
      </c>
    </row>
    <row r="86" spans="1:9">
      <c r="A86">
        <v>84</v>
      </c>
      <c r="B86" t="str">
        <f t="shared" si="1"/>
        <v>CAM_LV3_84</v>
      </c>
      <c r="C86" t="s">
        <v>2626</v>
      </c>
      <c r="D86" t="s">
        <v>967</v>
      </c>
      <c r="E86" t="e">
        <f>+_xlfn.XLOOKUP(C86,Sheet4!F:F,Sheet4!G:G)</f>
        <v>#N/A</v>
      </c>
      <c r="H86" t="s">
        <v>3047</v>
      </c>
      <c r="I86" t="s">
        <v>2626</v>
      </c>
    </row>
    <row r="87" spans="1:9">
      <c r="A87">
        <v>85</v>
      </c>
      <c r="B87" t="str">
        <f t="shared" si="1"/>
        <v>CAM_LV3_85</v>
      </c>
      <c r="C87" t="s">
        <v>2628</v>
      </c>
      <c r="D87" t="s">
        <v>968</v>
      </c>
      <c r="E87" t="e">
        <f>+_xlfn.XLOOKUP(C87,Sheet4!F:F,Sheet4!G:G)</f>
        <v>#N/A</v>
      </c>
      <c r="H87" t="s">
        <v>3047</v>
      </c>
      <c r="I87" t="s">
        <v>2628</v>
      </c>
    </row>
    <row r="88" spans="1:9">
      <c r="A88">
        <v>86</v>
      </c>
      <c r="B88" t="str">
        <f t="shared" si="1"/>
        <v>CAM_LV3_86</v>
      </c>
      <c r="C88" t="s">
        <v>2630</v>
      </c>
      <c r="D88" t="s">
        <v>969</v>
      </c>
      <c r="E88" t="e">
        <f>+_xlfn.XLOOKUP(C88,Sheet4!F:F,Sheet4!G:G)</f>
        <v>#N/A</v>
      </c>
      <c r="H88" t="s">
        <v>3047</v>
      </c>
      <c r="I88" t="s">
        <v>2630</v>
      </c>
    </row>
    <row r="89" spans="1:9">
      <c r="A89">
        <v>87</v>
      </c>
      <c r="B89" t="str">
        <f t="shared" si="1"/>
        <v>CAM_LV3_87</v>
      </c>
      <c r="C89" t="s">
        <v>2632</v>
      </c>
      <c r="D89" t="s">
        <v>970</v>
      </c>
      <c r="E89" t="e">
        <f>+_xlfn.XLOOKUP(C89,Sheet4!F:F,Sheet4!G:G)</f>
        <v>#N/A</v>
      </c>
      <c r="H89" t="s">
        <v>3047</v>
      </c>
      <c r="I89" t="s">
        <v>2632</v>
      </c>
    </row>
    <row r="90" spans="1:9">
      <c r="A90">
        <v>88</v>
      </c>
      <c r="B90" t="str">
        <f t="shared" si="1"/>
        <v>CAM_LV3_88</v>
      </c>
      <c r="C90" t="s">
        <v>2634</v>
      </c>
      <c r="D90" t="s">
        <v>971</v>
      </c>
      <c r="E90" t="e">
        <f>+_xlfn.XLOOKUP(C90,Sheet4!F:F,Sheet4!G:G)</f>
        <v>#N/A</v>
      </c>
      <c r="H90" t="s">
        <v>3047</v>
      </c>
      <c r="I90" t="s">
        <v>2634</v>
      </c>
    </row>
    <row r="91" spans="1:9">
      <c r="A91">
        <v>89</v>
      </c>
      <c r="B91" t="str">
        <f t="shared" si="1"/>
        <v>CAM_LV3_89</v>
      </c>
      <c r="C91" t="s">
        <v>2636</v>
      </c>
      <c r="D91" t="s">
        <v>972</v>
      </c>
      <c r="E91" t="e">
        <f>+_xlfn.XLOOKUP(C91,Sheet4!F:F,Sheet4!G:G)</f>
        <v>#N/A</v>
      </c>
      <c r="H91" t="s">
        <v>3047</v>
      </c>
      <c r="I91" t="s">
        <v>2636</v>
      </c>
    </row>
    <row r="92" spans="1:9">
      <c r="A92">
        <v>90</v>
      </c>
      <c r="B92" t="str">
        <f t="shared" si="1"/>
        <v>CAM_LV3_90</v>
      </c>
      <c r="C92" t="s">
        <v>2638</v>
      </c>
      <c r="D92" t="s">
        <v>973</v>
      </c>
      <c r="E92" t="e">
        <f>+_xlfn.XLOOKUP(C92,Sheet4!F:F,Sheet4!G:G)</f>
        <v>#N/A</v>
      </c>
      <c r="H92" t="s">
        <v>3047</v>
      </c>
      <c r="I92" t="s">
        <v>2638</v>
      </c>
    </row>
    <row r="93" spans="1:9">
      <c r="A93">
        <v>91</v>
      </c>
      <c r="B93" t="str">
        <f t="shared" si="1"/>
        <v>CAM_LV3_91</v>
      </c>
      <c r="C93" t="s">
        <v>2640</v>
      </c>
      <c r="D93" t="s">
        <v>974</v>
      </c>
      <c r="E93" t="e">
        <f>+_xlfn.XLOOKUP(C93,Sheet4!F:F,Sheet4!G:G)</f>
        <v>#N/A</v>
      </c>
      <c r="H93" t="s">
        <v>3047</v>
      </c>
      <c r="I93" t="s">
        <v>2640</v>
      </c>
    </row>
    <row r="94" spans="1:9">
      <c r="A94">
        <v>92</v>
      </c>
      <c r="B94" t="str">
        <f t="shared" si="1"/>
        <v>CAM_LV3_92</v>
      </c>
      <c r="C94" t="s">
        <v>2642</v>
      </c>
      <c r="D94" t="s">
        <v>976</v>
      </c>
      <c r="E94" t="e">
        <f>+_xlfn.XLOOKUP(C94,Sheet4!F:F,Sheet4!G:G)</f>
        <v>#N/A</v>
      </c>
      <c r="H94" t="s">
        <v>3047</v>
      </c>
      <c r="I94" t="s">
        <v>2642</v>
      </c>
    </row>
    <row r="95" spans="1:9">
      <c r="A95">
        <v>93</v>
      </c>
      <c r="B95" t="str">
        <f t="shared" si="1"/>
        <v>CAM_LV3_93</v>
      </c>
      <c r="C95" t="s">
        <v>2644</v>
      </c>
      <c r="D95" t="s">
        <v>978</v>
      </c>
      <c r="E95" t="e">
        <f>+_xlfn.XLOOKUP(C95,Sheet4!F:F,Sheet4!G:G)</f>
        <v>#N/A</v>
      </c>
      <c r="H95" t="s">
        <v>3047</v>
      </c>
      <c r="I95" t="s">
        <v>2644</v>
      </c>
    </row>
    <row r="96" spans="1:9">
      <c r="A96">
        <v>94</v>
      </c>
      <c r="B96" t="str">
        <f t="shared" si="1"/>
        <v>CAM_LV3_94</v>
      </c>
      <c r="C96" t="s">
        <v>2646</v>
      </c>
      <c r="D96" t="s">
        <v>979</v>
      </c>
      <c r="E96" t="e">
        <f>+_xlfn.XLOOKUP(C96,Sheet4!F:F,Sheet4!G:G)</f>
        <v>#N/A</v>
      </c>
      <c r="H96" t="s">
        <v>3047</v>
      </c>
      <c r="I96" t="s">
        <v>2646</v>
      </c>
    </row>
    <row r="97" spans="1:9">
      <c r="A97">
        <v>95</v>
      </c>
      <c r="B97" t="str">
        <f t="shared" si="1"/>
        <v>CAM_LV3_95</v>
      </c>
      <c r="C97" t="s">
        <v>2648</v>
      </c>
      <c r="D97" t="s">
        <v>980</v>
      </c>
      <c r="E97" t="e">
        <f>+_xlfn.XLOOKUP(C97,Sheet4!F:F,Sheet4!G:G)</f>
        <v>#N/A</v>
      </c>
      <c r="H97" t="s">
        <v>3047</v>
      </c>
      <c r="I97" t="s">
        <v>2648</v>
      </c>
    </row>
    <row r="98" spans="1:9">
      <c r="A98">
        <v>96</v>
      </c>
      <c r="B98" t="str">
        <f t="shared" si="1"/>
        <v>CAM_LV3_96</v>
      </c>
      <c r="C98" t="s">
        <v>2650</v>
      </c>
      <c r="D98" t="s">
        <v>981</v>
      </c>
      <c r="E98" t="e">
        <f>+_xlfn.XLOOKUP(C98,Sheet4!F:F,Sheet4!G:G)</f>
        <v>#N/A</v>
      </c>
      <c r="H98" t="s">
        <v>3047</v>
      </c>
      <c r="I98" t="s">
        <v>2650</v>
      </c>
    </row>
    <row r="99" spans="1:9">
      <c r="A99">
        <v>97</v>
      </c>
      <c r="B99" t="str">
        <f t="shared" si="1"/>
        <v>CAM_LV3_97</v>
      </c>
      <c r="C99" t="s">
        <v>2652</v>
      </c>
      <c r="D99" t="s">
        <v>983</v>
      </c>
      <c r="E99" t="e">
        <f>+_xlfn.XLOOKUP(C99,Sheet4!F:F,Sheet4!G:G)</f>
        <v>#N/A</v>
      </c>
      <c r="H99" t="s">
        <v>3047</v>
      </c>
      <c r="I99" t="s">
        <v>2652</v>
      </c>
    </row>
    <row r="100" spans="1:9">
      <c r="A100">
        <v>98</v>
      </c>
      <c r="B100" t="str">
        <f t="shared" si="1"/>
        <v>CAM_LV3_98</v>
      </c>
      <c r="C100" t="s">
        <v>2654</v>
      </c>
      <c r="D100" t="s">
        <v>984</v>
      </c>
      <c r="E100" t="e">
        <f>+_xlfn.XLOOKUP(C100,Sheet4!F:F,Sheet4!G:G)</f>
        <v>#N/A</v>
      </c>
      <c r="H100" t="s">
        <v>3048</v>
      </c>
      <c r="I100" t="s">
        <v>2654</v>
      </c>
    </row>
    <row r="101" spans="1:9">
      <c r="A101">
        <v>99</v>
      </c>
      <c r="B101" t="str">
        <f t="shared" si="1"/>
        <v>CAM_LV3_99</v>
      </c>
      <c r="C101" t="s">
        <v>2656</v>
      </c>
      <c r="D101" t="s">
        <v>985</v>
      </c>
      <c r="E101" t="e">
        <f>+_xlfn.XLOOKUP(C101,Sheet4!F:F,Sheet4!G:G)</f>
        <v>#N/A</v>
      </c>
      <c r="H101" t="s">
        <v>3048</v>
      </c>
      <c r="I101" t="s">
        <v>2656</v>
      </c>
    </row>
    <row r="102" spans="1:9">
      <c r="A102">
        <v>100</v>
      </c>
      <c r="B102" t="str">
        <f t="shared" si="1"/>
        <v>CAM_LV3_100</v>
      </c>
      <c r="C102" t="s">
        <v>2658</v>
      </c>
      <c r="D102" t="s">
        <v>986</v>
      </c>
      <c r="E102" t="e">
        <f>+_xlfn.XLOOKUP(C102,Sheet4!F:F,Sheet4!G:G)</f>
        <v>#N/A</v>
      </c>
      <c r="H102" t="s">
        <v>3048</v>
      </c>
      <c r="I102" t="s">
        <v>2658</v>
      </c>
    </row>
    <row r="103" spans="1:9">
      <c r="A103">
        <v>101</v>
      </c>
      <c r="B103" t="str">
        <f t="shared" si="1"/>
        <v>CAM_LV3_101</v>
      </c>
      <c r="C103" t="s">
        <v>2660</v>
      </c>
      <c r="D103" t="s">
        <v>987</v>
      </c>
      <c r="E103" t="e">
        <f>+_xlfn.XLOOKUP(C103,Sheet4!F:F,Sheet4!G:G)</f>
        <v>#N/A</v>
      </c>
      <c r="H103" t="s">
        <v>3048</v>
      </c>
      <c r="I103" t="s">
        <v>2660</v>
      </c>
    </row>
    <row r="104" spans="1:9">
      <c r="A104">
        <v>102</v>
      </c>
      <c r="B104" t="str">
        <f t="shared" si="1"/>
        <v>CAM_LV3_102</v>
      </c>
      <c r="C104" t="s">
        <v>2662</v>
      </c>
      <c r="D104" t="s">
        <v>988</v>
      </c>
      <c r="E104" t="e">
        <f>+_xlfn.XLOOKUP(C104,Sheet4!F:F,Sheet4!G:G)</f>
        <v>#N/A</v>
      </c>
      <c r="H104" t="s">
        <v>3048</v>
      </c>
      <c r="I104" t="s">
        <v>2662</v>
      </c>
    </row>
    <row r="105" spans="1:9">
      <c r="A105">
        <v>103</v>
      </c>
      <c r="B105" t="str">
        <f t="shared" si="1"/>
        <v>CAM_LV3_103</v>
      </c>
      <c r="C105" t="s">
        <v>2664</v>
      </c>
      <c r="D105" t="s">
        <v>989</v>
      </c>
      <c r="E105" t="e">
        <f>+_xlfn.XLOOKUP(C105,Sheet4!F:F,Sheet4!G:G)</f>
        <v>#N/A</v>
      </c>
      <c r="H105" t="s">
        <v>3048</v>
      </c>
      <c r="I105" t="s">
        <v>2664</v>
      </c>
    </row>
    <row r="106" spans="1:9">
      <c r="A106">
        <v>104</v>
      </c>
      <c r="B106" t="str">
        <f t="shared" si="1"/>
        <v>CAM_LV3_104</v>
      </c>
      <c r="C106" t="s">
        <v>2666</v>
      </c>
      <c r="D106" t="s">
        <v>990</v>
      </c>
      <c r="E106" t="e">
        <f>+_xlfn.XLOOKUP(C106,Sheet4!F:F,Sheet4!G:G)</f>
        <v>#N/A</v>
      </c>
      <c r="H106" t="s">
        <v>3048</v>
      </c>
      <c r="I106" t="s">
        <v>2666</v>
      </c>
    </row>
    <row r="107" spans="1:9">
      <c r="A107">
        <v>105</v>
      </c>
      <c r="B107" t="str">
        <f t="shared" si="1"/>
        <v>CAM_LV3_105</v>
      </c>
      <c r="C107" t="s">
        <v>2668</v>
      </c>
      <c r="D107" t="s">
        <v>991</v>
      </c>
      <c r="E107" t="e">
        <f>+_xlfn.XLOOKUP(C107,Sheet4!F:F,Sheet4!G:G)</f>
        <v>#N/A</v>
      </c>
      <c r="H107" t="s">
        <v>3048</v>
      </c>
      <c r="I107" t="s">
        <v>2668</v>
      </c>
    </row>
    <row r="108" spans="1:9">
      <c r="A108">
        <v>106</v>
      </c>
      <c r="B108" t="str">
        <f t="shared" si="1"/>
        <v>CAM_LV3_106</v>
      </c>
      <c r="C108" t="s">
        <v>2670</v>
      </c>
      <c r="D108" t="s">
        <v>993</v>
      </c>
      <c r="E108" t="e">
        <f>+_xlfn.XLOOKUP(C108,Sheet4!F:F,Sheet4!G:G)</f>
        <v>#N/A</v>
      </c>
      <c r="H108" t="s">
        <v>3048</v>
      </c>
      <c r="I108" t="s">
        <v>2670</v>
      </c>
    </row>
    <row r="109" spans="1:9">
      <c r="A109">
        <v>107</v>
      </c>
      <c r="B109" t="str">
        <f t="shared" si="1"/>
        <v>CAM_LV3_107</v>
      </c>
      <c r="C109" t="s">
        <v>2672</v>
      </c>
      <c r="D109" t="s">
        <v>994</v>
      </c>
      <c r="E109" t="e">
        <f>+_xlfn.XLOOKUP(C109,Sheet4!F:F,Sheet4!G:G)</f>
        <v>#N/A</v>
      </c>
      <c r="H109" t="s">
        <v>3048</v>
      </c>
      <c r="I109" t="s">
        <v>2672</v>
      </c>
    </row>
    <row r="110" spans="1:9">
      <c r="A110">
        <v>108</v>
      </c>
      <c r="B110" t="str">
        <f t="shared" si="1"/>
        <v>CAM_LV3_108</v>
      </c>
      <c r="C110" t="s">
        <v>2674</v>
      </c>
      <c r="D110" t="s">
        <v>995</v>
      </c>
      <c r="E110" t="e">
        <f>+_xlfn.XLOOKUP(C110,Sheet4!F:F,Sheet4!G:G)</f>
        <v>#N/A</v>
      </c>
      <c r="H110" t="s">
        <v>3048</v>
      </c>
      <c r="I110" t="s">
        <v>2674</v>
      </c>
    </row>
    <row r="111" spans="1:9">
      <c r="A111">
        <v>109</v>
      </c>
      <c r="B111" t="str">
        <f t="shared" si="1"/>
        <v>CAM_LV3_109</v>
      </c>
      <c r="C111" t="s">
        <v>2676</v>
      </c>
      <c r="D111" t="s">
        <v>996</v>
      </c>
      <c r="E111" t="e">
        <f>+_xlfn.XLOOKUP(C111,Sheet4!F:F,Sheet4!G:G)</f>
        <v>#N/A</v>
      </c>
      <c r="H111" t="s">
        <v>3048</v>
      </c>
      <c r="I111" t="s">
        <v>2676</v>
      </c>
    </row>
    <row r="112" spans="1:9">
      <c r="A112">
        <v>110</v>
      </c>
      <c r="B112" t="str">
        <f t="shared" si="1"/>
        <v>CAM_LV3_110</v>
      </c>
      <c r="C112" t="s">
        <v>2678</v>
      </c>
      <c r="D112" t="s">
        <v>997</v>
      </c>
      <c r="E112" t="e">
        <f>+_xlfn.XLOOKUP(C112,Sheet4!F:F,Sheet4!G:G)</f>
        <v>#N/A</v>
      </c>
      <c r="H112" t="s">
        <v>3048</v>
      </c>
      <c r="I112" t="s">
        <v>2678</v>
      </c>
    </row>
    <row r="113" spans="1:9">
      <c r="A113">
        <v>111</v>
      </c>
      <c r="B113" t="str">
        <f t="shared" si="1"/>
        <v>CAM_LV3_111</v>
      </c>
      <c r="C113" t="s">
        <v>2680</v>
      </c>
      <c r="D113" t="s">
        <v>998</v>
      </c>
      <c r="E113" t="e">
        <f>+_xlfn.XLOOKUP(C113,Sheet4!F:F,Sheet4!G:G)</f>
        <v>#N/A</v>
      </c>
      <c r="H113" t="s">
        <v>3048</v>
      </c>
      <c r="I113" t="s">
        <v>2680</v>
      </c>
    </row>
    <row r="114" spans="1:9">
      <c r="A114">
        <v>112</v>
      </c>
      <c r="B114" t="str">
        <f t="shared" si="1"/>
        <v>CAM_LV3_112</v>
      </c>
      <c r="C114" t="s">
        <v>2682</v>
      </c>
      <c r="D114" t="s">
        <v>999</v>
      </c>
      <c r="E114" t="e">
        <f>+_xlfn.XLOOKUP(C114,Sheet4!F:F,Sheet4!G:G)</f>
        <v>#N/A</v>
      </c>
      <c r="H114" t="s">
        <v>3048</v>
      </c>
      <c r="I114" t="s">
        <v>2682</v>
      </c>
    </row>
    <row r="115" spans="1:9">
      <c r="A115">
        <v>113</v>
      </c>
      <c r="B115" t="str">
        <f t="shared" si="1"/>
        <v>CAM_LV3_113</v>
      </c>
      <c r="C115" t="s">
        <v>2684</v>
      </c>
      <c r="D115" t="s">
        <v>1000</v>
      </c>
      <c r="E115" t="e">
        <f>+_xlfn.XLOOKUP(C115,Sheet4!F:F,Sheet4!G:G)</f>
        <v>#N/A</v>
      </c>
      <c r="H115" t="s">
        <v>3048</v>
      </c>
      <c r="I115" t="s">
        <v>2684</v>
      </c>
    </row>
    <row r="116" spans="1:9">
      <c r="A116">
        <v>114</v>
      </c>
      <c r="B116" t="str">
        <f t="shared" si="1"/>
        <v>CAM_LV3_114</v>
      </c>
      <c r="C116" t="s">
        <v>2686</v>
      </c>
      <c r="D116" t="s">
        <v>1001</v>
      </c>
      <c r="E116" t="e">
        <f>+_xlfn.XLOOKUP(C116,Sheet4!F:F,Sheet4!G:G)</f>
        <v>#N/A</v>
      </c>
      <c r="H116" t="s">
        <v>3048</v>
      </c>
      <c r="I116" t="s">
        <v>2686</v>
      </c>
    </row>
    <row r="117" spans="1:9">
      <c r="A117">
        <v>115</v>
      </c>
      <c r="B117" t="str">
        <f t="shared" si="1"/>
        <v>CAM_LV3_115</v>
      </c>
      <c r="C117" t="s">
        <v>2688</v>
      </c>
      <c r="D117" t="s">
        <v>1002</v>
      </c>
      <c r="E117" t="e">
        <f>+_xlfn.XLOOKUP(C117,Sheet4!F:F,Sheet4!G:G)</f>
        <v>#N/A</v>
      </c>
      <c r="H117" t="s">
        <v>3048</v>
      </c>
      <c r="I117" t="s">
        <v>2688</v>
      </c>
    </row>
    <row r="118" spans="1:9">
      <c r="A118">
        <v>116</v>
      </c>
      <c r="B118" t="str">
        <f t="shared" si="1"/>
        <v>CAM_LV3_116</v>
      </c>
      <c r="C118" t="s">
        <v>2690</v>
      </c>
      <c r="D118" t="s">
        <v>1003</v>
      </c>
      <c r="E118" t="e">
        <f>+_xlfn.XLOOKUP(C118,Sheet4!F:F,Sheet4!G:G)</f>
        <v>#N/A</v>
      </c>
      <c r="H118" t="s">
        <v>3048</v>
      </c>
      <c r="I118" t="s">
        <v>2690</v>
      </c>
    </row>
    <row r="119" spans="1:9">
      <c r="A119">
        <v>117</v>
      </c>
      <c r="B119" t="str">
        <f t="shared" si="1"/>
        <v>CAM_LV3_117</v>
      </c>
      <c r="C119" t="s">
        <v>2692</v>
      </c>
      <c r="D119" t="s">
        <v>1004</v>
      </c>
      <c r="E119" t="e">
        <f>+_xlfn.XLOOKUP(C119,Sheet4!F:F,Sheet4!G:G)</f>
        <v>#N/A</v>
      </c>
      <c r="H119" t="s">
        <v>3049</v>
      </c>
      <c r="I119" t="s">
        <v>2692</v>
      </c>
    </row>
    <row r="120" spans="1:9">
      <c r="A120">
        <v>118</v>
      </c>
      <c r="B120" t="str">
        <f t="shared" si="1"/>
        <v>CAM_LV3_118</v>
      </c>
      <c r="C120" t="s">
        <v>2694</v>
      </c>
      <c r="D120" t="s">
        <v>1005</v>
      </c>
      <c r="E120" t="e">
        <f>+_xlfn.XLOOKUP(C120,Sheet4!F:F,Sheet4!G:G)</f>
        <v>#N/A</v>
      </c>
      <c r="H120" t="s">
        <v>3049</v>
      </c>
      <c r="I120" t="s">
        <v>2694</v>
      </c>
    </row>
    <row r="121" spans="1:9">
      <c r="A121">
        <v>119</v>
      </c>
      <c r="B121" t="str">
        <f t="shared" si="1"/>
        <v>CAM_LV3_119</v>
      </c>
      <c r="C121" t="s">
        <v>2696</v>
      </c>
      <c r="D121" t="s">
        <v>1006</v>
      </c>
      <c r="E121" t="e">
        <f>+_xlfn.XLOOKUP(C121,Sheet4!F:F,Sheet4!G:G)</f>
        <v>#N/A</v>
      </c>
      <c r="H121" t="s">
        <v>3049</v>
      </c>
      <c r="I121" t="s">
        <v>2696</v>
      </c>
    </row>
    <row r="122" spans="1:9">
      <c r="A122">
        <v>120</v>
      </c>
      <c r="B122" t="str">
        <f t="shared" si="1"/>
        <v>CAM_LV3_120</v>
      </c>
      <c r="C122" t="s">
        <v>2698</v>
      </c>
      <c r="D122" t="s">
        <v>1007</v>
      </c>
      <c r="E122" t="e">
        <f>+_xlfn.XLOOKUP(C122,Sheet4!F:F,Sheet4!G:G)</f>
        <v>#N/A</v>
      </c>
      <c r="H122" t="s">
        <v>3049</v>
      </c>
      <c r="I122" t="s">
        <v>2698</v>
      </c>
    </row>
    <row r="123" spans="1:9">
      <c r="A123">
        <v>121</v>
      </c>
      <c r="B123" t="str">
        <f t="shared" si="1"/>
        <v>CAM_LV3_121</v>
      </c>
      <c r="C123" t="s">
        <v>2700</v>
      </c>
      <c r="D123" t="s">
        <v>1008</v>
      </c>
      <c r="E123" t="e">
        <f>+_xlfn.XLOOKUP(C123,Sheet4!F:F,Sheet4!G:G)</f>
        <v>#N/A</v>
      </c>
      <c r="H123" t="s">
        <v>3049</v>
      </c>
      <c r="I123" t="s">
        <v>2700</v>
      </c>
    </row>
    <row r="124" spans="1:9">
      <c r="A124">
        <v>122</v>
      </c>
      <c r="B124" t="str">
        <f t="shared" si="1"/>
        <v>CAM_LV3_122</v>
      </c>
      <c r="C124" t="s">
        <v>2702</v>
      </c>
      <c r="D124" t="s">
        <v>1009</v>
      </c>
      <c r="E124" t="e">
        <f>+_xlfn.XLOOKUP(C124,Sheet4!F:F,Sheet4!G:G)</f>
        <v>#N/A</v>
      </c>
      <c r="H124" t="s">
        <v>3049</v>
      </c>
      <c r="I124" t="s">
        <v>2702</v>
      </c>
    </row>
    <row r="125" spans="1:9">
      <c r="A125">
        <v>123</v>
      </c>
      <c r="B125" t="str">
        <f t="shared" si="1"/>
        <v>CAM_LV3_123</v>
      </c>
      <c r="C125" t="s">
        <v>2704</v>
      </c>
      <c r="D125" t="s">
        <v>1010</v>
      </c>
      <c r="E125" t="e">
        <f>+_xlfn.XLOOKUP(C125,Sheet4!F:F,Sheet4!G:G)</f>
        <v>#N/A</v>
      </c>
      <c r="H125" t="s">
        <v>3049</v>
      </c>
      <c r="I125" t="s">
        <v>2704</v>
      </c>
    </row>
    <row r="126" spans="1:9">
      <c r="A126">
        <v>124</v>
      </c>
      <c r="B126" t="str">
        <f t="shared" si="1"/>
        <v>CAM_LV3_124</v>
      </c>
      <c r="C126" t="s">
        <v>2706</v>
      </c>
      <c r="D126" t="s">
        <v>1011</v>
      </c>
      <c r="E126" t="e">
        <f>+_xlfn.XLOOKUP(C126,Sheet4!F:F,Sheet4!G:G)</f>
        <v>#N/A</v>
      </c>
      <c r="H126" t="s">
        <v>3049</v>
      </c>
      <c r="I126" t="s">
        <v>2706</v>
      </c>
    </row>
    <row r="127" spans="1:9">
      <c r="A127">
        <v>125</v>
      </c>
      <c r="B127" t="str">
        <f t="shared" si="1"/>
        <v>CAM_LV3_125</v>
      </c>
      <c r="C127" t="s">
        <v>2708</v>
      </c>
      <c r="D127" t="s">
        <v>1012</v>
      </c>
      <c r="E127" t="e">
        <f>+_xlfn.XLOOKUP(C127,Sheet4!F:F,Sheet4!G:G)</f>
        <v>#N/A</v>
      </c>
      <c r="H127" t="s">
        <v>3049</v>
      </c>
      <c r="I127" t="s">
        <v>2708</v>
      </c>
    </row>
    <row r="128" spans="1:9">
      <c r="A128">
        <v>126</v>
      </c>
      <c r="B128" t="str">
        <f t="shared" si="1"/>
        <v>CAM_LV3_126</v>
      </c>
      <c r="C128" t="s">
        <v>2586</v>
      </c>
      <c r="D128" t="s">
        <v>1014</v>
      </c>
      <c r="E128" t="e">
        <f>+_xlfn.XLOOKUP(C128,Sheet4!F:F,Sheet4!G:G)</f>
        <v>#N/A</v>
      </c>
      <c r="H128" t="s">
        <v>3049</v>
      </c>
      <c r="I128" t="s">
        <v>2586</v>
      </c>
    </row>
    <row r="129" spans="1:9">
      <c r="A129">
        <v>127</v>
      </c>
      <c r="B129" t="str">
        <f t="shared" si="1"/>
        <v>CAM_LV3_127</v>
      </c>
      <c r="C129" t="s">
        <v>2711</v>
      </c>
      <c r="D129" t="s">
        <v>1015</v>
      </c>
      <c r="E129" t="e">
        <f>+_xlfn.XLOOKUP(C129,Sheet4!F:F,Sheet4!G:G)</f>
        <v>#N/A</v>
      </c>
      <c r="H129" t="s">
        <v>3049</v>
      </c>
      <c r="I129" t="s">
        <v>2711</v>
      </c>
    </row>
    <row r="130" spans="1:9">
      <c r="A130">
        <v>128</v>
      </c>
      <c r="B130" t="str">
        <f t="shared" si="1"/>
        <v>CAM_LV3_128</v>
      </c>
      <c r="C130" t="s">
        <v>2713</v>
      </c>
      <c r="D130" t="s">
        <v>1016</v>
      </c>
      <c r="E130" t="e">
        <f>+_xlfn.XLOOKUP(C130,Sheet4!F:F,Sheet4!G:G)</f>
        <v>#N/A</v>
      </c>
      <c r="H130" t="s">
        <v>3049</v>
      </c>
      <c r="I130" t="s">
        <v>2713</v>
      </c>
    </row>
    <row r="131" spans="1:9">
      <c r="A131">
        <v>129</v>
      </c>
      <c r="B131" t="str">
        <f t="shared" ref="B131:B194" si="2">_xlfn.CONCAT("CAM_LV3_",A131)</f>
        <v>CAM_LV3_129</v>
      </c>
      <c r="C131" t="s">
        <v>2715</v>
      </c>
      <c r="D131" t="s">
        <v>1017</v>
      </c>
      <c r="E131" t="e">
        <f>+_xlfn.XLOOKUP(C131,Sheet4!F:F,Sheet4!G:G)</f>
        <v>#N/A</v>
      </c>
      <c r="H131" t="s">
        <v>3049</v>
      </c>
      <c r="I131" t="s">
        <v>2715</v>
      </c>
    </row>
    <row r="132" spans="1:9">
      <c r="A132">
        <v>130</v>
      </c>
      <c r="B132" t="str">
        <f t="shared" si="2"/>
        <v>CAM_LV3_130</v>
      </c>
      <c r="C132" t="s">
        <v>2717</v>
      </c>
      <c r="D132" t="s">
        <v>1019</v>
      </c>
      <c r="E132" t="e">
        <f>+_xlfn.XLOOKUP(C132,Sheet4!F:F,Sheet4!G:G)</f>
        <v>#N/A</v>
      </c>
      <c r="H132" t="s">
        <v>3049</v>
      </c>
      <c r="I132" t="s">
        <v>2717</v>
      </c>
    </row>
    <row r="133" spans="1:9">
      <c r="A133">
        <v>131</v>
      </c>
      <c r="B133" t="str">
        <f t="shared" si="2"/>
        <v>CAM_LV3_131</v>
      </c>
      <c r="C133" t="s">
        <v>2719</v>
      </c>
      <c r="D133" t="s">
        <v>1021</v>
      </c>
      <c r="E133" t="e">
        <f>+_xlfn.XLOOKUP(C133,Sheet4!F:F,Sheet4!G:G)</f>
        <v>#N/A</v>
      </c>
      <c r="H133" t="s">
        <v>3049</v>
      </c>
      <c r="I133" t="s">
        <v>2719</v>
      </c>
    </row>
    <row r="134" spans="1:9">
      <c r="A134">
        <v>132</v>
      </c>
      <c r="B134" t="str">
        <f t="shared" si="2"/>
        <v>CAM_LV3_132</v>
      </c>
      <c r="C134" t="s">
        <v>2644</v>
      </c>
      <c r="D134" t="s">
        <v>1023</v>
      </c>
      <c r="E134" t="e">
        <f>+_xlfn.XLOOKUP(C134,Sheet4!F:F,Sheet4!G:G)</f>
        <v>#N/A</v>
      </c>
      <c r="H134" t="s">
        <v>3049</v>
      </c>
      <c r="I134" t="s">
        <v>2644</v>
      </c>
    </row>
    <row r="135" spans="1:9">
      <c r="A135">
        <v>133</v>
      </c>
      <c r="B135" t="str">
        <f t="shared" si="2"/>
        <v>CAM_LV3_133</v>
      </c>
      <c r="C135" t="s">
        <v>2584</v>
      </c>
      <c r="D135" t="s">
        <v>1024</v>
      </c>
      <c r="E135" t="e">
        <f>+_xlfn.XLOOKUP(C135,Sheet4!F:F,Sheet4!G:G)</f>
        <v>#N/A</v>
      </c>
      <c r="H135" t="s">
        <v>3049</v>
      </c>
      <c r="I135" t="s">
        <v>2584</v>
      </c>
    </row>
    <row r="136" spans="1:9">
      <c r="A136">
        <v>134</v>
      </c>
      <c r="B136" t="str">
        <f t="shared" si="2"/>
        <v>CAM_LV3_134</v>
      </c>
      <c r="C136" t="s">
        <v>2723</v>
      </c>
      <c r="D136" t="s">
        <v>1025</v>
      </c>
      <c r="E136" t="e">
        <f>+_xlfn.XLOOKUP(C136,Sheet4!F:F,Sheet4!G:G)</f>
        <v>#N/A</v>
      </c>
      <c r="H136" t="s">
        <v>3049</v>
      </c>
      <c r="I136" t="s">
        <v>2723</v>
      </c>
    </row>
    <row r="137" spans="1:9">
      <c r="A137">
        <v>135</v>
      </c>
      <c r="B137" t="str">
        <f t="shared" si="2"/>
        <v>CAM_LV3_135</v>
      </c>
      <c r="C137" t="s">
        <v>2725</v>
      </c>
      <c r="D137" t="s">
        <v>1027</v>
      </c>
      <c r="E137" t="e">
        <f>+_xlfn.XLOOKUP(C137,Sheet4!F:F,Sheet4!G:G)</f>
        <v>#N/A</v>
      </c>
      <c r="H137" t="s">
        <v>3049</v>
      </c>
      <c r="I137" t="s">
        <v>2725</v>
      </c>
    </row>
    <row r="138" spans="1:9">
      <c r="A138">
        <v>136</v>
      </c>
      <c r="B138" t="str">
        <f t="shared" si="2"/>
        <v>CAM_LV3_136</v>
      </c>
      <c r="C138" t="s">
        <v>2727</v>
      </c>
      <c r="D138" t="s">
        <v>1028</v>
      </c>
      <c r="E138" t="e">
        <f>+_xlfn.XLOOKUP(C138,Sheet4!F:F,Sheet4!G:G)</f>
        <v>#N/A</v>
      </c>
      <c r="H138" t="s">
        <v>3049</v>
      </c>
      <c r="I138" t="s">
        <v>2727</v>
      </c>
    </row>
    <row r="139" spans="1:9">
      <c r="A139">
        <v>137</v>
      </c>
      <c r="B139" t="str">
        <f t="shared" si="2"/>
        <v>CAM_LV3_137</v>
      </c>
      <c r="C139" t="s">
        <v>2729</v>
      </c>
      <c r="D139" t="s">
        <v>1029</v>
      </c>
      <c r="E139" t="e">
        <f>+_xlfn.XLOOKUP(C139,Sheet4!F:F,Sheet4!G:G)</f>
        <v>#N/A</v>
      </c>
      <c r="H139" t="s">
        <v>3049</v>
      </c>
      <c r="I139" t="s">
        <v>2729</v>
      </c>
    </row>
    <row r="140" spans="1:9">
      <c r="A140">
        <v>138</v>
      </c>
      <c r="B140" t="str">
        <f t="shared" si="2"/>
        <v>CAM_LV3_138</v>
      </c>
      <c r="C140" t="s">
        <v>2612</v>
      </c>
      <c r="D140" t="s">
        <v>1030</v>
      </c>
      <c r="E140" t="e">
        <f>+_xlfn.XLOOKUP(C140,Sheet4!F:F,Sheet4!G:G)</f>
        <v>#N/A</v>
      </c>
      <c r="H140" t="s">
        <v>3049</v>
      </c>
      <c r="I140" t="s">
        <v>2612</v>
      </c>
    </row>
    <row r="141" spans="1:9">
      <c r="A141">
        <v>139</v>
      </c>
      <c r="B141" t="str">
        <f t="shared" si="2"/>
        <v>CAM_LV3_139</v>
      </c>
      <c r="C141" t="s">
        <v>2732</v>
      </c>
      <c r="D141" t="s">
        <v>1031</v>
      </c>
      <c r="E141" t="e">
        <f>+_xlfn.XLOOKUP(C141,Sheet4!F:F,Sheet4!G:G)</f>
        <v>#N/A</v>
      </c>
      <c r="H141" t="s">
        <v>3049</v>
      </c>
      <c r="I141" t="s">
        <v>2732</v>
      </c>
    </row>
    <row r="142" spans="1:9">
      <c r="A142">
        <v>140</v>
      </c>
      <c r="B142" t="str">
        <f t="shared" si="2"/>
        <v>CAM_LV3_140</v>
      </c>
      <c r="C142" t="s">
        <v>2734</v>
      </c>
      <c r="D142" t="s">
        <v>1032</v>
      </c>
      <c r="E142" t="e">
        <f>+_xlfn.XLOOKUP(C142,Sheet4!F:F,Sheet4!G:G)</f>
        <v>#N/A</v>
      </c>
      <c r="H142" t="s">
        <v>3049</v>
      </c>
      <c r="I142" t="s">
        <v>2734</v>
      </c>
    </row>
    <row r="143" spans="1:9">
      <c r="A143">
        <v>141</v>
      </c>
      <c r="B143" t="str">
        <f t="shared" si="2"/>
        <v>CAM_LV3_141</v>
      </c>
      <c r="C143" t="s">
        <v>2736</v>
      </c>
      <c r="D143" t="s">
        <v>1033</v>
      </c>
      <c r="E143" t="e">
        <f>+_xlfn.XLOOKUP(C143,Sheet4!F:F,Sheet4!G:G)</f>
        <v>#N/A</v>
      </c>
      <c r="H143" t="s">
        <v>3049</v>
      </c>
      <c r="I143" t="s">
        <v>2736</v>
      </c>
    </row>
    <row r="144" spans="1:9">
      <c r="A144">
        <v>142</v>
      </c>
      <c r="B144" t="str">
        <f t="shared" si="2"/>
        <v>CAM_LV3_142</v>
      </c>
      <c r="C144" t="s">
        <v>2738</v>
      </c>
      <c r="D144" t="s">
        <v>1034</v>
      </c>
      <c r="E144" t="e">
        <f>+_xlfn.XLOOKUP(C144,Sheet4!F:F,Sheet4!G:G)</f>
        <v>#N/A</v>
      </c>
      <c r="H144" t="s">
        <v>3049</v>
      </c>
      <c r="I144" t="s">
        <v>2738</v>
      </c>
    </row>
    <row r="145" spans="1:9">
      <c r="A145">
        <v>143</v>
      </c>
      <c r="B145" t="str">
        <f t="shared" si="2"/>
        <v>CAM_LV3_143</v>
      </c>
      <c r="C145" t="s">
        <v>2488</v>
      </c>
      <c r="D145" t="s">
        <v>1035</v>
      </c>
      <c r="E145" t="e">
        <f>+_xlfn.XLOOKUP(C145,Sheet4!F:F,Sheet4!G:G)</f>
        <v>#N/A</v>
      </c>
      <c r="H145" t="s">
        <v>3049</v>
      </c>
      <c r="I145" t="s">
        <v>2488</v>
      </c>
    </row>
    <row r="146" spans="1:9">
      <c r="A146">
        <v>144</v>
      </c>
      <c r="B146" t="str">
        <f t="shared" si="2"/>
        <v>CAM_LV3_144</v>
      </c>
      <c r="C146" t="s">
        <v>2741</v>
      </c>
      <c r="D146" t="s">
        <v>1036</v>
      </c>
      <c r="E146" t="e">
        <f>+_xlfn.XLOOKUP(C146,Sheet4!F:F,Sheet4!G:G)</f>
        <v>#N/A</v>
      </c>
      <c r="H146" t="s">
        <v>3049</v>
      </c>
      <c r="I146" t="s">
        <v>2741</v>
      </c>
    </row>
    <row r="147" spans="1:9">
      <c r="A147">
        <v>145</v>
      </c>
      <c r="B147" t="str">
        <f t="shared" si="2"/>
        <v>CAM_LV3_145</v>
      </c>
      <c r="C147" t="s">
        <v>2743</v>
      </c>
      <c r="D147" t="s">
        <v>1037</v>
      </c>
      <c r="E147" t="e">
        <f>+_xlfn.XLOOKUP(C147,Sheet4!F:F,Sheet4!G:G)</f>
        <v>#N/A</v>
      </c>
      <c r="H147" t="s">
        <v>3049</v>
      </c>
      <c r="I147" t="s">
        <v>2743</v>
      </c>
    </row>
    <row r="148" spans="1:9">
      <c r="A148">
        <v>146</v>
      </c>
      <c r="B148" t="str">
        <f t="shared" si="2"/>
        <v>CAM_LV3_146</v>
      </c>
      <c r="C148" t="s">
        <v>2745</v>
      </c>
      <c r="D148" t="s">
        <v>1038</v>
      </c>
      <c r="E148" t="e">
        <f>+_xlfn.XLOOKUP(C148,Sheet4!F:F,Sheet4!G:G)</f>
        <v>#N/A</v>
      </c>
      <c r="H148" t="s">
        <v>3049</v>
      </c>
      <c r="I148" t="s">
        <v>2745</v>
      </c>
    </row>
    <row r="149" spans="1:9">
      <c r="A149">
        <v>147</v>
      </c>
      <c r="B149" t="str">
        <f t="shared" si="2"/>
        <v>CAM_LV3_147</v>
      </c>
      <c r="C149" t="s">
        <v>2747</v>
      </c>
      <c r="D149" t="s">
        <v>1039</v>
      </c>
      <c r="E149" t="e">
        <f>+_xlfn.XLOOKUP(C149,Sheet4!F:F,Sheet4!G:G)</f>
        <v>#N/A</v>
      </c>
      <c r="H149" t="s">
        <v>3049</v>
      </c>
      <c r="I149" t="s">
        <v>2747</v>
      </c>
    </row>
    <row r="150" spans="1:9">
      <c r="A150">
        <v>148</v>
      </c>
      <c r="B150" t="str">
        <f t="shared" si="2"/>
        <v>CAM_LV3_148</v>
      </c>
      <c r="C150" t="s">
        <v>2749</v>
      </c>
      <c r="D150" t="s">
        <v>1040</v>
      </c>
      <c r="E150" t="e">
        <f>+_xlfn.XLOOKUP(C150,Sheet4!F:F,Sheet4!G:G)</f>
        <v>#N/A</v>
      </c>
      <c r="H150" t="s">
        <v>3049</v>
      </c>
      <c r="I150" t="s">
        <v>2749</v>
      </c>
    </row>
    <row r="151" spans="1:9">
      <c r="A151">
        <v>149</v>
      </c>
      <c r="B151" t="str">
        <f t="shared" si="2"/>
        <v>CAM_LV3_149</v>
      </c>
      <c r="C151" t="s">
        <v>2751</v>
      </c>
      <c r="D151" t="s">
        <v>1041</v>
      </c>
      <c r="E151" t="e">
        <f>+_xlfn.XLOOKUP(C151,Sheet4!F:F,Sheet4!G:G)</f>
        <v>#N/A</v>
      </c>
      <c r="H151" t="s">
        <v>3049</v>
      </c>
      <c r="I151" t="s">
        <v>2751</v>
      </c>
    </row>
    <row r="152" spans="1:9">
      <c r="A152">
        <v>150</v>
      </c>
      <c r="B152" t="str">
        <f t="shared" si="2"/>
        <v>CAM_LV3_150</v>
      </c>
      <c r="C152" t="s">
        <v>2753</v>
      </c>
      <c r="D152" t="s">
        <v>1043</v>
      </c>
      <c r="E152" t="e">
        <f>+_xlfn.XLOOKUP(C152,Sheet4!F:F,Sheet4!G:G)</f>
        <v>#N/A</v>
      </c>
      <c r="H152" t="s">
        <v>3049</v>
      </c>
      <c r="I152" t="s">
        <v>2753</v>
      </c>
    </row>
    <row r="153" spans="1:9">
      <c r="A153">
        <v>151</v>
      </c>
      <c r="B153" t="str">
        <f t="shared" si="2"/>
        <v>CAM_LV3_151</v>
      </c>
      <c r="C153" t="s">
        <v>2755</v>
      </c>
      <c r="D153" t="s">
        <v>1044</v>
      </c>
      <c r="E153" t="e">
        <f>+_xlfn.XLOOKUP(C153,Sheet4!F:F,Sheet4!G:G)</f>
        <v>#N/A</v>
      </c>
      <c r="H153" t="s">
        <v>3049</v>
      </c>
      <c r="I153" t="s">
        <v>2755</v>
      </c>
    </row>
    <row r="154" spans="1:9">
      <c r="A154">
        <v>152</v>
      </c>
      <c r="B154" t="str">
        <f t="shared" si="2"/>
        <v>CAM_LV3_152</v>
      </c>
      <c r="C154" t="s">
        <v>2757</v>
      </c>
      <c r="D154" t="s">
        <v>1045</v>
      </c>
      <c r="E154" t="e">
        <f>+_xlfn.XLOOKUP(C154,Sheet4!F:F,Sheet4!G:G)</f>
        <v>#N/A</v>
      </c>
      <c r="H154" t="s">
        <v>3049</v>
      </c>
      <c r="I154" t="s">
        <v>2757</v>
      </c>
    </row>
    <row r="155" spans="1:9">
      <c r="A155">
        <v>153</v>
      </c>
      <c r="B155" t="str">
        <f t="shared" si="2"/>
        <v>CAM_LV3_153</v>
      </c>
      <c r="D155" t="s">
        <v>1046</v>
      </c>
      <c r="E155">
        <f>+_xlfn.XLOOKUP(C155,Sheet4!F:F,Sheet4!G:G)</f>
        <v>0</v>
      </c>
    </row>
    <row r="156" spans="1:9">
      <c r="A156">
        <v>154</v>
      </c>
      <c r="B156" t="str">
        <f t="shared" si="2"/>
        <v>CAM_LV3_154</v>
      </c>
      <c r="D156" t="s">
        <v>1047</v>
      </c>
      <c r="E156">
        <f>+_xlfn.XLOOKUP(C156,Sheet4!F:F,Sheet4!G:G)</f>
        <v>0</v>
      </c>
    </row>
    <row r="157" spans="1:9">
      <c r="A157">
        <v>155</v>
      </c>
      <c r="B157" t="str">
        <f t="shared" si="2"/>
        <v>CAM_LV3_155</v>
      </c>
      <c r="D157" t="s">
        <v>1048</v>
      </c>
      <c r="E157">
        <f>+_xlfn.XLOOKUP(C157,Sheet4!F:F,Sheet4!G:G)</f>
        <v>0</v>
      </c>
    </row>
    <row r="158" spans="1:9">
      <c r="A158">
        <v>156</v>
      </c>
      <c r="B158" t="str">
        <f t="shared" si="2"/>
        <v>CAM_LV3_156</v>
      </c>
      <c r="D158" t="s">
        <v>1049</v>
      </c>
      <c r="E158">
        <f>+_xlfn.XLOOKUP(C158,Sheet4!F:F,Sheet4!G:G)</f>
        <v>0</v>
      </c>
    </row>
    <row r="159" spans="1:9">
      <c r="A159">
        <v>157</v>
      </c>
      <c r="B159" t="str">
        <f t="shared" si="2"/>
        <v>CAM_LV3_157</v>
      </c>
      <c r="D159" t="s">
        <v>1050</v>
      </c>
      <c r="E159">
        <f>+_xlfn.XLOOKUP(C159,Sheet4!F:F,Sheet4!G:G)</f>
        <v>0</v>
      </c>
    </row>
    <row r="160" spans="1:9">
      <c r="A160">
        <v>158</v>
      </c>
      <c r="B160" t="str">
        <f t="shared" si="2"/>
        <v>CAM_LV3_158</v>
      </c>
      <c r="D160" t="s">
        <v>1051</v>
      </c>
      <c r="E160">
        <f>+_xlfn.XLOOKUP(C160,Sheet4!F:F,Sheet4!G:G)</f>
        <v>0</v>
      </c>
    </row>
    <row r="161" spans="1:5">
      <c r="A161">
        <v>159</v>
      </c>
      <c r="B161" t="str">
        <f t="shared" si="2"/>
        <v>CAM_LV3_159</v>
      </c>
      <c r="D161" t="s">
        <v>1052</v>
      </c>
      <c r="E161">
        <f>+_xlfn.XLOOKUP(C161,Sheet4!F:F,Sheet4!G:G)</f>
        <v>0</v>
      </c>
    </row>
    <row r="162" spans="1:5">
      <c r="A162">
        <v>160</v>
      </c>
      <c r="B162" t="str">
        <f t="shared" si="2"/>
        <v>CAM_LV3_160</v>
      </c>
      <c r="C162" t="s">
        <v>1053</v>
      </c>
      <c r="D162" t="s">
        <v>1053</v>
      </c>
      <c r="E162" t="str">
        <f>+_xlfn.XLOOKUP(C162,Sheet4!F:F,Sheet4!G:G)</f>
        <v>CAM_LV2_22</v>
      </c>
    </row>
    <row r="163" spans="1:5">
      <c r="A163">
        <v>161</v>
      </c>
      <c r="B163" t="str">
        <f t="shared" si="2"/>
        <v>CAM_LV3_161</v>
      </c>
      <c r="C163" t="s">
        <v>1054</v>
      </c>
      <c r="D163" t="s">
        <v>1054</v>
      </c>
      <c r="E163" t="str">
        <f>+_xlfn.XLOOKUP(C163,Sheet4!F:F,Sheet4!G:G)</f>
        <v>CAM_LV2_23</v>
      </c>
    </row>
    <row r="164" spans="1:5">
      <c r="A164">
        <v>162</v>
      </c>
      <c r="B164" t="str">
        <f t="shared" si="2"/>
        <v>CAM_LV3_162</v>
      </c>
      <c r="C164" t="s">
        <v>1055</v>
      </c>
      <c r="D164" t="s">
        <v>1055</v>
      </c>
      <c r="E164" t="str">
        <f>+_xlfn.XLOOKUP(C164,Sheet4!F:F,Sheet4!G:G)</f>
        <v>CAM_LV2_23</v>
      </c>
    </row>
    <row r="165" spans="1:5">
      <c r="A165">
        <v>163</v>
      </c>
      <c r="B165" t="str">
        <f t="shared" si="2"/>
        <v>CAM_LV3_163</v>
      </c>
      <c r="C165" t="s">
        <v>1056</v>
      </c>
      <c r="D165" t="s">
        <v>1056</v>
      </c>
      <c r="E165" t="str">
        <f>+_xlfn.XLOOKUP(C165,Sheet4!F:F,Sheet4!G:G)</f>
        <v>CAM_LV2_25</v>
      </c>
    </row>
    <row r="166" spans="1:5">
      <c r="A166">
        <v>164</v>
      </c>
      <c r="B166" t="str">
        <f t="shared" si="2"/>
        <v>CAM_LV3_164</v>
      </c>
      <c r="C166" t="s">
        <v>1057</v>
      </c>
      <c r="D166" t="s">
        <v>1057</v>
      </c>
      <c r="E166" t="str">
        <f>+_xlfn.XLOOKUP(C166,Sheet4!F:F,Sheet4!G:G)</f>
        <v>CAM_LV2_20</v>
      </c>
    </row>
    <row r="167" spans="1:5">
      <c r="A167">
        <v>165</v>
      </c>
      <c r="B167" t="str">
        <f t="shared" si="2"/>
        <v>CAM_LV3_165</v>
      </c>
      <c r="C167" t="s">
        <v>1058</v>
      </c>
      <c r="D167" t="s">
        <v>1058</v>
      </c>
      <c r="E167" t="str">
        <f>+_xlfn.XLOOKUP(C167,Sheet4!F:F,Sheet4!G:G)</f>
        <v>CAM_LV2_22</v>
      </c>
    </row>
    <row r="168" spans="1:5">
      <c r="A168">
        <v>166</v>
      </c>
      <c r="B168" t="str">
        <f t="shared" si="2"/>
        <v>CAM_LV3_166</v>
      </c>
      <c r="C168" t="s">
        <v>1059</v>
      </c>
      <c r="D168" t="s">
        <v>1059</v>
      </c>
      <c r="E168" t="str">
        <f>+_xlfn.XLOOKUP(C168,Sheet4!F:F,Sheet4!G:G)</f>
        <v>CAM_LV2_22</v>
      </c>
    </row>
    <row r="169" spans="1:5">
      <c r="A169">
        <v>167</v>
      </c>
      <c r="B169" t="str">
        <f t="shared" si="2"/>
        <v>CAM_LV3_167</v>
      </c>
      <c r="C169" t="s">
        <v>1060</v>
      </c>
      <c r="D169" t="s">
        <v>1060</v>
      </c>
      <c r="E169" t="str">
        <f>+_xlfn.XLOOKUP(C169,Sheet4!F:F,Sheet4!G:G)</f>
        <v>CAM_LV2_23</v>
      </c>
    </row>
    <row r="170" spans="1:5">
      <c r="A170">
        <v>168</v>
      </c>
      <c r="B170" t="str">
        <f t="shared" si="2"/>
        <v>CAM_LV3_168</v>
      </c>
      <c r="C170" t="s">
        <v>1061</v>
      </c>
      <c r="D170" t="s">
        <v>1061</v>
      </c>
      <c r="E170" t="str">
        <f>+_xlfn.XLOOKUP(C170,Sheet4!F:F,Sheet4!G:G)</f>
        <v>CAM_LV2_24</v>
      </c>
    </row>
    <row r="171" spans="1:5">
      <c r="A171">
        <v>169</v>
      </c>
      <c r="B171" t="str">
        <f t="shared" si="2"/>
        <v>CAM_LV3_169</v>
      </c>
      <c r="C171" t="s">
        <v>1062</v>
      </c>
      <c r="D171" t="s">
        <v>1062</v>
      </c>
      <c r="E171" t="str">
        <f>+_xlfn.XLOOKUP(C171,Sheet4!F:F,Sheet4!G:G)</f>
        <v>CAM_LV2_25</v>
      </c>
    </row>
    <row r="172" spans="1:5">
      <c r="A172">
        <v>170</v>
      </c>
      <c r="B172" t="str">
        <f t="shared" si="2"/>
        <v>CAM_LV3_170</v>
      </c>
      <c r="C172" t="s">
        <v>1063</v>
      </c>
      <c r="D172" t="s">
        <v>1063</v>
      </c>
      <c r="E172" t="str">
        <f>+_xlfn.XLOOKUP(C172,Sheet4!F:F,Sheet4!G:G)</f>
        <v>CAM_LV2_21</v>
      </c>
    </row>
    <row r="173" spans="1:5">
      <c r="A173">
        <v>171</v>
      </c>
      <c r="B173" t="str">
        <f t="shared" si="2"/>
        <v>CAM_LV3_171</v>
      </c>
      <c r="C173" t="s">
        <v>1064</v>
      </c>
      <c r="D173" t="s">
        <v>1064</v>
      </c>
      <c r="E173" t="str">
        <f>+_xlfn.XLOOKUP(C173,Sheet4!F:F,Sheet4!G:G)</f>
        <v>CAM_LV2_24</v>
      </c>
    </row>
    <row r="174" spans="1:5">
      <c r="A174">
        <v>172</v>
      </c>
      <c r="B174" t="str">
        <f t="shared" si="2"/>
        <v>CAM_LV3_172</v>
      </c>
      <c r="C174" t="s">
        <v>1065</v>
      </c>
      <c r="D174" t="s">
        <v>1065</v>
      </c>
      <c r="E174" t="str">
        <f>+_xlfn.XLOOKUP(C174,Sheet4!F:F,Sheet4!G:G)</f>
        <v>CAM_LV2_24</v>
      </c>
    </row>
    <row r="175" spans="1:5">
      <c r="A175">
        <v>173</v>
      </c>
      <c r="B175" t="str">
        <f t="shared" si="2"/>
        <v>CAM_LV3_173</v>
      </c>
      <c r="C175" t="s">
        <v>1066</v>
      </c>
      <c r="D175" t="s">
        <v>1066</v>
      </c>
      <c r="E175" t="str">
        <f>+_xlfn.XLOOKUP(C175,Sheet4!F:F,Sheet4!G:G)</f>
        <v>CAM_LV2_21</v>
      </c>
    </row>
    <row r="176" spans="1:5">
      <c r="A176">
        <v>174</v>
      </c>
      <c r="B176" t="str">
        <f t="shared" si="2"/>
        <v>CAM_LV3_174</v>
      </c>
      <c r="C176" t="s">
        <v>1068</v>
      </c>
      <c r="D176" t="s">
        <v>1068</v>
      </c>
      <c r="E176" t="str">
        <f>+_xlfn.XLOOKUP(C176,Sheet4!F:F,Sheet4!G:G)</f>
        <v>CAM_LV2_26</v>
      </c>
    </row>
    <row r="177" spans="1:5">
      <c r="A177">
        <v>175</v>
      </c>
      <c r="B177" t="str">
        <f t="shared" si="2"/>
        <v>CAM_LV3_175</v>
      </c>
      <c r="C177" t="s">
        <v>1069</v>
      </c>
      <c r="D177" t="s">
        <v>1069</v>
      </c>
      <c r="E177" t="str">
        <f>+_xlfn.XLOOKUP(C177,Sheet4!F:F,Sheet4!G:G)</f>
        <v>CAM_LV2_26</v>
      </c>
    </row>
    <row r="178" spans="1:5">
      <c r="A178">
        <v>176</v>
      </c>
      <c r="B178" t="str">
        <f t="shared" si="2"/>
        <v>CAM_LV3_176</v>
      </c>
      <c r="C178" t="s">
        <v>1071</v>
      </c>
      <c r="D178" t="s">
        <v>1071</v>
      </c>
      <c r="E178" t="str">
        <f>+_xlfn.XLOOKUP(C178,Sheet4!F:F,Sheet4!G:G)</f>
        <v>CAM_LV2_27</v>
      </c>
    </row>
    <row r="179" spans="1:5">
      <c r="A179">
        <v>177</v>
      </c>
      <c r="B179" t="str">
        <f t="shared" si="2"/>
        <v>CAM_LV3_177</v>
      </c>
      <c r="C179" t="s">
        <v>1072</v>
      </c>
      <c r="D179" t="s">
        <v>1072</v>
      </c>
      <c r="E179" t="str">
        <f>+_xlfn.XLOOKUP(C179,Sheet4!F:F,Sheet4!G:G)</f>
        <v>CAM_LV2_26</v>
      </c>
    </row>
    <row r="180" spans="1:5">
      <c r="A180">
        <v>178</v>
      </c>
      <c r="B180" t="str">
        <f t="shared" si="2"/>
        <v>CAM_LV3_178</v>
      </c>
      <c r="C180" t="s">
        <v>1073</v>
      </c>
      <c r="D180" t="s">
        <v>1073</v>
      </c>
      <c r="E180" t="str">
        <f>+_xlfn.XLOOKUP(C180,Sheet4!F:F,Sheet4!G:G)</f>
        <v>CAM_LV2_27</v>
      </c>
    </row>
    <row r="181" spans="1:5">
      <c r="A181">
        <v>179</v>
      </c>
      <c r="B181" t="str">
        <f t="shared" si="2"/>
        <v>CAM_LV3_179</v>
      </c>
      <c r="C181" t="s">
        <v>1075</v>
      </c>
      <c r="D181" t="s">
        <v>1075</v>
      </c>
      <c r="E181" t="str">
        <f>+_xlfn.XLOOKUP(C181,Sheet4!F:F,Sheet4!G:G)</f>
        <v>CAM_LV2_28</v>
      </c>
    </row>
    <row r="182" spans="1:5">
      <c r="A182">
        <v>180</v>
      </c>
      <c r="B182" t="str">
        <f t="shared" si="2"/>
        <v>CAM_LV3_180</v>
      </c>
      <c r="C182" t="s">
        <v>1076</v>
      </c>
      <c r="D182" t="s">
        <v>1076</v>
      </c>
      <c r="E182" t="str">
        <f>+_xlfn.XLOOKUP(C182,Sheet4!F:F,Sheet4!G:G)</f>
        <v>CAM_LV2_28</v>
      </c>
    </row>
    <row r="183" spans="1:5">
      <c r="A183">
        <v>181</v>
      </c>
      <c r="B183" t="str">
        <f t="shared" si="2"/>
        <v>CAM_LV3_181</v>
      </c>
      <c r="C183" t="s">
        <v>1077</v>
      </c>
      <c r="D183" t="s">
        <v>1077</v>
      </c>
      <c r="E183" t="str">
        <f>+_xlfn.XLOOKUP(C183,Sheet4!F:F,Sheet4!G:G)</f>
        <v>CAM_LV2_28</v>
      </c>
    </row>
    <row r="184" spans="1:5">
      <c r="A184">
        <v>182</v>
      </c>
      <c r="B184" t="str">
        <f t="shared" si="2"/>
        <v>CAM_LV3_182</v>
      </c>
      <c r="C184" t="s">
        <v>1078</v>
      </c>
      <c r="D184" t="s">
        <v>1078</v>
      </c>
      <c r="E184" t="str">
        <f>+_xlfn.XLOOKUP(C184,Sheet4!F:F,Sheet4!G:G)</f>
        <v>CAM_LV2_28</v>
      </c>
    </row>
    <row r="185" spans="1:5">
      <c r="A185">
        <v>183</v>
      </c>
      <c r="B185" t="str">
        <f t="shared" si="2"/>
        <v>CAM_LV3_183</v>
      </c>
      <c r="C185" t="s">
        <v>1079</v>
      </c>
      <c r="D185" t="s">
        <v>1079</v>
      </c>
      <c r="E185" t="str">
        <f>+_xlfn.XLOOKUP(C185,Sheet4!F:F,Sheet4!G:G)</f>
        <v>CAM_LV2_28</v>
      </c>
    </row>
    <row r="186" spans="1:5">
      <c r="A186">
        <v>184</v>
      </c>
      <c r="B186" t="str">
        <f t="shared" si="2"/>
        <v>CAM_LV3_184</v>
      </c>
      <c r="C186" t="s">
        <v>1080</v>
      </c>
      <c r="D186" t="s">
        <v>1080</v>
      </c>
      <c r="E186" t="str">
        <f>+_xlfn.XLOOKUP(C186,Sheet4!F:F,Sheet4!G:G)</f>
        <v>CAM_LV2_28</v>
      </c>
    </row>
    <row r="187" spans="1:5">
      <c r="A187">
        <v>185</v>
      </c>
      <c r="B187" t="str">
        <f t="shared" si="2"/>
        <v>CAM_LV3_185</v>
      </c>
      <c r="C187" t="s">
        <v>1081</v>
      </c>
      <c r="D187" t="s">
        <v>1081</v>
      </c>
      <c r="E187" t="str">
        <f>+_xlfn.XLOOKUP(C187,Sheet4!F:F,Sheet4!G:G)</f>
        <v>CAM_LV2_27</v>
      </c>
    </row>
    <row r="188" spans="1:5">
      <c r="A188">
        <v>186</v>
      </c>
      <c r="B188" t="str">
        <f t="shared" si="2"/>
        <v>CAM_LV3_186</v>
      </c>
      <c r="C188" t="s">
        <v>1082</v>
      </c>
      <c r="D188" t="s">
        <v>1082</v>
      </c>
      <c r="E188" t="str">
        <f>+_xlfn.XLOOKUP(C188,Sheet4!F:F,Sheet4!G:G)</f>
        <v>CAM_LV2_27</v>
      </c>
    </row>
    <row r="189" spans="1:5">
      <c r="A189">
        <v>187</v>
      </c>
      <c r="B189" t="str">
        <f t="shared" si="2"/>
        <v>CAM_LV3_187</v>
      </c>
      <c r="C189" t="s">
        <v>1083</v>
      </c>
      <c r="D189" t="s">
        <v>1083</v>
      </c>
      <c r="E189" t="str">
        <f>+_xlfn.XLOOKUP(C189,Sheet4!F:F,Sheet4!G:G)</f>
        <v>CAM_LV2_26</v>
      </c>
    </row>
    <row r="190" spans="1:5">
      <c r="A190">
        <v>188</v>
      </c>
      <c r="B190" t="str">
        <f t="shared" si="2"/>
        <v>CAM_LV3_188</v>
      </c>
      <c r="C190" t="s">
        <v>1084</v>
      </c>
      <c r="D190" t="s">
        <v>1084</v>
      </c>
      <c r="E190" t="str">
        <f>+_xlfn.XLOOKUP(C190,Sheet4!F:F,Sheet4!G:G)</f>
        <v>CAM_LV2_26</v>
      </c>
    </row>
    <row r="191" spans="1:5">
      <c r="A191">
        <v>189</v>
      </c>
      <c r="B191" t="str">
        <f t="shared" si="2"/>
        <v>CAM_LV3_189</v>
      </c>
      <c r="C191" t="s">
        <v>1085</v>
      </c>
      <c r="D191" t="s">
        <v>1085</v>
      </c>
      <c r="E191" t="str">
        <f>+_xlfn.XLOOKUP(C191,Sheet4!F:F,Sheet4!G:G)</f>
        <v>CAM_LV2_26</v>
      </c>
    </row>
    <row r="192" spans="1:5">
      <c r="A192">
        <v>190</v>
      </c>
      <c r="B192" t="str">
        <f t="shared" si="2"/>
        <v>CAM_LV3_190</v>
      </c>
      <c r="C192" t="s">
        <v>1086</v>
      </c>
      <c r="D192" t="s">
        <v>1086</v>
      </c>
      <c r="E192" t="str">
        <f>+_xlfn.XLOOKUP(C192,Sheet4!F:F,Sheet4!G:G)</f>
        <v>CAM_LV2_27</v>
      </c>
    </row>
    <row r="193" spans="1:5">
      <c r="A193">
        <v>191</v>
      </c>
      <c r="B193" t="str">
        <f t="shared" si="2"/>
        <v>CAM_LV3_191</v>
      </c>
      <c r="C193" t="s">
        <v>1087</v>
      </c>
      <c r="D193" t="s">
        <v>1087</v>
      </c>
      <c r="E193" t="str">
        <f>+_xlfn.XLOOKUP(C193,Sheet4!F:F,Sheet4!G:G)</f>
        <v>CAM_LV2_26</v>
      </c>
    </row>
    <row r="194" spans="1:5">
      <c r="A194">
        <v>192</v>
      </c>
      <c r="B194" t="str">
        <f t="shared" si="2"/>
        <v>CAM_LV3_192</v>
      </c>
      <c r="C194" t="s">
        <v>1088</v>
      </c>
      <c r="D194" t="s">
        <v>1088</v>
      </c>
      <c r="E194" t="str">
        <f>+_xlfn.XLOOKUP(C194,Sheet4!F:F,Sheet4!G:G)</f>
        <v>CAM_LV2_26</v>
      </c>
    </row>
    <row r="195" spans="1:5">
      <c r="A195">
        <v>193</v>
      </c>
      <c r="B195" t="str">
        <f t="shared" ref="B195:B258" si="3">_xlfn.CONCAT("CAM_LV3_",A195)</f>
        <v>CAM_LV3_193</v>
      </c>
      <c r="C195" t="s">
        <v>1089</v>
      </c>
      <c r="D195" t="s">
        <v>1089</v>
      </c>
      <c r="E195" t="str">
        <f>+_xlfn.XLOOKUP(C195,Sheet4!F:F,Sheet4!G:G)</f>
        <v>CAM_LV2_26</v>
      </c>
    </row>
    <row r="196" spans="1:5">
      <c r="A196">
        <v>194</v>
      </c>
      <c r="B196" t="str">
        <f t="shared" si="3"/>
        <v>CAM_LV3_194</v>
      </c>
      <c r="C196" t="s">
        <v>1090</v>
      </c>
      <c r="D196" t="s">
        <v>1090</v>
      </c>
      <c r="E196" t="str">
        <f>+_xlfn.XLOOKUP(C196,Sheet4!F:F,Sheet4!G:G)</f>
        <v>CAM_LV2_27</v>
      </c>
    </row>
    <row r="197" spans="1:5">
      <c r="A197">
        <v>195</v>
      </c>
      <c r="B197" t="str">
        <f t="shared" si="3"/>
        <v>CAM_LV3_195</v>
      </c>
      <c r="C197" t="s">
        <v>1091</v>
      </c>
      <c r="D197" t="s">
        <v>1091</v>
      </c>
      <c r="E197" t="str">
        <f>+_xlfn.XLOOKUP(C197,Sheet4!F:F,Sheet4!G:G)</f>
        <v>CAM_LV2_27</v>
      </c>
    </row>
    <row r="198" spans="1:5">
      <c r="A198">
        <v>196</v>
      </c>
      <c r="B198" t="str">
        <f t="shared" si="3"/>
        <v>CAM_LV3_196</v>
      </c>
      <c r="C198" t="s">
        <v>1092</v>
      </c>
      <c r="D198" t="s">
        <v>1092</v>
      </c>
      <c r="E198" t="str">
        <f>+_xlfn.XLOOKUP(C198,Sheet4!F:F,Sheet4!G:G)</f>
        <v>CAM_LV2_27</v>
      </c>
    </row>
    <row r="199" spans="1:5">
      <c r="A199">
        <v>197</v>
      </c>
      <c r="B199" t="str">
        <f t="shared" si="3"/>
        <v>CAM_LV3_197</v>
      </c>
      <c r="C199" t="s">
        <v>1093</v>
      </c>
      <c r="D199" t="s">
        <v>1093</v>
      </c>
      <c r="E199" t="str">
        <f>+_xlfn.XLOOKUP(C199,Sheet4!F:F,Sheet4!G:G)</f>
        <v>CAM_LV2_27</v>
      </c>
    </row>
    <row r="200" spans="1:5">
      <c r="A200">
        <v>198</v>
      </c>
      <c r="B200" t="str">
        <f t="shared" si="3"/>
        <v>CAM_LV3_198</v>
      </c>
      <c r="C200" t="s">
        <v>1094</v>
      </c>
      <c r="D200" t="s">
        <v>1094</v>
      </c>
      <c r="E200" t="str">
        <f>+_xlfn.XLOOKUP(C200,Sheet4!F:F,Sheet4!G:G)</f>
        <v>CAM_LV2_26</v>
      </c>
    </row>
    <row r="201" spans="1:5">
      <c r="A201">
        <v>199</v>
      </c>
      <c r="B201" t="str">
        <f t="shared" si="3"/>
        <v>CAM_LV3_199</v>
      </c>
      <c r="C201" t="s">
        <v>1096</v>
      </c>
      <c r="D201" t="s">
        <v>1096</v>
      </c>
      <c r="E201" t="str">
        <f>+_xlfn.XLOOKUP(C201,Sheet4!F:F,Sheet4!G:G)</f>
        <v>CAM_LV2_29</v>
      </c>
    </row>
    <row r="202" spans="1:5">
      <c r="A202">
        <v>200</v>
      </c>
      <c r="B202" t="str">
        <f t="shared" si="3"/>
        <v>CAM_LV3_200</v>
      </c>
      <c r="C202" t="s">
        <v>1097</v>
      </c>
      <c r="D202" t="s">
        <v>1097</v>
      </c>
      <c r="E202" t="str">
        <f>+_xlfn.XLOOKUP(C202,Sheet4!F:F,Sheet4!G:G)</f>
        <v>CAM_LV2_26</v>
      </c>
    </row>
    <row r="203" spans="1:5">
      <c r="A203">
        <v>201</v>
      </c>
      <c r="B203" t="str">
        <f t="shared" si="3"/>
        <v>CAM_LV3_201</v>
      </c>
      <c r="C203" t="s">
        <v>1098</v>
      </c>
      <c r="D203" t="s">
        <v>1098</v>
      </c>
      <c r="E203" t="str">
        <f>+_xlfn.XLOOKUP(C203,Sheet4!F:F,Sheet4!G:G)</f>
        <v>CAM_LV2_26</v>
      </c>
    </row>
    <row r="204" spans="1:5">
      <c r="A204">
        <v>202</v>
      </c>
      <c r="B204" t="str">
        <f t="shared" si="3"/>
        <v>CAM_LV3_202</v>
      </c>
      <c r="C204" t="s">
        <v>1099</v>
      </c>
      <c r="D204" t="s">
        <v>1099</v>
      </c>
      <c r="E204" t="str">
        <f>+_xlfn.XLOOKUP(C204,Sheet4!F:F,Sheet4!G:G)</f>
        <v>CAM_LV2_26</v>
      </c>
    </row>
    <row r="205" spans="1:5">
      <c r="A205">
        <v>203</v>
      </c>
      <c r="B205" t="str">
        <f t="shared" si="3"/>
        <v>CAM_LV3_203</v>
      </c>
      <c r="C205" t="s">
        <v>1100</v>
      </c>
      <c r="D205" t="s">
        <v>1100</v>
      </c>
      <c r="E205" t="str">
        <f>+_xlfn.XLOOKUP(C205,Sheet4!F:F,Sheet4!G:G)</f>
        <v>CAM_LV2_29</v>
      </c>
    </row>
    <row r="206" spans="1:5">
      <c r="A206">
        <v>204</v>
      </c>
      <c r="B206" t="str">
        <f t="shared" si="3"/>
        <v>CAM_LV3_204</v>
      </c>
      <c r="C206" t="s">
        <v>1101</v>
      </c>
      <c r="D206" t="s">
        <v>1101</v>
      </c>
      <c r="E206" t="str">
        <f>+_xlfn.XLOOKUP(C206,Sheet4!F:F,Sheet4!G:G)</f>
        <v>CAM_LV2_27</v>
      </c>
    </row>
    <row r="207" spans="1:5">
      <c r="A207">
        <v>205</v>
      </c>
      <c r="B207" t="str">
        <f t="shared" si="3"/>
        <v>CAM_LV3_205</v>
      </c>
      <c r="C207" t="s">
        <v>1102</v>
      </c>
      <c r="D207" t="s">
        <v>1102</v>
      </c>
      <c r="E207" t="str">
        <f>+_xlfn.XLOOKUP(C207,Sheet4!F:F,Sheet4!G:G)</f>
        <v>CAM_LV2_27</v>
      </c>
    </row>
    <row r="208" spans="1:5">
      <c r="A208">
        <v>206</v>
      </c>
      <c r="B208" t="str">
        <f t="shared" si="3"/>
        <v>CAM_LV3_206</v>
      </c>
      <c r="C208" t="s">
        <v>1103</v>
      </c>
      <c r="D208" t="s">
        <v>1103</v>
      </c>
      <c r="E208" t="str">
        <f>+_xlfn.XLOOKUP(C208,Sheet4!F:F,Sheet4!G:G)</f>
        <v>CAM_LV2_29</v>
      </c>
    </row>
    <row r="209" spans="1:5">
      <c r="A209">
        <v>207</v>
      </c>
      <c r="B209" t="str">
        <f t="shared" si="3"/>
        <v>CAM_LV3_207</v>
      </c>
      <c r="C209" t="s">
        <v>1104</v>
      </c>
      <c r="D209" t="s">
        <v>1104</v>
      </c>
      <c r="E209" t="str">
        <f>+_xlfn.XLOOKUP(C209,Sheet4!F:F,Sheet4!G:G)</f>
        <v>CAM_LV2_29</v>
      </c>
    </row>
    <row r="210" spans="1:5">
      <c r="A210">
        <v>208</v>
      </c>
      <c r="B210" t="str">
        <f t="shared" si="3"/>
        <v>CAM_LV3_208</v>
      </c>
      <c r="C210" t="s">
        <v>1106</v>
      </c>
      <c r="D210" t="s">
        <v>1106</v>
      </c>
      <c r="E210" t="str">
        <f>+_xlfn.XLOOKUP(C210,Sheet4!F:F,Sheet4!G:G)</f>
        <v>CAM_LV2_30</v>
      </c>
    </row>
    <row r="211" spans="1:5">
      <c r="A211">
        <v>209</v>
      </c>
      <c r="B211" t="str">
        <f t="shared" si="3"/>
        <v>CAM_LV3_209</v>
      </c>
      <c r="C211" t="s">
        <v>1108</v>
      </c>
      <c r="D211" t="s">
        <v>1108</v>
      </c>
      <c r="E211" t="str">
        <f>+_xlfn.XLOOKUP(C211,Sheet4!F:F,Sheet4!G:G)</f>
        <v>CAM_LV2_31</v>
      </c>
    </row>
    <row r="212" spans="1:5">
      <c r="A212">
        <v>210</v>
      </c>
      <c r="B212" t="str">
        <f t="shared" si="3"/>
        <v>CAM_LV3_210</v>
      </c>
      <c r="C212" t="s">
        <v>1109</v>
      </c>
      <c r="D212" t="s">
        <v>1109</v>
      </c>
      <c r="E212" t="str">
        <f>+_xlfn.XLOOKUP(C212,Sheet4!F:F,Sheet4!G:G)</f>
        <v>CAM_LV2_30</v>
      </c>
    </row>
    <row r="213" spans="1:5">
      <c r="A213">
        <v>211</v>
      </c>
      <c r="B213" t="str">
        <f t="shared" si="3"/>
        <v>CAM_LV3_211</v>
      </c>
      <c r="C213" t="s">
        <v>1110</v>
      </c>
      <c r="D213" t="s">
        <v>1110</v>
      </c>
      <c r="E213" t="str">
        <f>+_xlfn.XLOOKUP(C213,Sheet4!F:F,Sheet4!G:G)</f>
        <v>CAM_LV2_30</v>
      </c>
    </row>
    <row r="214" spans="1:5">
      <c r="A214">
        <v>212</v>
      </c>
      <c r="B214" t="str">
        <f t="shared" si="3"/>
        <v>CAM_LV3_212</v>
      </c>
      <c r="C214" t="s">
        <v>1111</v>
      </c>
      <c r="D214" t="s">
        <v>1111</v>
      </c>
      <c r="E214" t="str">
        <f>+_xlfn.XLOOKUP(C214,Sheet4!F:F,Sheet4!G:G)</f>
        <v>CAM_LV2_30</v>
      </c>
    </row>
    <row r="215" spans="1:5">
      <c r="A215">
        <v>213</v>
      </c>
      <c r="B215" t="str">
        <f t="shared" si="3"/>
        <v>CAM_LV3_213</v>
      </c>
      <c r="C215" t="s">
        <v>1113</v>
      </c>
      <c r="D215" t="s">
        <v>1113</v>
      </c>
      <c r="E215" t="str">
        <f>+_xlfn.XLOOKUP(C215,Sheet4!F:F,Sheet4!G:G)</f>
        <v>CAM_LV2_32</v>
      </c>
    </row>
    <row r="216" spans="1:5">
      <c r="A216">
        <v>214</v>
      </c>
      <c r="B216" t="str">
        <f t="shared" si="3"/>
        <v>CAM_LV3_214</v>
      </c>
      <c r="C216" t="s">
        <v>1114</v>
      </c>
      <c r="D216" t="s">
        <v>1114</v>
      </c>
      <c r="E216" t="str">
        <f>+_xlfn.XLOOKUP(C216,Sheet4!F:F,Sheet4!G:G)</f>
        <v>CAM_LV2_30</v>
      </c>
    </row>
    <row r="217" spans="1:5">
      <c r="A217">
        <v>215</v>
      </c>
      <c r="B217" t="str">
        <f t="shared" si="3"/>
        <v>CAM_LV3_215</v>
      </c>
      <c r="C217" t="s">
        <v>1115</v>
      </c>
      <c r="D217" t="s">
        <v>1115</v>
      </c>
      <c r="E217" t="str">
        <f>+_xlfn.XLOOKUP(C217,Sheet4!F:F,Sheet4!G:G)</f>
        <v>CAM_LV2_30</v>
      </c>
    </row>
    <row r="218" spans="1:5">
      <c r="A218">
        <v>216</v>
      </c>
      <c r="B218" t="str">
        <f t="shared" si="3"/>
        <v>CAM_LV3_216</v>
      </c>
      <c r="C218" t="s">
        <v>1116</v>
      </c>
      <c r="D218" t="s">
        <v>1116</v>
      </c>
      <c r="E218" t="str">
        <f>+_xlfn.XLOOKUP(C218,Sheet4!F:F,Sheet4!G:G)</f>
        <v>CAM_LV2_30</v>
      </c>
    </row>
    <row r="219" spans="1:5">
      <c r="A219">
        <v>217</v>
      </c>
      <c r="B219" t="str">
        <f t="shared" si="3"/>
        <v>CAM_LV3_217</v>
      </c>
      <c r="C219" t="s">
        <v>1117</v>
      </c>
      <c r="D219" t="s">
        <v>1117</v>
      </c>
      <c r="E219" t="str">
        <f>+_xlfn.XLOOKUP(C219,Sheet4!F:F,Sheet4!G:G)</f>
        <v>CAM_LV2_32</v>
      </c>
    </row>
    <row r="220" spans="1:5">
      <c r="A220">
        <v>218</v>
      </c>
      <c r="B220" t="str">
        <f t="shared" si="3"/>
        <v>CAM_LV3_218</v>
      </c>
      <c r="C220" t="s">
        <v>1118</v>
      </c>
      <c r="D220" t="s">
        <v>1118</v>
      </c>
      <c r="E220" t="str">
        <f>+_xlfn.XLOOKUP(C220,Sheet4!F:F,Sheet4!G:G)</f>
        <v>CAM_LV2_30</v>
      </c>
    </row>
    <row r="221" spans="1:5">
      <c r="A221">
        <v>219</v>
      </c>
      <c r="B221" t="str">
        <f t="shared" si="3"/>
        <v>CAM_LV3_219</v>
      </c>
      <c r="C221" t="s">
        <v>1120</v>
      </c>
      <c r="D221" t="s">
        <v>1120</v>
      </c>
      <c r="E221" t="str">
        <f>+_xlfn.XLOOKUP(C221,Sheet4!F:F,Sheet4!G:G)</f>
        <v>CAM_LV2_33</v>
      </c>
    </row>
    <row r="222" spans="1:5">
      <c r="A222">
        <v>220</v>
      </c>
      <c r="B222" t="str">
        <f t="shared" si="3"/>
        <v>CAM_LV3_220</v>
      </c>
      <c r="C222" t="s">
        <v>1121</v>
      </c>
      <c r="D222" t="s">
        <v>1121</v>
      </c>
      <c r="E222" t="str">
        <f>+_xlfn.XLOOKUP(C222,Sheet4!F:F,Sheet4!G:G)</f>
        <v>CAM_LV2_30</v>
      </c>
    </row>
    <row r="223" spans="1:5">
      <c r="A223">
        <v>221</v>
      </c>
      <c r="B223" t="str">
        <f t="shared" si="3"/>
        <v>CAM_LV3_221</v>
      </c>
      <c r="C223" t="s">
        <v>1122</v>
      </c>
      <c r="D223" t="s">
        <v>1122</v>
      </c>
      <c r="E223" t="str">
        <f>+_xlfn.XLOOKUP(C223,Sheet4!F:F,Sheet4!G:G)</f>
        <v>CAM_LV2_32</v>
      </c>
    </row>
    <row r="224" spans="1:5">
      <c r="A224">
        <v>222</v>
      </c>
      <c r="B224" t="str">
        <f t="shared" si="3"/>
        <v>CAM_LV3_222</v>
      </c>
      <c r="C224" t="s">
        <v>1123</v>
      </c>
      <c r="D224" t="s">
        <v>1123</v>
      </c>
      <c r="E224" t="str">
        <f>+_xlfn.XLOOKUP(C224,Sheet4!F:F,Sheet4!G:G)</f>
        <v>CAM_LV2_30</v>
      </c>
    </row>
    <row r="225" spans="1:5">
      <c r="A225">
        <v>223</v>
      </c>
      <c r="B225" t="str">
        <f t="shared" si="3"/>
        <v>CAM_LV3_223</v>
      </c>
      <c r="C225" t="s">
        <v>1124</v>
      </c>
      <c r="D225" t="s">
        <v>1124</v>
      </c>
      <c r="E225" t="str">
        <f>+_xlfn.XLOOKUP(C225,Sheet4!F:F,Sheet4!G:G)</f>
        <v>CAM_LV2_31</v>
      </c>
    </row>
    <row r="226" spans="1:5">
      <c r="A226">
        <v>224</v>
      </c>
      <c r="B226" t="str">
        <f t="shared" si="3"/>
        <v>CAM_LV3_224</v>
      </c>
      <c r="C226" t="s">
        <v>1125</v>
      </c>
      <c r="D226" t="s">
        <v>1125</v>
      </c>
      <c r="E226" t="str">
        <f>+_xlfn.XLOOKUP(C226,Sheet4!F:F,Sheet4!G:G)</f>
        <v>CAM_LV2_33</v>
      </c>
    </row>
    <row r="227" spans="1:5">
      <c r="A227">
        <v>225</v>
      </c>
      <c r="B227" t="str">
        <f t="shared" si="3"/>
        <v>CAM_LV3_225</v>
      </c>
      <c r="C227" t="s">
        <v>1126</v>
      </c>
      <c r="D227" t="s">
        <v>1126</v>
      </c>
      <c r="E227" t="str">
        <f>+_xlfn.XLOOKUP(C227,Sheet4!F:F,Sheet4!G:G)</f>
        <v>CAM_LV2_30</v>
      </c>
    </row>
    <row r="228" spans="1:5">
      <c r="A228">
        <v>226</v>
      </c>
      <c r="B228" t="str">
        <f t="shared" si="3"/>
        <v>CAM_LV3_226</v>
      </c>
      <c r="C228" t="s">
        <v>1127</v>
      </c>
      <c r="D228" t="s">
        <v>1127</v>
      </c>
      <c r="E228" t="str">
        <f>+_xlfn.XLOOKUP(C228,Sheet4!F:F,Sheet4!G:G)</f>
        <v>CAM_LV2_33</v>
      </c>
    </row>
    <row r="229" spans="1:5">
      <c r="A229">
        <v>227</v>
      </c>
      <c r="B229" t="str">
        <f t="shared" si="3"/>
        <v>CAM_LV3_227</v>
      </c>
      <c r="C229" t="s">
        <v>1128</v>
      </c>
      <c r="D229" t="s">
        <v>1128</v>
      </c>
      <c r="E229" t="str">
        <f>+_xlfn.XLOOKUP(C229,Sheet4!F:F,Sheet4!G:G)</f>
        <v>CAM_LV2_33</v>
      </c>
    </row>
    <row r="230" spans="1:5">
      <c r="A230">
        <v>228</v>
      </c>
      <c r="B230" t="str">
        <f t="shared" si="3"/>
        <v>CAM_LV3_228</v>
      </c>
      <c r="C230" t="s">
        <v>1129</v>
      </c>
      <c r="D230" t="s">
        <v>1129</v>
      </c>
      <c r="E230" t="str">
        <f>+_xlfn.XLOOKUP(C230,Sheet4!F:F,Sheet4!G:G)</f>
        <v>CAM_LV2_30</v>
      </c>
    </row>
    <row r="231" spans="1:5">
      <c r="A231">
        <v>229</v>
      </c>
      <c r="B231" t="str">
        <f t="shared" si="3"/>
        <v>CAM_LV3_229</v>
      </c>
      <c r="C231" t="s">
        <v>1131</v>
      </c>
      <c r="D231" t="s">
        <v>1131</v>
      </c>
      <c r="E231" t="str">
        <f>+_xlfn.XLOOKUP(C231,Sheet4!F:F,Sheet4!G:G)</f>
        <v>CAM_LV2_34</v>
      </c>
    </row>
    <row r="232" spans="1:5">
      <c r="A232">
        <v>230</v>
      </c>
      <c r="B232" t="str">
        <f t="shared" si="3"/>
        <v>CAM_LV3_230</v>
      </c>
      <c r="C232" t="s">
        <v>1133</v>
      </c>
      <c r="D232" t="s">
        <v>1133</v>
      </c>
      <c r="E232" t="str">
        <f>+_xlfn.XLOOKUP(C232,Sheet4!F:F,Sheet4!G:G)</f>
        <v>CAM_LV2_35</v>
      </c>
    </row>
    <row r="233" spans="1:5">
      <c r="A233">
        <v>231</v>
      </c>
      <c r="B233" t="str">
        <f t="shared" si="3"/>
        <v>CAM_LV3_231</v>
      </c>
      <c r="C233" t="s">
        <v>1135</v>
      </c>
      <c r="D233" t="s">
        <v>1135</v>
      </c>
      <c r="E233" t="str">
        <f>+_xlfn.XLOOKUP(C233,Sheet4!F:F,Sheet4!G:G)</f>
        <v>CAM_LV2_36</v>
      </c>
    </row>
    <row r="234" spans="1:5">
      <c r="A234">
        <v>232</v>
      </c>
      <c r="B234" t="str">
        <f t="shared" si="3"/>
        <v>CAM_LV3_232</v>
      </c>
      <c r="C234" t="s">
        <v>1137</v>
      </c>
      <c r="D234" t="s">
        <v>1137</v>
      </c>
      <c r="E234" t="str">
        <f>+_xlfn.XLOOKUP(C234,Sheet4!F:F,Sheet4!G:G)</f>
        <v>CAM_LV2_37</v>
      </c>
    </row>
    <row r="235" spans="1:5">
      <c r="A235">
        <v>233</v>
      </c>
      <c r="B235" t="str">
        <f t="shared" si="3"/>
        <v>CAM_LV3_233</v>
      </c>
      <c r="C235" t="s">
        <v>1138</v>
      </c>
      <c r="D235" t="s">
        <v>1138</v>
      </c>
      <c r="E235" t="str">
        <f>+_xlfn.XLOOKUP(C235,Sheet4!F:F,Sheet4!G:G)</f>
        <v>CAM_LV2_37</v>
      </c>
    </row>
    <row r="236" spans="1:5">
      <c r="A236">
        <v>234</v>
      </c>
      <c r="B236" t="str">
        <f t="shared" si="3"/>
        <v>CAM_LV3_234</v>
      </c>
      <c r="C236" t="s">
        <v>1139</v>
      </c>
      <c r="D236" t="s">
        <v>1139</v>
      </c>
      <c r="E236" t="str">
        <f>+_xlfn.XLOOKUP(C236,Sheet4!F:F,Sheet4!G:G)</f>
        <v>CAM_LV2_36</v>
      </c>
    </row>
    <row r="237" spans="1:5">
      <c r="A237">
        <v>235</v>
      </c>
      <c r="B237" t="str">
        <f t="shared" si="3"/>
        <v>CAM_LV3_235</v>
      </c>
      <c r="C237" t="s">
        <v>1140</v>
      </c>
      <c r="D237" t="s">
        <v>1140</v>
      </c>
      <c r="E237" t="str">
        <f>+_xlfn.XLOOKUP(C237,Sheet4!F:F,Sheet4!G:G)</f>
        <v>CAM_LV2_37</v>
      </c>
    </row>
    <row r="238" spans="1:5">
      <c r="A238">
        <v>236</v>
      </c>
      <c r="B238" t="str">
        <f t="shared" si="3"/>
        <v>CAM_LV3_236</v>
      </c>
      <c r="C238" t="s">
        <v>1141</v>
      </c>
      <c r="D238" t="s">
        <v>1141</v>
      </c>
      <c r="E238" t="str">
        <f>+_xlfn.XLOOKUP(C238,Sheet4!F:F,Sheet4!G:G)</f>
        <v>CAM_LV2_37</v>
      </c>
    </row>
    <row r="239" spans="1:5">
      <c r="A239">
        <v>237</v>
      </c>
      <c r="B239" t="str">
        <f t="shared" si="3"/>
        <v>CAM_LV3_237</v>
      </c>
      <c r="C239" t="s">
        <v>1142</v>
      </c>
      <c r="D239" t="s">
        <v>1142</v>
      </c>
      <c r="E239" t="str">
        <f>+_xlfn.XLOOKUP(C239,Sheet4!F:F,Sheet4!G:G)</f>
        <v>CAM_LV2_37</v>
      </c>
    </row>
    <row r="240" spans="1:5">
      <c r="A240">
        <v>238</v>
      </c>
      <c r="B240" t="str">
        <f t="shared" si="3"/>
        <v>CAM_LV3_238</v>
      </c>
      <c r="C240" t="s">
        <v>1143</v>
      </c>
      <c r="D240" t="s">
        <v>1143</v>
      </c>
      <c r="E240" t="str">
        <f>+_xlfn.XLOOKUP(C240,Sheet4!F:F,Sheet4!G:G)</f>
        <v>CAM_LV2_34</v>
      </c>
    </row>
    <row r="241" spans="1:5">
      <c r="A241">
        <v>239</v>
      </c>
      <c r="B241" t="str">
        <f t="shared" si="3"/>
        <v>CAM_LV3_239</v>
      </c>
      <c r="C241" t="s">
        <v>1144</v>
      </c>
      <c r="D241" t="s">
        <v>1144</v>
      </c>
      <c r="E241" t="str">
        <f>+_xlfn.XLOOKUP(C241,Sheet4!F:F,Sheet4!G:G)</f>
        <v>CAM_LV2_34</v>
      </c>
    </row>
    <row r="242" spans="1:5">
      <c r="A242">
        <v>240</v>
      </c>
      <c r="B242" t="str">
        <f t="shared" si="3"/>
        <v>CAM_LV3_240</v>
      </c>
      <c r="C242" t="s">
        <v>1146</v>
      </c>
      <c r="D242" t="s">
        <v>1146</v>
      </c>
      <c r="E242" t="str">
        <f>+_xlfn.XLOOKUP(C242,Sheet4!F:F,Sheet4!G:G)</f>
        <v>CAM_LV2_38</v>
      </c>
    </row>
    <row r="243" spans="1:5">
      <c r="A243">
        <v>241</v>
      </c>
      <c r="B243" t="str">
        <f t="shared" si="3"/>
        <v>CAM_LV3_241</v>
      </c>
      <c r="C243" t="s">
        <v>1147</v>
      </c>
      <c r="D243" t="s">
        <v>1147</v>
      </c>
      <c r="E243" t="str">
        <f>+_xlfn.XLOOKUP(C243,Sheet4!F:F,Sheet4!G:G)</f>
        <v>CAM_LV2_38</v>
      </c>
    </row>
    <row r="244" spans="1:5">
      <c r="A244">
        <v>242</v>
      </c>
      <c r="B244" t="str">
        <f t="shared" si="3"/>
        <v>CAM_LV3_242</v>
      </c>
      <c r="C244" t="s">
        <v>1148</v>
      </c>
      <c r="D244" t="s">
        <v>1148</v>
      </c>
      <c r="E244" t="str">
        <f>+_xlfn.XLOOKUP(C244,Sheet4!F:F,Sheet4!G:G)</f>
        <v>CAM_LV2_38</v>
      </c>
    </row>
    <row r="245" spans="1:5">
      <c r="A245">
        <v>243</v>
      </c>
      <c r="B245" t="str">
        <f t="shared" si="3"/>
        <v>CAM_LV3_243</v>
      </c>
      <c r="C245" t="s">
        <v>1150</v>
      </c>
      <c r="D245" t="s">
        <v>1150</v>
      </c>
      <c r="E245" t="str">
        <f>+_xlfn.XLOOKUP(C245,Sheet4!F:F,Sheet4!G:G)</f>
        <v>CAM_LV2_39</v>
      </c>
    </row>
    <row r="246" spans="1:5">
      <c r="A246">
        <v>244</v>
      </c>
      <c r="B246" t="str">
        <f t="shared" si="3"/>
        <v>CAM_LV3_244</v>
      </c>
      <c r="C246" t="s">
        <v>1151</v>
      </c>
      <c r="D246" t="s">
        <v>1151</v>
      </c>
      <c r="E246" t="str">
        <f>+_xlfn.XLOOKUP(C246,Sheet4!F:F,Sheet4!G:G)</f>
        <v>CAM_LV2_39</v>
      </c>
    </row>
    <row r="247" spans="1:5">
      <c r="A247">
        <v>245</v>
      </c>
      <c r="B247" t="str">
        <f t="shared" si="3"/>
        <v>CAM_LV3_245</v>
      </c>
      <c r="C247" t="s">
        <v>1153</v>
      </c>
      <c r="D247" t="s">
        <v>1153</v>
      </c>
      <c r="E247" t="str">
        <f>+_xlfn.XLOOKUP(C247,Sheet4!F:F,Sheet4!G:G)</f>
        <v>CAM_LV2_40</v>
      </c>
    </row>
    <row r="248" spans="1:5">
      <c r="A248">
        <v>246</v>
      </c>
      <c r="B248" t="str">
        <f t="shared" si="3"/>
        <v>CAM_LV3_246</v>
      </c>
      <c r="C248" t="s">
        <v>1154</v>
      </c>
      <c r="D248" t="s">
        <v>1154</v>
      </c>
      <c r="E248" t="str">
        <f>+_xlfn.XLOOKUP(C248,Sheet4!F:F,Sheet4!G:G)</f>
        <v>CAM_LV2_40</v>
      </c>
    </row>
    <row r="249" spans="1:5">
      <c r="A249">
        <v>247</v>
      </c>
      <c r="B249" t="str">
        <f t="shared" si="3"/>
        <v>CAM_LV3_247</v>
      </c>
      <c r="C249" t="s">
        <v>1155</v>
      </c>
      <c r="D249" t="s">
        <v>1155</v>
      </c>
      <c r="E249" t="str">
        <f>+_xlfn.XLOOKUP(C249,Sheet4!F:F,Sheet4!G:G)</f>
        <v>CAM_LV2_34</v>
      </c>
    </row>
    <row r="250" spans="1:5">
      <c r="A250">
        <v>248</v>
      </c>
      <c r="B250" t="str">
        <f t="shared" si="3"/>
        <v>CAM_LV3_248</v>
      </c>
      <c r="C250" t="s">
        <v>1156</v>
      </c>
      <c r="D250" t="s">
        <v>1156</v>
      </c>
      <c r="E250" t="str">
        <f>+_xlfn.XLOOKUP(C250,Sheet4!F:F,Sheet4!G:G)</f>
        <v>CAM_LV2_40</v>
      </c>
    </row>
    <row r="251" spans="1:5">
      <c r="A251">
        <v>249</v>
      </c>
      <c r="B251" t="str">
        <f t="shared" si="3"/>
        <v>CAM_LV3_249</v>
      </c>
      <c r="C251" t="s">
        <v>1157</v>
      </c>
      <c r="D251" t="s">
        <v>1157</v>
      </c>
      <c r="E251" t="str">
        <f>+_xlfn.XLOOKUP(C251,Sheet4!F:F,Sheet4!G:G)</f>
        <v>CAM_LV2_39</v>
      </c>
    </row>
    <row r="252" spans="1:5">
      <c r="A252">
        <v>250</v>
      </c>
      <c r="B252" t="str">
        <f t="shared" si="3"/>
        <v>CAM_LV3_250</v>
      </c>
      <c r="C252" t="s">
        <v>1158</v>
      </c>
      <c r="D252" t="s">
        <v>1158</v>
      </c>
      <c r="E252" t="str">
        <f>+_xlfn.XLOOKUP(C252,Sheet4!F:F,Sheet4!G:G)</f>
        <v>CAM_LV2_35</v>
      </c>
    </row>
    <row r="253" spans="1:5">
      <c r="A253">
        <v>251</v>
      </c>
      <c r="B253" t="str">
        <f t="shared" si="3"/>
        <v>CAM_LV3_251</v>
      </c>
      <c r="C253" t="s">
        <v>1159</v>
      </c>
      <c r="D253" t="s">
        <v>1159</v>
      </c>
      <c r="E253" t="str">
        <f>+_xlfn.XLOOKUP(C253,Sheet4!F:F,Sheet4!G:G)</f>
        <v>CAM_LV2_36</v>
      </c>
    </row>
    <row r="254" spans="1:5">
      <c r="A254">
        <v>252</v>
      </c>
      <c r="B254" t="str">
        <f t="shared" si="3"/>
        <v>CAM_LV3_252</v>
      </c>
      <c r="C254" t="s">
        <v>1160</v>
      </c>
      <c r="D254" t="s">
        <v>1160</v>
      </c>
      <c r="E254" t="str">
        <f>+_xlfn.XLOOKUP(C254,Sheet4!F:F,Sheet4!G:G)</f>
        <v>CAM_LV2_35</v>
      </c>
    </row>
    <row r="255" spans="1:5">
      <c r="A255">
        <v>253</v>
      </c>
      <c r="B255" t="str">
        <f t="shared" si="3"/>
        <v>CAM_LV3_253</v>
      </c>
      <c r="C255" t="s">
        <v>1161</v>
      </c>
      <c r="D255" t="s">
        <v>1161</v>
      </c>
      <c r="E255" t="str">
        <f>+_xlfn.XLOOKUP(C255,Sheet4!F:F,Sheet4!G:G)</f>
        <v>CAM_LV2_34</v>
      </c>
    </row>
    <row r="256" spans="1:5">
      <c r="A256">
        <v>254</v>
      </c>
      <c r="B256" t="str">
        <f t="shared" si="3"/>
        <v>CAM_LV3_254</v>
      </c>
      <c r="C256" t="s">
        <v>1162</v>
      </c>
      <c r="D256" t="s">
        <v>1162</v>
      </c>
      <c r="E256" t="str">
        <f>+_xlfn.XLOOKUP(C256,Sheet4!F:F,Sheet4!G:G)</f>
        <v>CAM_LV2_38</v>
      </c>
    </row>
    <row r="257" spans="1:5">
      <c r="A257">
        <v>255</v>
      </c>
      <c r="B257" t="str">
        <f t="shared" si="3"/>
        <v>CAM_LV3_255</v>
      </c>
      <c r="C257" t="s">
        <v>1163</v>
      </c>
      <c r="D257" t="s">
        <v>1163</v>
      </c>
      <c r="E257" t="str">
        <f>+_xlfn.XLOOKUP(C257,Sheet4!F:F,Sheet4!G:G)</f>
        <v>CAM_LV2_35</v>
      </c>
    </row>
    <row r="258" spans="1:5">
      <c r="A258">
        <v>256</v>
      </c>
      <c r="B258" t="str">
        <f t="shared" si="3"/>
        <v>CAM_LV3_256</v>
      </c>
      <c r="C258" t="s">
        <v>1164</v>
      </c>
      <c r="D258" t="s">
        <v>1164</v>
      </c>
      <c r="E258" t="str">
        <f>+_xlfn.XLOOKUP(C258,Sheet4!F:F,Sheet4!G:G)</f>
        <v>CAM_LV2_40</v>
      </c>
    </row>
    <row r="259" spans="1:5">
      <c r="A259">
        <v>257</v>
      </c>
      <c r="B259" t="str">
        <f t="shared" ref="B259:B322" si="4">_xlfn.CONCAT("CAM_LV3_",A259)</f>
        <v>CAM_LV3_257</v>
      </c>
      <c r="C259" t="s">
        <v>1165</v>
      </c>
      <c r="D259" t="s">
        <v>1165</v>
      </c>
      <c r="E259" t="str">
        <f>+_xlfn.XLOOKUP(C259,Sheet4!F:F,Sheet4!G:G)</f>
        <v>CAM_LV2_40</v>
      </c>
    </row>
    <row r="260" spans="1:5">
      <c r="A260">
        <v>258</v>
      </c>
      <c r="B260" t="str">
        <f t="shared" si="4"/>
        <v>CAM_LV3_258</v>
      </c>
      <c r="C260" t="s">
        <v>1166</v>
      </c>
      <c r="D260" t="s">
        <v>1166</v>
      </c>
      <c r="E260" t="str">
        <f>+_xlfn.XLOOKUP(C260,Sheet4!F:F,Sheet4!G:G)</f>
        <v>CAM_LV2_35</v>
      </c>
    </row>
    <row r="261" spans="1:5">
      <c r="A261">
        <v>259</v>
      </c>
      <c r="B261" t="str">
        <f t="shared" si="4"/>
        <v>CAM_LV3_259</v>
      </c>
      <c r="C261" t="s">
        <v>1167</v>
      </c>
      <c r="D261" t="s">
        <v>1167</v>
      </c>
      <c r="E261" t="str">
        <f>+_xlfn.XLOOKUP(C261,Sheet4!F:F,Sheet4!G:G)</f>
        <v>CAM_LV2_40</v>
      </c>
    </row>
    <row r="262" spans="1:5">
      <c r="A262">
        <v>260</v>
      </c>
      <c r="B262" t="str">
        <f t="shared" si="4"/>
        <v>CAM_LV3_260</v>
      </c>
      <c r="C262" t="s">
        <v>1168</v>
      </c>
      <c r="D262" t="s">
        <v>1168</v>
      </c>
      <c r="E262" t="str">
        <f>+_xlfn.XLOOKUP(C262,Sheet4!F:F,Sheet4!G:G)</f>
        <v>CAM_LV2_37</v>
      </c>
    </row>
    <row r="263" spans="1:5">
      <c r="A263">
        <v>261</v>
      </c>
      <c r="B263" t="str">
        <f t="shared" si="4"/>
        <v>CAM_LV3_261</v>
      </c>
      <c r="C263" t="s">
        <v>1169</v>
      </c>
      <c r="D263" t="s">
        <v>1169</v>
      </c>
      <c r="E263" t="str">
        <f>+_xlfn.XLOOKUP(C263,Sheet4!F:F,Sheet4!G:G)</f>
        <v>CAM_LV2_37</v>
      </c>
    </row>
    <row r="264" spans="1:5">
      <c r="A264">
        <v>262</v>
      </c>
      <c r="B264" t="str">
        <f t="shared" si="4"/>
        <v>CAM_LV3_262</v>
      </c>
      <c r="C264" t="s">
        <v>1170</v>
      </c>
      <c r="D264" t="s">
        <v>1170</v>
      </c>
      <c r="E264" t="str">
        <f>+_xlfn.XLOOKUP(C264,Sheet4!F:F,Sheet4!G:G)</f>
        <v>CAM_LV2_34</v>
      </c>
    </row>
    <row r="265" spans="1:5">
      <c r="A265">
        <v>263</v>
      </c>
      <c r="B265" t="str">
        <f t="shared" si="4"/>
        <v>CAM_LV3_263</v>
      </c>
      <c r="C265" t="s">
        <v>1171</v>
      </c>
      <c r="D265" t="s">
        <v>1171</v>
      </c>
      <c r="E265" t="str">
        <f>+_xlfn.XLOOKUP(C265,Sheet4!F:F,Sheet4!G:G)</f>
        <v>CAM_LV2_39</v>
      </c>
    </row>
    <row r="266" spans="1:5">
      <c r="A266">
        <v>264</v>
      </c>
      <c r="B266" t="str">
        <f t="shared" si="4"/>
        <v>CAM_LV3_264</v>
      </c>
      <c r="C266" t="s">
        <v>1173</v>
      </c>
      <c r="D266" t="s">
        <v>1173</v>
      </c>
      <c r="E266" t="str">
        <f>+_xlfn.XLOOKUP(C266,Sheet4!F:F,Sheet4!G:G)</f>
        <v>CAM_LV2_41</v>
      </c>
    </row>
    <row r="267" spans="1:5">
      <c r="A267">
        <v>265</v>
      </c>
      <c r="B267" t="str">
        <f t="shared" si="4"/>
        <v>CAM_LV3_265</v>
      </c>
      <c r="C267" t="s">
        <v>1175</v>
      </c>
      <c r="D267" t="s">
        <v>1175</v>
      </c>
      <c r="E267" t="str">
        <f>+_xlfn.XLOOKUP(C267,Sheet4!F:F,Sheet4!G:G)</f>
        <v>CAM_LV2_42</v>
      </c>
    </row>
    <row r="268" spans="1:5">
      <c r="A268">
        <v>266</v>
      </c>
      <c r="B268" t="str">
        <f t="shared" si="4"/>
        <v>CAM_LV3_266</v>
      </c>
      <c r="C268" t="s">
        <v>1177</v>
      </c>
      <c r="D268" t="s">
        <v>1177</v>
      </c>
      <c r="E268" t="str">
        <f>+_xlfn.XLOOKUP(C268,Sheet4!F:F,Sheet4!G:G)</f>
        <v>CAM_LV2_43</v>
      </c>
    </row>
    <row r="269" spans="1:5">
      <c r="A269">
        <v>267</v>
      </c>
      <c r="B269" t="str">
        <f t="shared" si="4"/>
        <v>CAM_LV3_267</v>
      </c>
      <c r="C269" t="s">
        <v>1178</v>
      </c>
      <c r="D269" t="s">
        <v>1178</v>
      </c>
      <c r="E269" t="str">
        <f>+_xlfn.XLOOKUP(C269,Sheet4!F:F,Sheet4!G:G)</f>
        <v>CAM_LV2_43</v>
      </c>
    </row>
    <row r="270" spans="1:5">
      <c r="A270">
        <v>268</v>
      </c>
      <c r="B270" t="str">
        <f t="shared" si="4"/>
        <v>CAM_LV3_268</v>
      </c>
      <c r="C270" t="s">
        <v>1179</v>
      </c>
      <c r="D270" t="s">
        <v>1179</v>
      </c>
      <c r="E270" t="str">
        <f>+_xlfn.XLOOKUP(C270,Sheet4!F:F,Sheet4!G:G)</f>
        <v>CAM_LV2_43</v>
      </c>
    </row>
    <row r="271" spans="1:5">
      <c r="A271">
        <v>269</v>
      </c>
      <c r="B271" t="str">
        <f t="shared" si="4"/>
        <v>CAM_LV3_269</v>
      </c>
      <c r="C271" t="s">
        <v>1181</v>
      </c>
      <c r="D271" t="s">
        <v>1181</v>
      </c>
      <c r="E271" t="str">
        <f>+_xlfn.XLOOKUP(C271,Sheet4!F:F,Sheet4!G:G)</f>
        <v>CAM_LV2_44</v>
      </c>
    </row>
    <row r="272" spans="1:5">
      <c r="A272">
        <v>270</v>
      </c>
      <c r="B272" t="str">
        <f t="shared" si="4"/>
        <v>CAM_LV3_270</v>
      </c>
      <c r="C272" t="s">
        <v>1182</v>
      </c>
      <c r="D272" t="s">
        <v>1182</v>
      </c>
      <c r="E272" t="str">
        <f>+_xlfn.XLOOKUP(C272,Sheet4!F:F,Sheet4!G:G)</f>
        <v>CAM_LV2_42</v>
      </c>
    </row>
    <row r="273" spans="1:5">
      <c r="A273">
        <v>271</v>
      </c>
      <c r="B273" t="str">
        <f t="shared" si="4"/>
        <v>CAM_LV3_271</v>
      </c>
      <c r="C273" t="s">
        <v>1183</v>
      </c>
      <c r="D273" t="s">
        <v>1183</v>
      </c>
      <c r="E273" t="str">
        <f>+_xlfn.XLOOKUP(C273,Sheet4!F:F,Sheet4!G:G)</f>
        <v>CAM_LV2_44</v>
      </c>
    </row>
    <row r="274" spans="1:5">
      <c r="A274">
        <v>272</v>
      </c>
      <c r="B274" t="str">
        <f t="shared" si="4"/>
        <v>CAM_LV3_272</v>
      </c>
      <c r="C274" t="s">
        <v>1184</v>
      </c>
      <c r="D274" t="s">
        <v>1184</v>
      </c>
      <c r="E274" t="str">
        <f>+_xlfn.XLOOKUP(C274,Sheet4!F:F,Sheet4!G:G)</f>
        <v>CAM_LV2_42</v>
      </c>
    </row>
    <row r="275" spans="1:5">
      <c r="A275">
        <v>273</v>
      </c>
      <c r="B275" t="str">
        <f t="shared" si="4"/>
        <v>CAM_LV3_273</v>
      </c>
      <c r="C275" t="s">
        <v>1185</v>
      </c>
      <c r="D275" t="s">
        <v>1185</v>
      </c>
      <c r="E275" t="str">
        <f>+_xlfn.XLOOKUP(C275,Sheet4!F:F,Sheet4!G:G)</f>
        <v>CAM_LV2_42</v>
      </c>
    </row>
    <row r="276" spans="1:5">
      <c r="A276">
        <v>274</v>
      </c>
      <c r="B276" t="str">
        <f t="shared" si="4"/>
        <v>CAM_LV3_274</v>
      </c>
      <c r="C276" t="s">
        <v>1187</v>
      </c>
      <c r="D276" t="s">
        <v>1187</v>
      </c>
      <c r="E276" t="str">
        <f>+_xlfn.XLOOKUP(C276,Sheet4!F:F,Sheet4!G:G)</f>
        <v>CAM_LV2_45</v>
      </c>
    </row>
    <row r="277" spans="1:5">
      <c r="A277">
        <v>275</v>
      </c>
      <c r="B277" t="str">
        <f t="shared" si="4"/>
        <v>CAM_LV3_275</v>
      </c>
      <c r="C277" t="s">
        <v>1188</v>
      </c>
      <c r="D277" t="s">
        <v>1188</v>
      </c>
      <c r="E277" t="str">
        <f>+_xlfn.XLOOKUP(C277,Sheet4!F:F,Sheet4!G:G)</f>
        <v>CAM_LV2_44</v>
      </c>
    </row>
    <row r="278" spans="1:5">
      <c r="A278">
        <v>276</v>
      </c>
      <c r="B278" t="str">
        <f t="shared" si="4"/>
        <v>CAM_LV3_276</v>
      </c>
      <c r="C278" t="s">
        <v>1190</v>
      </c>
      <c r="D278" t="s">
        <v>1190</v>
      </c>
      <c r="E278" t="str">
        <f>+_xlfn.XLOOKUP(C278,Sheet4!F:F,Sheet4!G:G)</f>
        <v>CAM_LV2_46</v>
      </c>
    </row>
    <row r="279" spans="1:5">
      <c r="A279">
        <v>277</v>
      </c>
      <c r="B279" t="str">
        <f t="shared" si="4"/>
        <v>CAM_LV3_277</v>
      </c>
      <c r="C279" t="s">
        <v>1191</v>
      </c>
      <c r="D279" t="s">
        <v>1191</v>
      </c>
      <c r="E279" t="str">
        <f>+_xlfn.XLOOKUP(C279,Sheet4!F:F,Sheet4!G:G)</f>
        <v>CAM_LV2_42</v>
      </c>
    </row>
    <row r="280" spans="1:5">
      <c r="A280">
        <v>278</v>
      </c>
      <c r="B280" t="str">
        <f t="shared" si="4"/>
        <v>CAM_LV3_278</v>
      </c>
      <c r="C280" t="s">
        <v>1192</v>
      </c>
      <c r="D280" t="s">
        <v>1192</v>
      </c>
      <c r="E280" t="str">
        <f>+_xlfn.XLOOKUP(C280,Sheet4!F:F,Sheet4!G:G)</f>
        <v>CAM_LV2_42</v>
      </c>
    </row>
    <row r="281" spans="1:5">
      <c r="A281">
        <v>279</v>
      </c>
      <c r="B281" t="str">
        <f t="shared" si="4"/>
        <v>CAM_LV3_279</v>
      </c>
      <c r="C281" t="s">
        <v>1193</v>
      </c>
      <c r="D281" t="s">
        <v>1193</v>
      </c>
      <c r="E281" t="str">
        <f>+_xlfn.XLOOKUP(C281,Sheet4!F:F,Sheet4!G:G)</f>
        <v>CAM_LV2_45</v>
      </c>
    </row>
    <row r="282" spans="1:5">
      <c r="A282">
        <v>280</v>
      </c>
      <c r="B282" t="str">
        <f t="shared" si="4"/>
        <v>CAM_LV3_280</v>
      </c>
      <c r="C282" t="s">
        <v>1194</v>
      </c>
      <c r="D282" t="s">
        <v>1194</v>
      </c>
      <c r="E282" t="str">
        <f>+_xlfn.XLOOKUP(C282,Sheet4!F:F,Sheet4!G:G)</f>
        <v>CAM_LV2_41</v>
      </c>
    </row>
    <row r="283" spans="1:5">
      <c r="A283">
        <v>281</v>
      </c>
      <c r="B283" t="str">
        <f t="shared" si="4"/>
        <v>CAM_LV3_281</v>
      </c>
      <c r="C283" t="s">
        <v>1195</v>
      </c>
      <c r="D283" t="s">
        <v>1195</v>
      </c>
      <c r="E283" t="str">
        <f>+_xlfn.XLOOKUP(C283,Sheet4!F:F,Sheet4!G:G)</f>
        <v>CAM_LV2_44</v>
      </c>
    </row>
    <row r="284" spans="1:5">
      <c r="A284">
        <v>282</v>
      </c>
      <c r="B284" t="str">
        <f t="shared" si="4"/>
        <v>CAM_LV3_282</v>
      </c>
      <c r="C284" t="s">
        <v>1197</v>
      </c>
      <c r="D284" t="s">
        <v>1197</v>
      </c>
      <c r="E284" t="str">
        <f>+_xlfn.XLOOKUP(C284,Sheet4!F:F,Sheet4!G:G)</f>
        <v>CAM_LV2_47</v>
      </c>
    </row>
    <row r="285" spans="1:5">
      <c r="A285">
        <v>283</v>
      </c>
      <c r="B285" t="str">
        <f t="shared" si="4"/>
        <v>CAM_LV3_283</v>
      </c>
      <c r="C285" t="s">
        <v>1198</v>
      </c>
      <c r="D285" t="s">
        <v>1198</v>
      </c>
      <c r="E285" t="str">
        <f>+_xlfn.XLOOKUP(C285,Sheet4!F:F,Sheet4!G:G)</f>
        <v>CAM_LV2_45</v>
      </c>
    </row>
    <row r="286" spans="1:5">
      <c r="A286">
        <v>284</v>
      </c>
      <c r="B286" t="str">
        <f t="shared" si="4"/>
        <v>CAM_LV3_284</v>
      </c>
      <c r="C286" t="s">
        <v>1199</v>
      </c>
      <c r="D286" t="s">
        <v>1199</v>
      </c>
      <c r="E286" t="str">
        <f>+_xlfn.XLOOKUP(C286,Sheet4!F:F,Sheet4!G:G)</f>
        <v>CAM_LV2_47</v>
      </c>
    </row>
    <row r="287" spans="1:5">
      <c r="A287">
        <v>285</v>
      </c>
      <c r="B287" t="str">
        <f t="shared" si="4"/>
        <v>CAM_LV3_285</v>
      </c>
      <c r="C287" t="s">
        <v>1201</v>
      </c>
      <c r="D287" t="s">
        <v>1201</v>
      </c>
      <c r="E287" t="str">
        <f>+_xlfn.XLOOKUP(C287,Sheet4!F:F,Sheet4!G:G)</f>
        <v>CAM_LV2_48</v>
      </c>
    </row>
    <row r="288" spans="1:5">
      <c r="A288">
        <v>286</v>
      </c>
      <c r="B288" t="str">
        <f t="shared" si="4"/>
        <v>CAM_LV3_286</v>
      </c>
      <c r="C288" t="s">
        <v>1202</v>
      </c>
      <c r="D288" t="s">
        <v>1202</v>
      </c>
      <c r="E288" t="str">
        <f>+_xlfn.XLOOKUP(C288,Sheet4!F:F,Sheet4!G:G)</f>
        <v>CAM_LV2_48</v>
      </c>
    </row>
    <row r="289" spans="1:5">
      <c r="A289">
        <v>287</v>
      </c>
      <c r="B289" t="str">
        <f t="shared" si="4"/>
        <v>CAM_LV3_287</v>
      </c>
      <c r="C289" t="s">
        <v>1203</v>
      </c>
      <c r="D289" t="s">
        <v>1203</v>
      </c>
      <c r="E289" t="str">
        <f>+_xlfn.XLOOKUP(C289,Sheet4!F:F,Sheet4!G:G)</f>
        <v>CAM_LV2_48</v>
      </c>
    </row>
    <row r="290" spans="1:5">
      <c r="A290">
        <v>288</v>
      </c>
      <c r="B290" t="str">
        <f t="shared" si="4"/>
        <v>CAM_LV3_288</v>
      </c>
      <c r="C290" t="s">
        <v>1204</v>
      </c>
      <c r="D290" t="s">
        <v>1204</v>
      </c>
      <c r="E290" t="str">
        <f>+_xlfn.XLOOKUP(C290,Sheet4!F:F,Sheet4!G:G)</f>
        <v>CAM_LV2_46</v>
      </c>
    </row>
    <row r="291" spans="1:5">
      <c r="A291">
        <v>289</v>
      </c>
      <c r="B291" t="str">
        <f t="shared" si="4"/>
        <v>CAM_LV3_289</v>
      </c>
      <c r="C291" t="s">
        <v>1205</v>
      </c>
      <c r="D291" t="s">
        <v>1205</v>
      </c>
      <c r="E291" t="str">
        <f>+_xlfn.XLOOKUP(C291,Sheet4!F:F,Sheet4!G:G)</f>
        <v>CAM_LV2_46</v>
      </c>
    </row>
    <row r="292" spans="1:5">
      <c r="A292">
        <v>290</v>
      </c>
      <c r="B292" t="str">
        <f t="shared" si="4"/>
        <v>CAM_LV3_290</v>
      </c>
      <c r="C292" t="s">
        <v>1206</v>
      </c>
      <c r="D292" t="s">
        <v>1206</v>
      </c>
      <c r="E292" t="str">
        <f>+_xlfn.XLOOKUP(C292,Sheet4!F:F,Sheet4!G:G)</f>
        <v>CAM_LV2_41</v>
      </c>
    </row>
    <row r="293" spans="1:5">
      <c r="A293">
        <v>291</v>
      </c>
      <c r="B293" t="str">
        <f t="shared" si="4"/>
        <v>CAM_LV3_291</v>
      </c>
      <c r="C293" t="s">
        <v>1207</v>
      </c>
      <c r="D293" t="s">
        <v>1207</v>
      </c>
      <c r="E293" t="str">
        <f>+_xlfn.XLOOKUP(C293,Sheet4!F:F,Sheet4!G:G)</f>
        <v>CAM_LV2_42</v>
      </c>
    </row>
    <row r="294" spans="1:5">
      <c r="A294">
        <v>292</v>
      </c>
      <c r="B294" t="str">
        <f t="shared" si="4"/>
        <v>CAM_LV3_292</v>
      </c>
      <c r="C294" t="s">
        <v>1208</v>
      </c>
      <c r="D294" t="s">
        <v>1208</v>
      </c>
      <c r="E294" t="str">
        <f>+_xlfn.XLOOKUP(C294,Sheet4!F:F,Sheet4!G:G)</f>
        <v>CAM_LV2_46</v>
      </c>
    </row>
    <row r="295" spans="1:5">
      <c r="A295">
        <v>293</v>
      </c>
      <c r="B295" t="str">
        <f t="shared" si="4"/>
        <v>CAM_LV3_293</v>
      </c>
      <c r="C295" t="s">
        <v>1209</v>
      </c>
      <c r="D295" t="s">
        <v>1209</v>
      </c>
      <c r="E295" t="str">
        <f>+_xlfn.XLOOKUP(C295,Sheet4!F:F,Sheet4!G:G)</f>
        <v>CAM_LV2_46</v>
      </c>
    </row>
    <row r="296" spans="1:5">
      <c r="A296">
        <v>294</v>
      </c>
      <c r="B296" t="str">
        <f t="shared" si="4"/>
        <v>CAM_LV3_294</v>
      </c>
      <c r="C296" t="s">
        <v>1210</v>
      </c>
      <c r="D296" t="s">
        <v>1210</v>
      </c>
      <c r="E296" t="str">
        <f>+_xlfn.XLOOKUP(C296,Sheet4!F:F,Sheet4!G:G)</f>
        <v>CAM_LV2_46</v>
      </c>
    </row>
    <row r="297" spans="1:5">
      <c r="A297">
        <v>295</v>
      </c>
      <c r="B297" t="str">
        <f t="shared" si="4"/>
        <v>CAM_LV3_295</v>
      </c>
      <c r="C297" t="s">
        <v>1211</v>
      </c>
      <c r="D297" t="s">
        <v>1211</v>
      </c>
      <c r="E297" t="str">
        <f>+_xlfn.XLOOKUP(C297,Sheet4!F:F,Sheet4!G:G)</f>
        <v>CAM_LV2_46</v>
      </c>
    </row>
    <row r="298" spans="1:5">
      <c r="A298">
        <v>296</v>
      </c>
      <c r="B298" t="str">
        <f t="shared" si="4"/>
        <v>CAM_LV3_296</v>
      </c>
      <c r="C298" t="s">
        <v>1212</v>
      </c>
      <c r="D298" t="s">
        <v>1212</v>
      </c>
      <c r="E298" t="str">
        <f>+_xlfn.XLOOKUP(C298,Sheet4!F:F,Sheet4!G:G)</f>
        <v>CAM_LV2_46</v>
      </c>
    </row>
    <row r="299" spans="1:5">
      <c r="A299">
        <v>297</v>
      </c>
      <c r="B299" t="str">
        <f t="shared" si="4"/>
        <v>CAM_LV3_297</v>
      </c>
      <c r="C299" t="s">
        <v>1213</v>
      </c>
      <c r="D299" t="s">
        <v>1213</v>
      </c>
      <c r="E299" t="str">
        <f>+_xlfn.XLOOKUP(C299,Sheet4!F:F,Sheet4!G:G)</f>
        <v>CAM_LV2_41</v>
      </c>
    </row>
    <row r="300" spans="1:5">
      <c r="A300">
        <v>298</v>
      </c>
      <c r="B300" t="str">
        <f t="shared" si="4"/>
        <v>CAM_LV3_298</v>
      </c>
      <c r="C300" t="s">
        <v>1214</v>
      </c>
      <c r="D300" t="s">
        <v>1214</v>
      </c>
      <c r="E300" t="str">
        <f>+_xlfn.XLOOKUP(C300,Sheet4!F:F,Sheet4!G:G)</f>
        <v>CAM_LV2_46</v>
      </c>
    </row>
    <row r="301" spans="1:5">
      <c r="A301">
        <v>299</v>
      </c>
      <c r="B301" t="str">
        <f t="shared" si="4"/>
        <v>CAM_LV3_299</v>
      </c>
      <c r="C301" t="s">
        <v>1215</v>
      </c>
      <c r="D301" t="s">
        <v>1215</v>
      </c>
      <c r="E301" t="str">
        <f>+_xlfn.XLOOKUP(C301,Sheet4!F:F,Sheet4!G:G)</f>
        <v>CAM_LV2_48</v>
      </c>
    </row>
    <row r="302" spans="1:5">
      <c r="A302">
        <v>300</v>
      </c>
      <c r="B302" t="str">
        <f t="shared" si="4"/>
        <v>CAM_LV3_300</v>
      </c>
      <c r="C302" t="s">
        <v>1216</v>
      </c>
      <c r="D302" t="s">
        <v>1216</v>
      </c>
      <c r="E302" t="str">
        <f>+_xlfn.XLOOKUP(C302,Sheet4!F:F,Sheet4!G:G)</f>
        <v>CAM_LV2_48</v>
      </c>
    </row>
    <row r="303" spans="1:5">
      <c r="A303">
        <v>301</v>
      </c>
      <c r="B303" t="str">
        <f t="shared" si="4"/>
        <v>CAM_LV3_301</v>
      </c>
      <c r="C303" t="s">
        <v>1217</v>
      </c>
      <c r="D303" t="s">
        <v>1217</v>
      </c>
      <c r="E303" t="str">
        <f>+_xlfn.XLOOKUP(C303,Sheet4!F:F,Sheet4!G:G)</f>
        <v>CAM_LV2_47</v>
      </c>
    </row>
    <row r="304" spans="1:5">
      <c r="A304">
        <v>302</v>
      </c>
      <c r="B304" t="str">
        <f t="shared" si="4"/>
        <v>CAM_LV3_302</v>
      </c>
      <c r="C304" t="s">
        <v>1218</v>
      </c>
      <c r="D304" t="s">
        <v>1218</v>
      </c>
      <c r="E304" t="str">
        <f>+_xlfn.XLOOKUP(C304,Sheet4!F:F,Sheet4!G:G)</f>
        <v>CAM_LV2_48</v>
      </c>
    </row>
    <row r="305" spans="1:5">
      <c r="A305">
        <v>303</v>
      </c>
      <c r="B305" t="str">
        <f t="shared" si="4"/>
        <v>CAM_LV3_303</v>
      </c>
      <c r="C305" t="s">
        <v>1219</v>
      </c>
      <c r="D305" t="s">
        <v>1219</v>
      </c>
      <c r="E305" t="str">
        <f>+_xlfn.XLOOKUP(C305,Sheet4!F:F,Sheet4!G:G)</f>
        <v>CAM_LV2_45</v>
      </c>
    </row>
    <row r="306" spans="1:5">
      <c r="A306">
        <v>304</v>
      </c>
      <c r="B306" t="str">
        <f t="shared" si="4"/>
        <v>CAM_LV3_304</v>
      </c>
      <c r="C306" t="s">
        <v>1221</v>
      </c>
      <c r="D306" t="s">
        <v>1221</v>
      </c>
      <c r="E306" t="str">
        <f>+_xlfn.XLOOKUP(C306,Sheet4!F:F,Sheet4!G:G)</f>
        <v>CAM_LV2_49</v>
      </c>
    </row>
    <row r="307" spans="1:5">
      <c r="A307">
        <v>305</v>
      </c>
      <c r="B307" t="str">
        <f t="shared" si="4"/>
        <v>CAM_LV3_305</v>
      </c>
      <c r="C307" t="s">
        <v>1223</v>
      </c>
      <c r="D307" t="s">
        <v>1223</v>
      </c>
      <c r="E307" t="str">
        <f>+_xlfn.XLOOKUP(C307,Sheet4!F:F,Sheet4!G:G)</f>
        <v>CAM_LV2_50</v>
      </c>
    </row>
    <row r="308" spans="1:5">
      <c r="A308">
        <v>306</v>
      </c>
      <c r="B308" t="str">
        <f t="shared" si="4"/>
        <v>CAM_LV3_306</v>
      </c>
      <c r="C308" t="s">
        <v>1225</v>
      </c>
      <c r="D308" t="s">
        <v>1225</v>
      </c>
      <c r="E308" t="str">
        <f>+_xlfn.XLOOKUP(C308,Sheet4!F:F,Sheet4!G:G)</f>
        <v>CAM_LV2_51</v>
      </c>
    </row>
    <row r="309" spans="1:5">
      <c r="A309">
        <v>307</v>
      </c>
      <c r="B309" t="str">
        <f t="shared" si="4"/>
        <v>CAM_LV3_307</v>
      </c>
      <c r="C309" t="s">
        <v>1226</v>
      </c>
      <c r="D309" t="s">
        <v>1226</v>
      </c>
      <c r="E309" t="str">
        <f>+_xlfn.XLOOKUP(C309,Sheet4!F:F,Sheet4!G:G)</f>
        <v>CAM_LV2_49</v>
      </c>
    </row>
    <row r="310" spans="1:5">
      <c r="A310">
        <v>308</v>
      </c>
      <c r="B310" t="str">
        <f t="shared" si="4"/>
        <v>CAM_LV3_308</v>
      </c>
      <c r="C310" t="s">
        <v>1228</v>
      </c>
      <c r="D310" t="s">
        <v>1228</v>
      </c>
      <c r="E310" t="str">
        <f>+_xlfn.XLOOKUP(C310,Sheet4!F:F,Sheet4!G:G)</f>
        <v>CAM_LV2_52</v>
      </c>
    </row>
    <row r="311" spans="1:5">
      <c r="A311">
        <v>309</v>
      </c>
      <c r="B311" t="str">
        <f t="shared" si="4"/>
        <v>CAM_LV3_309</v>
      </c>
      <c r="C311" t="s">
        <v>1229</v>
      </c>
      <c r="D311" t="s">
        <v>1229</v>
      </c>
      <c r="E311" t="str">
        <f>+_xlfn.XLOOKUP(C311,Sheet4!F:F,Sheet4!G:G)</f>
        <v>CAM_LV2_52</v>
      </c>
    </row>
    <row r="312" spans="1:5">
      <c r="A312">
        <v>310</v>
      </c>
      <c r="B312" t="str">
        <f t="shared" si="4"/>
        <v>CAM_LV3_310</v>
      </c>
      <c r="C312" t="s">
        <v>1230</v>
      </c>
      <c r="D312" t="s">
        <v>1230</v>
      </c>
      <c r="E312" t="str">
        <f>+_xlfn.XLOOKUP(C312,Sheet4!F:F,Sheet4!G:G)</f>
        <v>CAM_LV2_49</v>
      </c>
    </row>
    <row r="313" spans="1:5">
      <c r="A313">
        <v>311</v>
      </c>
      <c r="B313" t="str">
        <f t="shared" si="4"/>
        <v>CAM_LV3_311</v>
      </c>
      <c r="C313" t="s">
        <v>1231</v>
      </c>
      <c r="D313" t="s">
        <v>1231</v>
      </c>
      <c r="E313" t="str">
        <f>+_xlfn.XLOOKUP(C313,Sheet4!F:F,Sheet4!G:G)</f>
        <v>CAM_LV2_51</v>
      </c>
    </row>
    <row r="314" spans="1:5">
      <c r="A314">
        <v>312</v>
      </c>
      <c r="B314" t="str">
        <f t="shared" si="4"/>
        <v>CAM_LV3_312</v>
      </c>
      <c r="C314" t="s">
        <v>1232</v>
      </c>
      <c r="D314" t="s">
        <v>1232</v>
      </c>
      <c r="E314" t="str">
        <f>+_xlfn.XLOOKUP(C314,Sheet4!F:F,Sheet4!G:G)</f>
        <v>CAM_LV2_52</v>
      </c>
    </row>
    <row r="315" spans="1:5">
      <c r="A315">
        <v>313</v>
      </c>
      <c r="B315" t="str">
        <f t="shared" si="4"/>
        <v>CAM_LV3_313</v>
      </c>
      <c r="C315" t="s">
        <v>1233</v>
      </c>
      <c r="D315" t="s">
        <v>1233</v>
      </c>
      <c r="E315" t="str">
        <f>+_xlfn.XLOOKUP(C315,Sheet4!F:F,Sheet4!G:G)</f>
        <v>CAM_LV2_52</v>
      </c>
    </row>
    <row r="316" spans="1:5">
      <c r="A316">
        <v>314</v>
      </c>
      <c r="B316" t="str">
        <f t="shared" si="4"/>
        <v>CAM_LV3_314</v>
      </c>
      <c r="C316" t="s">
        <v>1234</v>
      </c>
      <c r="D316" t="s">
        <v>1234</v>
      </c>
      <c r="E316" t="str">
        <f>+_xlfn.XLOOKUP(C316,Sheet4!F:F,Sheet4!G:G)</f>
        <v>CAM_LV2_52</v>
      </c>
    </row>
    <row r="317" spans="1:5">
      <c r="A317">
        <v>315</v>
      </c>
      <c r="B317" t="str">
        <f t="shared" si="4"/>
        <v>CAM_LV3_315</v>
      </c>
      <c r="C317" t="s">
        <v>1235</v>
      </c>
      <c r="D317" t="s">
        <v>1235</v>
      </c>
      <c r="E317" t="str">
        <f>+_xlfn.XLOOKUP(C317,Sheet4!F:F,Sheet4!G:G)</f>
        <v>CAM_LV2_49</v>
      </c>
    </row>
    <row r="318" spans="1:5">
      <c r="A318">
        <v>316</v>
      </c>
      <c r="B318" t="str">
        <f t="shared" si="4"/>
        <v>CAM_LV3_316</v>
      </c>
      <c r="C318" t="s">
        <v>1236</v>
      </c>
      <c r="D318" t="s">
        <v>1236</v>
      </c>
      <c r="E318" t="str">
        <f>+_xlfn.XLOOKUP(C318,Sheet4!F:F,Sheet4!G:G)</f>
        <v>CAM_LV2_49</v>
      </c>
    </row>
    <row r="319" spans="1:5">
      <c r="A319">
        <v>317</v>
      </c>
      <c r="B319" t="str">
        <f t="shared" si="4"/>
        <v>CAM_LV3_317</v>
      </c>
      <c r="C319" t="s">
        <v>1237</v>
      </c>
      <c r="D319" t="s">
        <v>1237</v>
      </c>
      <c r="E319" t="str">
        <f>+_xlfn.XLOOKUP(C319,Sheet4!F:F,Sheet4!G:G)</f>
        <v>CAM_LV2_50</v>
      </c>
    </row>
    <row r="320" spans="1:5">
      <c r="A320">
        <v>318</v>
      </c>
      <c r="B320" t="str">
        <f t="shared" si="4"/>
        <v>CAM_LV3_318</v>
      </c>
      <c r="C320" t="s">
        <v>1238</v>
      </c>
      <c r="D320" t="s">
        <v>1238</v>
      </c>
      <c r="E320" t="str">
        <f>+_xlfn.XLOOKUP(C320,Sheet4!F:F,Sheet4!G:G)</f>
        <v>CAM_LV2_49</v>
      </c>
    </row>
    <row r="321" spans="1:5">
      <c r="A321">
        <v>319</v>
      </c>
      <c r="B321" t="str">
        <f t="shared" si="4"/>
        <v>CAM_LV3_319</v>
      </c>
      <c r="C321" t="s">
        <v>1239</v>
      </c>
      <c r="D321" t="s">
        <v>1239</v>
      </c>
      <c r="E321" t="str">
        <f>+_xlfn.XLOOKUP(C321,Sheet4!F:F,Sheet4!G:G)</f>
        <v>CAM_LV2_49</v>
      </c>
    </row>
    <row r="322" spans="1:5">
      <c r="A322">
        <v>320</v>
      </c>
      <c r="B322" t="str">
        <f t="shared" si="4"/>
        <v>CAM_LV3_320</v>
      </c>
      <c r="C322" t="s">
        <v>1240</v>
      </c>
      <c r="D322" t="s">
        <v>1240</v>
      </c>
      <c r="E322" t="str">
        <f>+_xlfn.XLOOKUP(C322,Sheet4!F:F,Sheet4!G:G)</f>
        <v>CAM_LV2_50</v>
      </c>
    </row>
    <row r="323" spans="1:5">
      <c r="A323">
        <v>321</v>
      </c>
      <c r="B323" t="str">
        <f t="shared" ref="B323:B365" si="5">_xlfn.CONCAT("CAM_LV3_",A323)</f>
        <v>CAM_LV3_321</v>
      </c>
      <c r="C323" t="s">
        <v>1241</v>
      </c>
      <c r="D323" t="s">
        <v>1241</v>
      </c>
      <c r="E323" t="str">
        <f>+_xlfn.XLOOKUP(C323,Sheet4!F:F,Sheet4!G:G)</f>
        <v>CAM_LV2_52</v>
      </c>
    </row>
    <row r="324" spans="1:5">
      <c r="A324">
        <v>322</v>
      </c>
      <c r="B324" t="str">
        <f t="shared" si="5"/>
        <v>CAM_LV3_322</v>
      </c>
      <c r="C324" t="s">
        <v>1242</v>
      </c>
      <c r="D324" t="s">
        <v>1242</v>
      </c>
      <c r="E324" t="str">
        <f>+_xlfn.XLOOKUP(C324,Sheet4!F:F,Sheet4!G:G)</f>
        <v>CAM_LV2_51</v>
      </c>
    </row>
    <row r="325" spans="1:5">
      <c r="A325">
        <v>323</v>
      </c>
      <c r="B325" t="str">
        <f t="shared" si="5"/>
        <v>CAM_LV3_323</v>
      </c>
      <c r="C325" t="s">
        <v>1243</v>
      </c>
      <c r="D325" t="s">
        <v>1243</v>
      </c>
      <c r="E325" t="str">
        <f>+_xlfn.XLOOKUP(C325,Sheet4!F:F,Sheet4!G:G)</f>
        <v>CAM_LV2_51</v>
      </c>
    </row>
    <row r="326" spans="1:5">
      <c r="A326">
        <v>324</v>
      </c>
      <c r="B326" t="str">
        <f t="shared" si="5"/>
        <v>CAM_LV3_324</v>
      </c>
      <c r="C326" t="s">
        <v>1244</v>
      </c>
      <c r="D326" t="s">
        <v>1244</v>
      </c>
      <c r="E326" t="str">
        <f>+_xlfn.XLOOKUP(C326,Sheet4!F:F,Sheet4!G:G)</f>
        <v>CAM_LV2_51</v>
      </c>
    </row>
    <row r="327" spans="1:5">
      <c r="A327">
        <v>325</v>
      </c>
      <c r="B327" t="str">
        <f t="shared" si="5"/>
        <v>CAM_LV3_325</v>
      </c>
      <c r="C327" t="s">
        <v>1245</v>
      </c>
      <c r="D327" t="s">
        <v>1245</v>
      </c>
      <c r="E327" t="str">
        <f>+_xlfn.XLOOKUP(C327,Sheet4!F:F,Sheet4!G:G)</f>
        <v>CAM_LV2_52</v>
      </c>
    </row>
    <row r="328" spans="1:5">
      <c r="A328">
        <v>326</v>
      </c>
      <c r="B328" t="str">
        <f t="shared" si="5"/>
        <v>CAM_LV3_326</v>
      </c>
      <c r="C328" t="s">
        <v>1246</v>
      </c>
      <c r="D328" t="s">
        <v>1246</v>
      </c>
      <c r="E328" t="str">
        <f>+_xlfn.XLOOKUP(C328,Sheet4!F:F,Sheet4!G:G)</f>
        <v>CAM_LV2_49</v>
      </c>
    </row>
    <row r="329" spans="1:5">
      <c r="A329">
        <v>327</v>
      </c>
      <c r="B329" t="str">
        <f t="shared" si="5"/>
        <v>CAM_LV3_327</v>
      </c>
      <c r="C329" t="s">
        <v>1247</v>
      </c>
      <c r="D329" t="s">
        <v>1247</v>
      </c>
      <c r="E329" t="str">
        <f>+_xlfn.XLOOKUP(C329,Sheet4!F:F,Sheet4!G:G)</f>
        <v>CAM_LV2_52</v>
      </c>
    </row>
    <row r="330" spans="1:5">
      <c r="A330">
        <v>328</v>
      </c>
      <c r="B330" t="str">
        <f t="shared" si="5"/>
        <v>CAM_LV3_328</v>
      </c>
      <c r="C330" t="s">
        <v>1248</v>
      </c>
      <c r="D330" t="s">
        <v>1248</v>
      </c>
      <c r="E330" t="str">
        <f>+_xlfn.XLOOKUP(C330,Sheet4!F:F,Sheet4!G:G)</f>
        <v>CAM_LV2_49</v>
      </c>
    </row>
    <row r="331" spans="1:5">
      <c r="A331">
        <v>329</v>
      </c>
      <c r="B331" t="str">
        <f t="shared" si="5"/>
        <v>CAM_LV3_329</v>
      </c>
      <c r="C331" t="s">
        <v>1249</v>
      </c>
      <c r="D331" t="s">
        <v>1249</v>
      </c>
      <c r="E331" t="str">
        <f>+_xlfn.XLOOKUP(C331,Sheet4!F:F,Sheet4!G:G)</f>
        <v>CAM_LV2_50</v>
      </c>
    </row>
    <row r="332" spans="1:5">
      <c r="A332">
        <v>330</v>
      </c>
      <c r="B332" t="str">
        <f t="shared" si="5"/>
        <v>CAM_LV3_330</v>
      </c>
      <c r="C332" t="s">
        <v>1250</v>
      </c>
      <c r="D332" t="s">
        <v>1250</v>
      </c>
      <c r="E332" t="str">
        <f>+_xlfn.XLOOKUP(C332,Sheet4!F:F,Sheet4!G:G)</f>
        <v>CAM_LV2_51</v>
      </c>
    </row>
    <row r="333" spans="1:5">
      <c r="A333">
        <v>331</v>
      </c>
      <c r="B333" t="str">
        <f t="shared" si="5"/>
        <v>CAM_LV3_331</v>
      </c>
      <c r="C333" t="s">
        <v>1251</v>
      </c>
      <c r="D333" t="s">
        <v>1251</v>
      </c>
      <c r="E333" t="str">
        <f>+_xlfn.XLOOKUP(C333,Sheet4!F:F,Sheet4!G:G)</f>
        <v>CAM_LV2_51</v>
      </c>
    </row>
    <row r="334" spans="1:5">
      <c r="A334">
        <v>332</v>
      </c>
      <c r="B334" t="str">
        <f t="shared" si="5"/>
        <v>CAM_LV3_332</v>
      </c>
      <c r="C334" t="s">
        <v>1252</v>
      </c>
      <c r="D334" t="s">
        <v>1252</v>
      </c>
      <c r="E334" t="str">
        <f>+_xlfn.XLOOKUP(C334,Sheet4!F:F,Sheet4!G:G)</f>
        <v>CAM_LV2_51</v>
      </c>
    </row>
    <row r="335" spans="1:5">
      <c r="A335">
        <v>333</v>
      </c>
      <c r="B335" t="str">
        <f t="shared" si="5"/>
        <v>CAM_LV3_333</v>
      </c>
      <c r="C335" t="s">
        <v>1254</v>
      </c>
      <c r="D335" t="s">
        <v>1254</v>
      </c>
      <c r="E335" t="str">
        <f>+_xlfn.XLOOKUP(C335,Sheet4!F:F,Sheet4!G:G)</f>
        <v>CAM_LV2_53</v>
      </c>
    </row>
    <row r="336" spans="1:5">
      <c r="A336">
        <v>334</v>
      </c>
      <c r="B336" t="str">
        <f t="shared" si="5"/>
        <v>CAM_LV3_334</v>
      </c>
      <c r="C336" t="s">
        <v>1256</v>
      </c>
      <c r="D336" t="s">
        <v>1256</v>
      </c>
      <c r="E336" t="str">
        <f>+_xlfn.XLOOKUP(C336,Sheet4!F:F,Sheet4!G:G)</f>
        <v>CAM_LV2_54</v>
      </c>
    </row>
    <row r="337" spans="1:5">
      <c r="A337">
        <v>335</v>
      </c>
      <c r="B337" t="str">
        <f t="shared" si="5"/>
        <v>CAM_LV3_335</v>
      </c>
      <c r="C337" t="s">
        <v>1258</v>
      </c>
      <c r="D337" t="s">
        <v>1258</v>
      </c>
      <c r="E337" t="str">
        <f>+_xlfn.XLOOKUP(C337,Sheet4!F:F,Sheet4!G:G)</f>
        <v>CAM_LV2_55</v>
      </c>
    </row>
    <row r="338" spans="1:5">
      <c r="A338">
        <v>336</v>
      </c>
      <c r="B338" t="str">
        <f t="shared" si="5"/>
        <v>CAM_LV3_336</v>
      </c>
      <c r="C338" t="s">
        <v>1260</v>
      </c>
      <c r="D338" t="s">
        <v>1260</v>
      </c>
      <c r="E338" t="str">
        <f>+_xlfn.XLOOKUP(C338,Sheet4!F:F,Sheet4!G:G)</f>
        <v>CAM_LV2_56</v>
      </c>
    </row>
    <row r="339" spans="1:5">
      <c r="A339">
        <v>337</v>
      </c>
      <c r="B339" t="str">
        <f t="shared" si="5"/>
        <v>CAM_LV3_337</v>
      </c>
      <c r="C339" t="s">
        <v>1262</v>
      </c>
      <c r="D339" t="s">
        <v>1262</v>
      </c>
      <c r="E339" t="str">
        <f>+_xlfn.XLOOKUP(C339,Sheet4!F:F,Sheet4!G:G)</f>
        <v>CAM_LV2_57</v>
      </c>
    </row>
    <row r="340" spans="1:5">
      <c r="A340">
        <v>338</v>
      </c>
      <c r="B340" t="str">
        <f t="shared" si="5"/>
        <v>CAM_LV3_338</v>
      </c>
      <c r="C340" t="s">
        <v>1263</v>
      </c>
      <c r="D340" t="s">
        <v>1263</v>
      </c>
      <c r="E340" t="str">
        <f>+_xlfn.XLOOKUP(C340,Sheet4!F:F,Sheet4!G:G)</f>
        <v>CAM_LV2_55</v>
      </c>
    </row>
    <row r="341" spans="1:5">
      <c r="A341">
        <v>339</v>
      </c>
      <c r="B341" t="str">
        <f t="shared" si="5"/>
        <v>CAM_LV3_339</v>
      </c>
      <c r="C341" t="s">
        <v>1264</v>
      </c>
      <c r="D341" t="s">
        <v>1264</v>
      </c>
      <c r="E341" t="str">
        <f>+_xlfn.XLOOKUP(C341,Sheet4!F:F,Sheet4!G:G)</f>
        <v>CAM_LV2_55</v>
      </c>
    </row>
    <row r="342" spans="1:5">
      <c r="A342">
        <v>340</v>
      </c>
      <c r="B342" t="str">
        <f t="shared" si="5"/>
        <v>CAM_LV3_340</v>
      </c>
      <c r="C342" t="s">
        <v>1265</v>
      </c>
      <c r="D342" t="s">
        <v>1265</v>
      </c>
      <c r="E342" t="str">
        <f>+_xlfn.XLOOKUP(C342,Sheet4!F:F,Sheet4!G:G)</f>
        <v>CAM_LV2_53</v>
      </c>
    </row>
    <row r="343" spans="1:5">
      <c r="A343">
        <v>341</v>
      </c>
      <c r="B343" t="str">
        <f t="shared" si="5"/>
        <v>CAM_LV3_341</v>
      </c>
      <c r="C343" t="s">
        <v>1266</v>
      </c>
      <c r="D343" t="s">
        <v>1266</v>
      </c>
      <c r="E343" t="str">
        <f>+_xlfn.XLOOKUP(C343,Sheet4!F:F,Sheet4!G:G)</f>
        <v>CAM_LV2_54</v>
      </c>
    </row>
    <row r="344" spans="1:5">
      <c r="A344">
        <v>342</v>
      </c>
      <c r="B344" t="str">
        <f t="shared" si="5"/>
        <v>CAM_LV3_342</v>
      </c>
      <c r="C344" t="s">
        <v>1267</v>
      </c>
      <c r="D344" t="s">
        <v>1267</v>
      </c>
      <c r="E344" t="str">
        <f>+_xlfn.XLOOKUP(C344,Sheet4!F:F,Sheet4!G:G)</f>
        <v>CAM_LV2_55</v>
      </c>
    </row>
    <row r="345" spans="1:5">
      <c r="A345">
        <v>343</v>
      </c>
      <c r="B345" t="str">
        <f t="shared" si="5"/>
        <v>CAM_LV3_343</v>
      </c>
      <c r="C345" t="s">
        <v>1268</v>
      </c>
      <c r="D345" t="s">
        <v>1268</v>
      </c>
      <c r="E345" t="str">
        <f>+_xlfn.XLOOKUP(C345,Sheet4!F:F,Sheet4!G:G)</f>
        <v>CAM_LV2_55</v>
      </c>
    </row>
    <row r="346" spans="1:5">
      <c r="A346">
        <v>344</v>
      </c>
      <c r="B346" t="str">
        <f t="shared" si="5"/>
        <v>CAM_LV3_344</v>
      </c>
      <c r="C346" t="s">
        <v>1269</v>
      </c>
      <c r="D346" t="s">
        <v>1269</v>
      </c>
      <c r="E346" t="str">
        <f>+_xlfn.XLOOKUP(C346,Sheet4!F:F,Sheet4!G:G)</f>
        <v>CAM_LV2_55</v>
      </c>
    </row>
    <row r="347" spans="1:5">
      <c r="A347">
        <v>345</v>
      </c>
      <c r="B347" t="str">
        <f t="shared" si="5"/>
        <v>CAM_LV3_345</v>
      </c>
      <c r="C347" t="s">
        <v>1270</v>
      </c>
      <c r="D347" t="s">
        <v>1270</v>
      </c>
      <c r="E347" t="str">
        <f>+_xlfn.XLOOKUP(C347,Sheet4!F:F,Sheet4!G:G)</f>
        <v>CAM_LV2_55</v>
      </c>
    </row>
    <row r="348" spans="1:5">
      <c r="A348">
        <v>346</v>
      </c>
      <c r="B348" t="str">
        <f t="shared" si="5"/>
        <v>CAM_LV3_346</v>
      </c>
      <c r="C348" t="s">
        <v>1272</v>
      </c>
      <c r="D348" t="s">
        <v>1272</v>
      </c>
      <c r="E348" t="str">
        <f>+_xlfn.XLOOKUP(C348,Sheet4!F:F,Sheet4!G:G)</f>
        <v>CAM_LV2_58</v>
      </c>
    </row>
    <row r="349" spans="1:5">
      <c r="A349">
        <v>347</v>
      </c>
      <c r="B349" t="str">
        <f t="shared" si="5"/>
        <v>CAM_LV3_347</v>
      </c>
      <c r="C349" t="s">
        <v>1273</v>
      </c>
      <c r="D349" t="s">
        <v>1273</v>
      </c>
      <c r="E349" t="str">
        <f>+_xlfn.XLOOKUP(C349,Sheet4!F:F,Sheet4!G:G)</f>
        <v>CAM_LV2_58</v>
      </c>
    </row>
    <row r="350" spans="1:5">
      <c r="A350">
        <v>348</v>
      </c>
      <c r="B350" t="str">
        <f t="shared" si="5"/>
        <v>CAM_LV3_348</v>
      </c>
      <c r="C350" t="s">
        <v>1274</v>
      </c>
      <c r="D350" t="s">
        <v>1274</v>
      </c>
      <c r="E350" t="str">
        <f>+_xlfn.XLOOKUP(C350,Sheet4!F:F,Sheet4!G:G)</f>
        <v>CAM_LV2_58</v>
      </c>
    </row>
    <row r="351" spans="1:5">
      <c r="A351">
        <v>349</v>
      </c>
      <c r="B351" t="str">
        <f t="shared" si="5"/>
        <v>CAM_LV3_349</v>
      </c>
      <c r="C351" t="s">
        <v>1275</v>
      </c>
      <c r="D351" t="s">
        <v>1275</v>
      </c>
      <c r="E351" t="str">
        <f>+_xlfn.XLOOKUP(C351,Sheet4!F:F,Sheet4!G:G)</f>
        <v>CAM_LV2_58</v>
      </c>
    </row>
    <row r="352" spans="1:5">
      <c r="A352">
        <v>350</v>
      </c>
      <c r="B352" t="str">
        <f t="shared" si="5"/>
        <v>CAM_LV3_350</v>
      </c>
      <c r="C352" t="s">
        <v>1276</v>
      </c>
      <c r="D352" t="s">
        <v>1276</v>
      </c>
      <c r="E352" t="str">
        <f>+_xlfn.XLOOKUP(C352,Sheet4!F:F,Sheet4!G:G)</f>
        <v>CAM_LV2_57</v>
      </c>
    </row>
    <row r="353" spans="1:5">
      <c r="A353">
        <v>351</v>
      </c>
      <c r="B353" t="str">
        <f t="shared" si="5"/>
        <v>CAM_LV3_351</v>
      </c>
      <c r="C353" t="s">
        <v>1277</v>
      </c>
      <c r="D353" t="s">
        <v>1277</v>
      </c>
      <c r="E353" t="str">
        <f>+_xlfn.XLOOKUP(C353,Sheet4!F:F,Sheet4!G:G)</f>
        <v>CAM_LV2_57</v>
      </c>
    </row>
    <row r="354" spans="1:5">
      <c r="A354">
        <v>352</v>
      </c>
      <c r="B354" t="str">
        <f t="shared" si="5"/>
        <v>CAM_LV3_352</v>
      </c>
      <c r="C354" t="s">
        <v>1278</v>
      </c>
      <c r="D354" t="s">
        <v>1278</v>
      </c>
      <c r="E354" t="str">
        <f>+_xlfn.XLOOKUP(C354,Sheet4!F:F,Sheet4!G:G)</f>
        <v>CAM_LV2_57</v>
      </c>
    </row>
    <row r="355" spans="1:5">
      <c r="A355">
        <v>353</v>
      </c>
      <c r="B355" t="str">
        <f t="shared" si="5"/>
        <v>CAM_LV3_353</v>
      </c>
      <c r="C355" t="s">
        <v>1279</v>
      </c>
      <c r="D355" t="s">
        <v>1279</v>
      </c>
      <c r="E355" t="str">
        <f>+_xlfn.XLOOKUP(C355,Sheet4!F:F,Sheet4!G:G)</f>
        <v>CAM_LV2_53</v>
      </c>
    </row>
    <row r="356" spans="1:5">
      <c r="A356">
        <v>354</v>
      </c>
      <c r="B356" t="str">
        <f t="shared" si="5"/>
        <v>CAM_LV3_354</v>
      </c>
      <c r="C356" t="s">
        <v>1280</v>
      </c>
      <c r="D356" t="s">
        <v>1280</v>
      </c>
      <c r="E356" t="str">
        <f>+_xlfn.XLOOKUP(C356,Sheet4!F:F,Sheet4!G:G)</f>
        <v>CAM_LV2_58</v>
      </c>
    </row>
    <row r="357" spans="1:5">
      <c r="A357">
        <v>355</v>
      </c>
      <c r="B357" t="str">
        <f t="shared" si="5"/>
        <v>CAM_LV3_355</v>
      </c>
      <c r="C357" t="s">
        <v>1281</v>
      </c>
      <c r="D357" t="s">
        <v>1281</v>
      </c>
      <c r="E357" t="str">
        <f>+_xlfn.XLOOKUP(C357,Sheet4!F:F,Sheet4!G:G)</f>
        <v>CAM_LV2_55</v>
      </c>
    </row>
    <row r="358" spans="1:5">
      <c r="A358">
        <v>356</v>
      </c>
      <c r="B358" t="str">
        <f t="shared" si="5"/>
        <v>CAM_LV3_356</v>
      </c>
      <c r="C358" t="s">
        <v>1282</v>
      </c>
      <c r="D358" t="s">
        <v>1282</v>
      </c>
      <c r="E358" t="str">
        <f>+_xlfn.XLOOKUP(C358,Sheet4!F:F,Sheet4!G:G)</f>
        <v>CAM_LV2_57</v>
      </c>
    </row>
    <row r="359" spans="1:5">
      <c r="A359">
        <v>357</v>
      </c>
      <c r="B359" t="str">
        <f t="shared" si="5"/>
        <v>CAM_LV3_357</v>
      </c>
      <c r="C359" t="s">
        <v>1283</v>
      </c>
      <c r="D359" t="s">
        <v>1283</v>
      </c>
      <c r="E359" t="str">
        <f>+_xlfn.XLOOKUP(C359,Sheet4!F:F,Sheet4!G:G)</f>
        <v>CAM_LV2_56</v>
      </c>
    </row>
    <row r="360" spans="1:5">
      <c r="A360">
        <v>358</v>
      </c>
      <c r="B360" t="str">
        <f t="shared" si="5"/>
        <v>CAM_LV3_358</v>
      </c>
      <c r="C360" t="s">
        <v>1284</v>
      </c>
      <c r="D360" t="s">
        <v>1284</v>
      </c>
      <c r="E360" t="str">
        <f>+_xlfn.XLOOKUP(C360,Sheet4!F:F,Sheet4!G:G)</f>
        <v>CAM_LV2_57</v>
      </c>
    </row>
    <row r="361" spans="1:5">
      <c r="A361">
        <v>359</v>
      </c>
      <c r="B361" t="str">
        <f t="shared" si="5"/>
        <v>CAM_LV3_359</v>
      </c>
      <c r="C361" t="s">
        <v>1285</v>
      </c>
      <c r="D361" t="s">
        <v>1285</v>
      </c>
      <c r="E361" t="str">
        <f>+_xlfn.XLOOKUP(C361,Sheet4!F:F,Sheet4!G:G)</f>
        <v>CAM_LV2_55</v>
      </c>
    </row>
    <row r="362" spans="1:5">
      <c r="A362">
        <v>360</v>
      </c>
      <c r="B362" t="str">
        <f t="shared" si="5"/>
        <v>CAM_LV3_360</v>
      </c>
      <c r="C362" t="s">
        <v>1286</v>
      </c>
      <c r="D362" t="s">
        <v>1286</v>
      </c>
      <c r="E362" t="str">
        <f>+_xlfn.XLOOKUP(C362,Sheet4!F:F,Sheet4!G:G)</f>
        <v>CAM_LV2_56</v>
      </c>
    </row>
    <row r="363" spans="1:5">
      <c r="A363">
        <v>361</v>
      </c>
      <c r="B363" t="str">
        <f t="shared" si="5"/>
        <v>CAM_LV3_361</v>
      </c>
      <c r="C363" t="s">
        <v>1287</v>
      </c>
      <c r="D363" t="s">
        <v>1287</v>
      </c>
      <c r="E363" t="str">
        <f>+_xlfn.XLOOKUP(C363,Sheet4!F:F,Sheet4!G:G)</f>
        <v>CAM_LV2_53</v>
      </c>
    </row>
    <row r="364" spans="1:5">
      <c r="A364">
        <v>362</v>
      </c>
      <c r="B364" t="str">
        <f t="shared" si="5"/>
        <v>CAM_LV3_362</v>
      </c>
      <c r="C364" t="s">
        <v>1288</v>
      </c>
      <c r="D364" t="s">
        <v>1288</v>
      </c>
      <c r="E364" t="str">
        <f>+_xlfn.XLOOKUP(C364,Sheet4!F:F,Sheet4!G:G)</f>
        <v>CAM_LV2_54</v>
      </c>
    </row>
    <row r="365" spans="1:5">
      <c r="A365">
        <v>363</v>
      </c>
      <c r="B365" t="str">
        <f t="shared" si="5"/>
        <v>CAM_LV3_363</v>
      </c>
      <c r="C365" t="s">
        <v>1289</v>
      </c>
      <c r="D365" t="s">
        <v>1289</v>
      </c>
      <c r="E365" t="str">
        <f>+_xlfn.XLOOKUP(C365,Sheet4!F:F,Sheet4!G:G)</f>
        <v>CAM_LV2_57</v>
      </c>
    </row>
  </sheetData>
  <autoFilter ref="A2:I365" xr:uid="{E60D06E6-845C-46D2-9AFE-3DAD55907394}"/>
  <conditionalFormatting sqref="B2">
    <cfRule type="duplicateValues" dxfId="11" priority="4"/>
  </conditionalFormatting>
  <conditionalFormatting sqref="C3:C365">
    <cfRule type="duplicateValues" dxfId="10" priority="2"/>
  </conditionalFormatting>
  <conditionalFormatting sqref="D3:D365">
    <cfRule type="duplicateValues" dxfId="9" priority="3"/>
  </conditionalFormatting>
  <conditionalFormatting sqref="I1:I1048576">
    <cfRule type="duplicateValues" dxfId="8" priority="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7039-0A3C-413F-896A-44B6D83CDD4B}">
  <sheetPr>
    <tabColor rgb="FFFF0000"/>
  </sheetPr>
  <dimension ref="A2:E365"/>
  <sheetViews>
    <sheetView workbookViewId="0">
      <selection activeCell="B18" sqref="B18"/>
    </sheetView>
  </sheetViews>
  <sheetFormatPr defaultRowHeight="14.45"/>
  <cols>
    <col min="2" max="2" width="16.5703125" customWidth="1"/>
    <col min="3" max="3" width="28.85546875" customWidth="1"/>
    <col min="4" max="4" width="29.5703125" customWidth="1"/>
    <col min="5" max="5" width="16.5703125" customWidth="1"/>
  </cols>
  <sheetData>
    <row r="2" spans="1:5">
      <c r="A2" t="s">
        <v>839</v>
      </c>
      <c r="B2" s="353" t="s">
        <v>20</v>
      </c>
      <c r="C2" s="353" t="s">
        <v>840</v>
      </c>
      <c r="D2" s="353" t="s">
        <v>841</v>
      </c>
      <c r="E2" s="353" t="s">
        <v>2036</v>
      </c>
    </row>
    <row r="3" spans="1:5">
      <c r="A3">
        <v>1</v>
      </c>
      <c r="B3" t="str">
        <f>_xlfn.CONCAT("CAM_LV3_",A3)</f>
        <v>CAM_LV3_1</v>
      </c>
      <c r="C3" t="s">
        <v>870</v>
      </c>
      <c r="D3" t="s">
        <v>870</v>
      </c>
      <c r="E3" t="str">
        <f>+_xlfn.XLOOKUP(C3,Sheet4!F:F,Sheet4!G:G)</f>
        <v>CAM_LV2_1</v>
      </c>
    </row>
    <row r="4" spans="1:5">
      <c r="A4">
        <v>2</v>
      </c>
      <c r="B4" t="str">
        <f t="shared" ref="B4:B67" si="0">_xlfn.CONCAT("CAM_LV3_",A4)</f>
        <v>CAM_LV3_2</v>
      </c>
      <c r="C4" t="s">
        <v>871</v>
      </c>
      <c r="D4" t="s">
        <v>871</v>
      </c>
      <c r="E4" t="str">
        <f>+_xlfn.XLOOKUP(C4,Sheet4!F:F,Sheet4!G:G)</f>
        <v>CAM_LV2_1</v>
      </c>
    </row>
    <row r="5" spans="1:5">
      <c r="A5">
        <v>3</v>
      </c>
      <c r="B5" t="str">
        <f t="shared" si="0"/>
        <v>CAM_LV3_3</v>
      </c>
      <c r="C5" t="s">
        <v>873</v>
      </c>
      <c r="D5" t="s">
        <v>873</v>
      </c>
      <c r="E5" t="str">
        <f>+_xlfn.XLOOKUP(C5,Sheet4!F:F,Sheet4!G:G)</f>
        <v>CAM_LV2_2</v>
      </c>
    </row>
    <row r="6" spans="1:5">
      <c r="A6">
        <v>4</v>
      </c>
      <c r="B6" t="str">
        <f t="shared" si="0"/>
        <v>CAM_LV3_4</v>
      </c>
      <c r="C6" t="s">
        <v>875</v>
      </c>
      <c r="D6" t="s">
        <v>875</v>
      </c>
      <c r="E6" t="str">
        <f>+_xlfn.XLOOKUP(C6,Sheet4!F:F,Sheet4!G:G)</f>
        <v>CAM_LV2_3</v>
      </c>
    </row>
    <row r="7" spans="1:5">
      <c r="A7">
        <v>5</v>
      </c>
      <c r="B7" t="str">
        <f t="shared" si="0"/>
        <v>CAM_LV3_5</v>
      </c>
      <c r="C7" t="s">
        <v>876</v>
      </c>
      <c r="D7" t="s">
        <v>876</v>
      </c>
      <c r="E7" t="str">
        <f>+_xlfn.XLOOKUP(C7,Sheet4!F:F,Sheet4!G:G)</f>
        <v>CAM_LV2_3</v>
      </c>
    </row>
    <row r="8" spans="1:5">
      <c r="A8">
        <v>6</v>
      </c>
      <c r="B8" t="str">
        <f t="shared" si="0"/>
        <v>CAM_LV3_6</v>
      </c>
      <c r="C8" t="s">
        <v>878</v>
      </c>
      <c r="D8" t="s">
        <v>878</v>
      </c>
      <c r="E8" t="str">
        <f>+_xlfn.XLOOKUP(C8,Sheet4!F:F,Sheet4!G:G)</f>
        <v>CAM_LV2_4</v>
      </c>
    </row>
    <row r="9" spans="1:5">
      <c r="A9">
        <v>7</v>
      </c>
      <c r="B9" t="str">
        <f t="shared" si="0"/>
        <v>CAM_LV3_7</v>
      </c>
      <c r="C9" t="s">
        <v>879</v>
      </c>
      <c r="D9" t="s">
        <v>879</v>
      </c>
      <c r="E9" t="str">
        <f>+_xlfn.XLOOKUP(C9,Sheet4!F:F,Sheet4!G:G)</f>
        <v>CAM_LV2_4</v>
      </c>
    </row>
    <row r="10" spans="1:5">
      <c r="A10">
        <v>8</v>
      </c>
      <c r="B10" t="str">
        <f t="shared" si="0"/>
        <v>CAM_LV3_8</v>
      </c>
      <c r="C10" t="s">
        <v>880</v>
      </c>
      <c r="D10" t="s">
        <v>880</v>
      </c>
      <c r="E10" t="str">
        <f>+_xlfn.XLOOKUP(C10,Sheet4!F:F,Sheet4!G:G)</f>
        <v>CAM_LV2_2</v>
      </c>
    </row>
    <row r="11" spans="1:5">
      <c r="A11">
        <v>9</v>
      </c>
      <c r="B11" t="str">
        <f t="shared" si="0"/>
        <v>CAM_LV3_9</v>
      </c>
      <c r="C11" t="s">
        <v>881</v>
      </c>
      <c r="D11" t="s">
        <v>881</v>
      </c>
      <c r="E11" t="str">
        <f>+_xlfn.XLOOKUP(C11,Sheet4!F:F,Sheet4!G:G)</f>
        <v>CAM_LV2_4</v>
      </c>
    </row>
    <row r="12" spans="1:5">
      <c r="A12">
        <v>10</v>
      </c>
      <c r="B12" t="str">
        <f t="shared" si="0"/>
        <v>CAM_LV3_10</v>
      </c>
      <c r="C12" t="s">
        <v>882</v>
      </c>
      <c r="D12" t="s">
        <v>882</v>
      </c>
      <c r="E12" t="str">
        <f>+_xlfn.XLOOKUP(C12,Sheet4!F:F,Sheet4!G:G)</f>
        <v>CAM_LV2_1</v>
      </c>
    </row>
    <row r="13" spans="1:5">
      <c r="A13">
        <v>11</v>
      </c>
      <c r="B13" t="str">
        <f t="shared" si="0"/>
        <v>CAM_LV3_11</v>
      </c>
      <c r="C13" t="s">
        <v>883</v>
      </c>
      <c r="D13" t="s">
        <v>883</v>
      </c>
      <c r="E13" t="str">
        <f>+_xlfn.XLOOKUP(C13,Sheet4!F:F,Sheet4!G:G)</f>
        <v>CAM_LV2_2</v>
      </c>
    </row>
    <row r="14" spans="1:5">
      <c r="A14">
        <v>12</v>
      </c>
      <c r="B14" t="str">
        <f t="shared" si="0"/>
        <v>CAM_LV3_12</v>
      </c>
      <c r="C14" t="s">
        <v>884</v>
      </c>
      <c r="D14" t="s">
        <v>884</v>
      </c>
      <c r="E14" t="str">
        <f>+_xlfn.XLOOKUP(C14,Sheet4!F:F,Sheet4!G:G)</f>
        <v>CAM_LV2_3</v>
      </c>
    </row>
    <row r="15" spans="1:5">
      <c r="A15">
        <v>13</v>
      </c>
      <c r="B15" t="str">
        <f t="shared" si="0"/>
        <v>CAM_LV3_13</v>
      </c>
      <c r="C15" t="s">
        <v>885</v>
      </c>
      <c r="D15" t="s">
        <v>885</v>
      </c>
      <c r="E15" t="str">
        <f>+_xlfn.XLOOKUP(C15,Sheet4!F:F,Sheet4!G:G)</f>
        <v>CAM_LV2_2</v>
      </c>
    </row>
    <row r="16" spans="1:5">
      <c r="A16">
        <v>14</v>
      </c>
      <c r="B16" t="str">
        <f t="shared" si="0"/>
        <v>CAM_LV3_14</v>
      </c>
      <c r="C16" t="s">
        <v>886</v>
      </c>
      <c r="D16" t="s">
        <v>886</v>
      </c>
      <c r="E16" t="str">
        <f>+_xlfn.XLOOKUP(C16,Sheet4!F:F,Sheet4!G:G)</f>
        <v>CAM_LV2_3</v>
      </c>
    </row>
    <row r="17" spans="1:5">
      <c r="A17">
        <v>15</v>
      </c>
      <c r="B17" t="str">
        <f t="shared" si="0"/>
        <v>CAM_LV3_15</v>
      </c>
      <c r="C17" t="s">
        <v>888</v>
      </c>
      <c r="D17" t="s">
        <v>888</v>
      </c>
      <c r="E17" t="str">
        <f>+_xlfn.XLOOKUP(C17,Sheet4!F:F,Sheet4!G:G)</f>
        <v>CAM_LV2_5</v>
      </c>
    </row>
    <row r="18" spans="1:5">
      <c r="A18">
        <v>16</v>
      </c>
      <c r="B18" t="str">
        <f t="shared" si="0"/>
        <v>CAM_LV3_16</v>
      </c>
      <c r="C18" t="s">
        <v>889</v>
      </c>
      <c r="D18" t="s">
        <v>889</v>
      </c>
      <c r="E18" t="str">
        <f>+_xlfn.XLOOKUP(C18,Sheet4!F:F,Sheet4!G:G)</f>
        <v>CAM_LV2_2</v>
      </c>
    </row>
    <row r="19" spans="1:5">
      <c r="A19">
        <v>17</v>
      </c>
      <c r="B19" t="str">
        <f t="shared" si="0"/>
        <v>CAM_LV3_17</v>
      </c>
      <c r="C19" t="s">
        <v>890</v>
      </c>
      <c r="D19" t="s">
        <v>890</v>
      </c>
      <c r="E19" t="str">
        <f>+_xlfn.XLOOKUP(C19,Sheet4!F:F,Sheet4!G:G)</f>
        <v>CAM_LV2_2</v>
      </c>
    </row>
    <row r="20" spans="1:5">
      <c r="A20">
        <v>18</v>
      </c>
      <c r="B20" t="str">
        <f t="shared" si="0"/>
        <v>CAM_LV3_18</v>
      </c>
      <c r="C20" t="s">
        <v>891</v>
      </c>
      <c r="D20" t="s">
        <v>891</v>
      </c>
      <c r="E20" t="str">
        <f>+_xlfn.XLOOKUP(C20,Sheet4!F:F,Sheet4!G:G)</f>
        <v>CAM_LV2_2</v>
      </c>
    </row>
    <row r="21" spans="1:5">
      <c r="A21">
        <v>19</v>
      </c>
      <c r="B21" t="str">
        <f t="shared" si="0"/>
        <v>CAM_LV3_19</v>
      </c>
      <c r="C21" t="s">
        <v>892</v>
      </c>
      <c r="D21" t="s">
        <v>892</v>
      </c>
      <c r="E21" t="str">
        <f>+_xlfn.XLOOKUP(C21,Sheet4!F:F,Sheet4!G:G)</f>
        <v>CAM_LV2_2</v>
      </c>
    </row>
    <row r="22" spans="1:5">
      <c r="A22">
        <v>20</v>
      </c>
      <c r="B22" t="str">
        <f t="shared" si="0"/>
        <v>CAM_LV3_20</v>
      </c>
      <c r="C22" t="s">
        <v>893</v>
      </c>
      <c r="D22" t="s">
        <v>893</v>
      </c>
      <c r="E22" t="str">
        <f>+_xlfn.XLOOKUP(C22,Sheet4!F:F,Sheet4!G:G)</f>
        <v>CAM_LV2_5</v>
      </c>
    </row>
    <row r="23" spans="1:5">
      <c r="A23">
        <v>21</v>
      </c>
      <c r="B23" t="str">
        <f t="shared" si="0"/>
        <v>CAM_LV3_21</v>
      </c>
      <c r="C23" t="s">
        <v>894</v>
      </c>
      <c r="D23" t="s">
        <v>894</v>
      </c>
      <c r="E23" t="str">
        <f>+_xlfn.XLOOKUP(C23,Sheet4!F:F,Sheet4!G:G)</f>
        <v>CAM_LV2_4</v>
      </c>
    </row>
    <row r="24" spans="1:5">
      <c r="A24">
        <v>22</v>
      </c>
      <c r="B24" t="str">
        <f t="shared" si="0"/>
        <v>CAM_LV3_22</v>
      </c>
      <c r="C24" t="s">
        <v>896</v>
      </c>
      <c r="D24" t="s">
        <v>896</v>
      </c>
      <c r="E24" t="str">
        <f>+_xlfn.XLOOKUP(C24,Sheet4!F:F,Sheet4!G:G)</f>
        <v>CAM_LV2_6</v>
      </c>
    </row>
    <row r="25" spans="1:5">
      <c r="A25">
        <v>23</v>
      </c>
      <c r="B25" t="str">
        <f t="shared" si="0"/>
        <v>CAM_LV3_23</v>
      </c>
      <c r="C25" t="s">
        <v>898</v>
      </c>
      <c r="D25" t="s">
        <v>898</v>
      </c>
      <c r="E25" t="str">
        <f>+_xlfn.XLOOKUP(C25,Sheet4!F:F,Sheet4!G:G)</f>
        <v>CAM_LV2_7</v>
      </c>
    </row>
    <row r="26" spans="1:5">
      <c r="A26">
        <v>24</v>
      </c>
      <c r="B26" t="str">
        <f t="shared" si="0"/>
        <v>CAM_LV3_24</v>
      </c>
      <c r="C26" t="s">
        <v>900</v>
      </c>
      <c r="D26" t="s">
        <v>900</v>
      </c>
      <c r="E26" t="str">
        <f>+_xlfn.XLOOKUP(C26,Sheet4!F:F,Sheet4!G:G)</f>
        <v>CAM_LV2_8</v>
      </c>
    </row>
    <row r="27" spans="1:5">
      <c r="A27">
        <v>25</v>
      </c>
      <c r="B27" t="str">
        <f t="shared" si="0"/>
        <v>CAM_LV3_25</v>
      </c>
      <c r="C27" t="s">
        <v>902</v>
      </c>
      <c r="D27" t="s">
        <v>902</v>
      </c>
      <c r="E27" t="str">
        <f>+_xlfn.XLOOKUP(C27,Sheet4!F:F,Sheet4!G:G)</f>
        <v>CAM_LV2_9</v>
      </c>
    </row>
    <row r="28" spans="1:5">
      <c r="A28">
        <v>26</v>
      </c>
      <c r="B28" t="str">
        <f t="shared" si="0"/>
        <v>CAM_LV3_26</v>
      </c>
      <c r="C28" t="s">
        <v>903</v>
      </c>
      <c r="D28" t="s">
        <v>903</v>
      </c>
      <c r="E28" t="str">
        <f>+_xlfn.XLOOKUP(C28,Sheet4!F:F,Sheet4!G:G)</f>
        <v>CAM_LV2_6</v>
      </c>
    </row>
    <row r="29" spans="1:5">
      <c r="A29">
        <v>27</v>
      </c>
      <c r="B29" t="str">
        <f t="shared" si="0"/>
        <v>CAM_LV3_27</v>
      </c>
      <c r="C29" t="s">
        <v>904</v>
      </c>
      <c r="D29" t="s">
        <v>904</v>
      </c>
      <c r="E29" t="str">
        <f>+_xlfn.XLOOKUP(C29,Sheet4!F:F,Sheet4!G:G)</f>
        <v>CAM_LV2_6</v>
      </c>
    </row>
    <row r="30" spans="1:5">
      <c r="A30">
        <v>28</v>
      </c>
      <c r="B30" t="str">
        <f t="shared" si="0"/>
        <v>CAM_LV3_28</v>
      </c>
      <c r="C30" t="s">
        <v>905</v>
      </c>
      <c r="D30" t="s">
        <v>905</v>
      </c>
      <c r="E30" t="str">
        <f>+_xlfn.XLOOKUP(C30,Sheet4!F:F,Sheet4!G:G)</f>
        <v>CAM_LV2_9</v>
      </c>
    </row>
    <row r="31" spans="1:5">
      <c r="A31">
        <v>29</v>
      </c>
      <c r="B31" t="str">
        <f t="shared" si="0"/>
        <v>CAM_LV3_29</v>
      </c>
      <c r="C31" t="s">
        <v>907</v>
      </c>
      <c r="D31" t="s">
        <v>907</v>
      </c>
      <c r="E31" t="str">
        <f>+_xlfn.XLOOKUP(C31,Sheet4!F:F,Sheet4!G:G)</f>
        <v>CAM_LV2_10</v>
      </c>
    </row>
    <row r="32" spans="1:5">
      <c r="A32">
        <v>30</v>
      </c>
      <c r="B32" t="str">
        <f t="shared" si="0"/>
        <v>CAM_LV3_30</v>
      </c>
      <c r="C32" t="s">
        <v>909</v>
      </c>
      <c r="D32" t="s">
        <v>909</v>
      </c>
      <c r="E32" t="str">
        <f>+_xlfn.XLOOKUP(C32,Sheet4!F:F,Sheet4!G:G)</f>
        <v>CAM_LV2_11</v>
      </c>
    </row>
    <row r="33" spans="1:5">
      <c r="A33">
        <v>31</v>
      </c>
      <c r="B33" t="str">
        <f t="shared" si="0"/>
        <v>CAM_LV3_31</v>
      </c>
      <c r="C33" t="s">
        <v>911</v>
      </c>
      <c r="D33" t="s">
        <v>911</v>
      </c>
      <c r="E33" t="str">
        <f>+_xlfn.XLOOKUP(C33,Sheet4!F:F,Sheet4!G:G)</f>
        <v>CAM_LV2_12</v>
      </c>
    </row>
    <row r="34" spans="1:5">
      <c r="A34">
        <v>32</v>
      </c>
      <c r="B34" t="str">
        <f t="shared" si="0"/>
        <v>CAM_LV3_32</v>
      </c>
      <c r="C34" t="s">
        <v>912</v>
      </c>
      <c r="D34" t="s">
        <v>912</v>
      </c>
      <c r="E34" t="str">
        <f>+_xlfn.XLOOKUP(C34,Sheet4!F:F,Sheet4!G:G)</f>
        <v>CAM_LV2_8</v>
      </c>
    </row>
    <row r="35" spans="1:5">
      <c r="A35">
        <v>33</v>
      </c>
      <c r="B35" t="str">
        <f t="shared" si="0"/>
        <v>CAM_LV3_33</v>
      </c>
      <c r="C35" t="s">
        <v>914</v>
      </c>
      <c r="D35" t="s">
        <v>914</v>
      </c>
      <c r="E35" t="str">
        <f>+_xlfn.XLOOKUP(C35,Sheet4!F:F,Sheet4!G:G)</f>
        <v>CAM_LV2_13</v>
      </c>
    </row>
    <row r="36" spans="1:5">
      <c r="A36">
        <v>34</v>
      </c>
      <c r="B36" t="str">
        <f t="shared" si="0"/>
        <v>CAM_LV3_34</v>
      </c>
      <c r="C36" t="s">
        <v>915</v>
      </c>
      <c r="D36" t="s">
        <v>915</v>
      </c>
      <c r="E36" t="str">
        <f>+_xlfn.XLOOKUP(C36,Sheet4!F:F,Sheet4!G:G)</f>
        <v>CAM_LV2_10</v>
      </c>
    </row>
    <row r="37" spans="1:5">
      <c r="A37">
        <v>35</v>
      </c>
      <c r="B37" t="str">
        <f t="shared" si="0"/>
        <v>CAM_LV3_35</v>
      </c>
      <c r="C37" t="s">
        <v>916</v>
      </c>
      <c r="D37" t="s">
        <v>916</v>
      </c>
      <c r="E37" t="str">
        <f>+_xlfn.XLOOKUP(C37,Sheet4!F:F,Sheet4!G:G)</f>
        <v>CAM_LV2_13</v>
      </c>
    </row>
    <row r="38" spans="1:5">
      <c r="A38">
        <v>36</v>
      </c>
      <c r="B38" t="str">
        <f t="shared" si="0"/>
        <v>CAM_LV3_36</v>
      </c>
      <c r="C38" t="s">
        <v>917</v>
      </c>
      <c r="D38" t="s">
        <v>917</v>
      </c>
      <c r="E38" t="str">
        <f>+_xlfn.XLOOKUP(C38,Sheet4!F:F,Sheet4!G:G)</f>
        <v>CAM_LV2_13</v>
      </c>
    </row>
    <row r="39" spans="1:5">
      <c r="A39">
        <v>37</v>
      </c>
      <c r="B39" t="str">
        <f t="shared" si="0"/>
        <v>CAM_LV3_37</v>
      </c>
      <c r="C39" t="s">
        <v>918</v>
      </c>
      <c r="D39" t="s">
        <v>918</v>
      </c>
      <c r="E39" t="str">
        <f>+_xlfn.XLOOKUP(C39,Sheet4!F:F,Sheet4!G:G)</f>
        <v>CAM_LV2_10</v>
      </c>
    </row>
    <row r="40" spans="1:5">
      <c r="A40">
        <v>38</v>
      </c>
      <c r="B40" t="str">
        <f t="shared" si="0"/>
        <v>CAM_LV3_38</v>
      </c>
      <c r="C40" t="s">
        <v>919</v>
      </c>
      <c r="D40" t="s">
        <v>919</v>
      </c>
      <c r="E40" t="str">
        <f>+_xlfn.XLOOKUP(C40,Sheet4!F:F,Sheet4!G:G)</f>
        <v>CAM_LV2_13</v>
      </c>
    </row>
    <row r="41" spans="1:5">
      <c r="A41">
        <v>39</v>
      </c>
      <c r="B41" t="str">
        <f t="shared" si="0"/>
        <v>CAM_LV3_39</v>
      </c>
      <c r="C41" t="s">
        <v>920</v>
      </c>
      <c r="D41" t="s">
        <v>920</v>
      </c>
      <c r="E41" t="str">
        <f>+_xlfn.XLOOKUP(C41,Sheet4!F:F,Sheet4!G:G)</f>
        <v>CAM_LV2_7</v>
      </c>
    </row>
    <row r="42" spans="1:5">
      <c r="A42">
        <v>40</v>
      </c>
      <c r="B42" t="str">
        <f t="shared" si="0"/>
        <v>CAM_LV3_40</v>
      </c>
      <c r="C42" t="s">
        <v>921</v>
      </c>
      <c r="D42" t="s">
        <v>921</v>
      </c>
      <c r="E42" t="str">
        <f>+_xlfn.XLOOKUP(C42,Sheet4!F:F,Sheet4!G:G)</f>
        <v>CAM_LV2_11</v>
      </c>
    </row>
    <row r="43" spans="1:5">
      <c r="A43">
        <v>41</v>
      </c>
      <c r="B43" t="str">
        <f t="shared" si="0"/>
        <v>CAM_LV3_41</v>
      </c>
      <c r="C43" t="s">
        <v>922</v>
      </c>
      <c r="D43" t="s">
        <v>922</v>
      </c>
      <c r="E43" t="str">
        <f>+_xlfn.XLOOKUP(C43,Sheet4!F:F,Sheet4!G:G)</f>
        <v>CAM_LV2_6</v>
      </c>
    </row>
    <row r="44" spans="1:5">
      <c r="A44">
        <v>42</v>
      </c>
      <c r="B44" t="str">
        <f t="shared" si="0"/>
        <v>CAM_LV3_42</v>
      </c>
      <c r="C44" t="s">
        <v>923</v>
      </c>
      <c r="D44" t="s">
        <v>923</v>
      </c>
      <c r="E44" t="str">
        <f>+_xlfn.XLOOKUP(C44,Sheet4!F:F,Sheet4!G:G)</f>
        <v>CAM_LV2_11</v>
      </c>
    </row>
    <row r="45" spans="1:5">
      <c r="A45">
        <v>43</v>
      </c>
      <c r="B45" t="str">
        <f t="shared" si="0"/>
        <v>CAM_LV3_43</v>
      </c>
      <c r="C45" t="s">
        <v>924</v>
      </c>
      <c r="D45" t="s">
        <v>924</v>
      </c>
      <c r="E45" t="str">
        <f>+_xlfn.XLOOKUP(C45,Sheet4!F:F,Sheet4!G:G)</f>
        <v>CAM_LV2_9</v>
      </c>
    </row>
    <row r="46" spans="1:5">
      <c r="A46">
        <v>44</v>
      </c>
      <c r="B46" t="str">
        <f t="shared" si="0"/>
        <v>CAM_LV3_44</v>
      </c>
      <c r="C46" t="s">
        <v>925</v>
      </c>
      <c r="D46" t="s">
        <v>925</v>
      </c>
      <c r="E46" t="str">
        <f>+_xlfn.XLOOKUP(C46,Sheet4!F:F,Sheet4!G:G)</f>
        <v>CAM_LV2_13</v>
      </c>
    </row>
    <row r="47" spans="1:5">
      <c r="A47">
        <v>45</v>
      </c>
      <c r="B47" t="str">
        <f t="shared" si="0"/>
        <v>CAM_LV3_45</v>
      </c>
      <c r="C47" t="s">
        <v>926</v>
      </c>
      <c r="D47" t="s">
        <v>926</v>
      </c>
      <c r="E47" t="str">
        <f>+_xlfn.XLOOKUP(C47,Sheet4!F:F,Sheet4!G:G)</f>
        <v>CAM_LV2_6</v>
      </c>
    </row>
    <row r="48" spans="1:5">
      <c r="A48">
        <v>46</v>
      </c>
      <c r="B48" t="str">
        <f t="shared" si="0"/>
        <v>CAM_LV3_46</v>
      </c>
      <c r="C48" t="s">
        <v>927</v>
      </c>
      <c r="D48" t="s">
        <v>927</v>
      </c>
      <c r="E48" t="str">
        <f>+_xlfn.XLOOKUP(C48,Sheet4!F:F,Sheet4!G:G)</f>
        <v>CAM_LV2_11</v>
      </c>
    </row>
    <row r="49" spans="1:5">
      <c r="A49">
        <v>47</v>
      </c>
      <c r="B49" t="str">
        <f t="shared" si="0"/>
        <v>CAM_LV3_47</v>
      </c>
      <c r="C49" t="s">
        <v>928</v>
      </c>
      <c r="D49" t="s">
        <v>928</v>
      </c>
      <c r="E49" t="str">
        <f>+_xlfn.XLOOKUP(C49,Sheet4!F:F,Sheet4!G:G)</f>
        <v>CAM_LV2_10</v>
      </c>
    </row>
    <row r="50" spans="1:5">
      <c r="A50">
        <v>48</v>
      </c>
      <c r="B50" t="str">
        <f t="shared" si="0"/>
        <v>CAM_LV3_48</v>
      </c>
      <c r="C50" t="s">
        <v>929</v>
      </c>
      <c r="D50" t="s">
        <v>929</v>
      </c>
      <c r="E50" t="str">
        <f>+_xlfn.XLOOKUP(C50,Sheet4!F:F,Sheet4!G:G)</f>
        <v>CAM_LV2_10</v>
      </c>
    </row>
    <row r="51" spans="1:5">
      <c r="A51">
        <v>49</v>
      </c>
      <c r="B51" t="str">
        <f t="shared" si="0"/>
        <v>CAM_LV3_49</v>
      </c>
      <c r="C51" t="s">
        <v>930</v>
      </c>
      <c r="D51" t="s">
        <v>930</v>
      </c>
      <c r="E51" t="str">
        <f>+_xlfn.XLOOKUP(C51,Sheet4!F:F,Sheet4!G:G)</f>
        <v>CAM_LV2_12</v>
      </c>
    </row>
    <row r="52" spans="1:5">
      <c r="A52">
        <v>50</v>
      </c>
      <c r="B52" t="str">
        <f t="shared" si="0"/>
        <v>CAM_LV3_50</v>
      </c>
      <c r="C52" t="s">
        <v>931</v>
      </c>
      <c r="D52" t="s">
        <v>931</v>
      </c>
      <c r="E52" t="str">
        <f>+_xlfn.XLOOKUP(C52,Sheet4!F:F,Sheet4!G:G)</f>
        <v>CAM_LV2_11</v>
      </c>
    </row>
    <row r="53" spans="1:5">
      <c r="A53">
        <v>51</v>
      </c>
      <c r="B53" t="str">
        <f t="shared" si="0"/>
        <v>CAM_LV3_51</v>
      </c>
      <c r="C53" t="s">
        <v>932</v>
      </c>
      <c r="D53" t="s">
        <v>932</v>
      </c>
      <c r="E53" t="str">
        <f>+_xlfn.XLOOKUP(C53,Sheet4!F:F,Sheet4!G:G)</f>
        <v>CAM_LV2_13</v>
      </c>
    </row>
    <row r="54" spans="1:5">
      <c r="A54">
        <v>52</v>
      </c>
      <c r="B54" t="str">
        <f t="shared" si="0"/>
        <v>CAM_LV3_52</v>
      </c>
      <c r="C54" t="s">
        <v>933</v>
      </c>
      <c r="D54" t="s">
        <v>933</v>
      </c>
      <c r="E54" t="str">
        <f>+_xlfn.XLOOKUP(C54,Sheet4!F:F,Sheet4!G:G)</f>
        <v>CAM_LV2_10</v>
      </c>
    </row>
    <row r="55" spans="1:5">
      <c r="A55">
        <v>53</v>
      </c>
      <c r="B55" t="str">
        <f t="shared" si="0"/>
        <v>CAM_LV3_53</v>
      </c>
      <c r="C55" t="s">
        <v>934</v>
      </c>
      <c r="D55" t="s">
        <v>934</v>
      </c>
      <c r="E55" t="str">
        <f>+_xlfn.XLOOKUP(C55,Sheet4!F:F,Sheet4!G:G)</f>
        <v>CAM_LV2_13</v>
      </c>
    </row>
    <row r="56" spans="1:5">
      <c r="A56">
        <v>54</v>
      </c>
      <c r="B56" t="str">
        <f t="shared" si="0"/>
        <v>CAM_LV3_54</v>
      </c>
      <c r="C56" t="s">
        <v>935</v>
      </c>
      <c r="D56" t="s">
        <v>935</v>
      </c>
      <c r="E56" t="str">
        <f>+_xlfn.XLOOKUP(C56,Sheet4!F:F,Sheet4!G:G)</f>
        <v>CAM_LV2_7</v>
      </c>
    </row>
    <row r="57" spans="1:5">
      <c r="A57">
        <v>55</v>
      </c>
      <c r="B57" t="str">
        <f t="shared" si="0"/>
        <v>CAM_LV3_55</v>
      </c>
      <c r="C57" t="s">
        <v>936</v>
      </c>
      <c r="D57" t="s">
        <v>936</v>
      </c>
      <c r="E57" t="str">
        <f>+_xlfn.XLOOKUP(C57,Sheet4!F:F,Sheet4!G:G)</f>
        <v>CAM_LV2_12</v>
      </c>
    </row>
    <row r="58" spans="1:5">
      <c r="A58">
        <v>56</v>
      </c>
      <c r="B58" t="str">
        <f t="shared" si="0"/>
        <v>CAM_LV3_56</v>
      </c>
      <c r="C58" t="s">
        <v>938</v>
      </c>
      <c r="D58" t="s">
        <v>938</v>
      </c>
      <c r="E58" t="str">
        <f>+_xlfn.XLOOKUP(C58,Sheet4!F:F,Sheet4!G:G)</f>
        <v>CAM_LV2_14</v>
      </c>
    </row>
    <row r="59" spans="1:5">
      <c r="A59">
        <v>57</v>
      </c>
      <c r="B59" t="str">
        <f t="shared" si="0"/>
        <v>CAM_LV3_57</v>
      </c>
      <c r="C59" t="s">
        <v>939</v>
      </c>
      <c r="D59" t="s">
        <v>939</v>
      </c>
      <c r="E59" t="str">
        <f>+_xlfn.XLOOKUP(C59,Sheet4!F:F,Sheet4!G:G)</f>
        <v>CAM_LV2_8</v>
      </c>
    </row>
    <row r="60" spans="1:5">
      <c r="A60">
        <v>58</v>
      </c>
      <c r="B60" t="str">
        <f t="shared" si="0"/>
        <v>CAM_LV3_58</v>
      </c>
      <c r="C60" t="s">
        <v>940</v>
      </c>
      <c r="D60" t="s">
        <v>940</v>
      </c>
      <c r="E60" t="str">
        <f>+_xlfn.XLOOKUP(C60,Sheet4!F:F,Sheet4!G:G)</f>
        <v>CAM_LV2_9</v>
      </c>
    </row>
    <row r="61" spans="1:5">
      <c r="A61">
        <v>59</v>
      </c>
      <c r="B61" t="str">
        <f t="shared" si="0"/>
        <v>CAM_LV3_59</v>
      </c>
      <c r="C61" t="s">
        <v>941</v>
      </c>
      <c r="D61" t="s">
        <v>941</v>
      </c>
      <c r="E61" t="str">
        <f>+_xlfn.XLOOKUP(C61,Sheet4!F:F,Sheet4!G:G)</f>
        <v>CAM_LV2_7</v>
      </c>
    </row>
    <row r="62" spans="1:5">
      <c r="A62">
        <v>60</v>
      </c>
      <c r="B62" t="str">
        <f t="shared" si="0"/>
        <v>CAM_LV3_60</v>
      </c>
      <c r="C62" t="s">
        <v>942</v>
      </c>
      <c r="D62" t="s">
        <v>942</v>
      </c>
      <c r="E62" t="str">
        <f>+_xlfn.XLOOKUP(C62,Sheet4!F:F,Sheet4!G:G)</f>
        <v>CAM_LV2_13</v>
      </c>
    </row>
    <row r="63" spans="1:5">
      <c r="A63">
        <v>61</v>
      </c>
      <c r="B63" t="str">
        <f t="shared" si="0"/>
        <v>CAM_LV3_61</v>
      </c>
      <c r="C63" t="s">
        <v>943</v>
      </c>
      <c r="D63" t="s">
        <v>943</v>
      </c>
      <c r="E63" t="str">
        <f>+_xlfn.XLOOKUP(C63,Sheet4!F:F,Sheet4!G:G)</f>
        <v>CAM_LV2_6</v>
      </c>
    </row>
    <row r="64" spans="1:5">
      <c r="A64">
        <v>62</v>
      </c>
      <c r="B64" t="str">
        <f t="shared" si="0"/>
        <v>CAM_LV3_62</v>
      </c>
      <c r="C64" t="s">
        <v>944</v>
      </c>
      <c r="D64" t="s">
        <v>944</v>
      </c>
      <c r="E64" t="str">
        <f>+_xlfn.XLOOKUP(C64,Sheet4!F:F,Sheet4!G:G)</f>
        <v>CAM_LV2_12</v>
      </c>
    </row>
    <row r="65" spans="1:5">
      <c r="A65">
        <v>63</v>
      </c>
      <c r="B65" t="str">
        <f t="shared" si="0"/>
        <v>CAM_LV3_63</v>
      </c>
      <c r="C65" t="s">
        <v>945</v>
      </c>
      <c r="D65" t="s">
        <v>945</v>
      </c>
      <c r="E65" t="str">
        <f>+_xlfn.XLOOKUP(C65,Sheet4!F:F,Sheet4!G:G)</f>
        <v>CAM_LV2_11</v>
      </c>
    </row>
    <row r="66" spans="1:5">
      <c r="A66">
        <v>64</v>
      </c>
      <c r="B66" t="str">
        <f t="shared" si="0"/>
        <v>CAM_LV3_64</v>
      </c>
      <c r="C66" t="s">
        <v>946</v>
      </c>
      <c r="D66" t="s">
        <v>946</v>
      </c>
      <c r="E66" t="str">
        <f>+_xlfn.XLOOKUP(C66,Sheet4!F:F,Sheet4!G:G)</f>
        <v>CAM_LV2_12</v>
      </c>
    </row>
    <row r="67" spans="1:5">
      <c r="A67">
        <v>65</v>
      </c>
      <c r="B67" t="str">
        <f t="shared" si="0"/>
        <v>CAM_LV3_65</v>
      </c>
      <c r="C67" t="s">
        <v>947</v>
      </c>
      <c r="D67" t="s">
        <v>947</v>
      </c>
      <c r="E67" t="str">
        <f>+_xlfn.XLOOKUP(C67,Sheet4!F:F,Sheet4!G:G)</f>
        <v>CAM_LV2_10</v>
      </c>
    </row>
    <row r="68" spans="1:5">
      <c r="A68">
        <v>66</v>
      </c>
      <c r="B68" t="str">
        <f t="shared" ref="B68:B131" si="1">_xlfn.CONCAT("CAM_LV3_",A68)</f>
        <v>CAM_LV3_66</v>
      </c>
      <c r="C68" t="s">
        <v>948</v>
      </c>
      <c r="D68" t="s">
        <v>948</v>
      </c>
      <c r="E68" t="str">
        <f>+_xlfn.XLOOKUP(C68,Sheet4!F:F,Sheet4!G:G)</f>
        <v>CAM_LV2_14</v>
      </c>
    </row>
    <row r="69" spans="1:5">
      <c r="A69">
        <v>67</v>
      </c>
      <c r="B69" t="str">
        <f t="shared" si="1"/>
        <v>CAM_LV3_67</v>
      </c>
      <c r="C69" t="s">
        <v>949</v>
      </c>
      <c r="D69" t="s">
        <v>949</v>
      </c>
      <c r="E69" t="str">
        <f>+_xlfn.XLOOKUP(C69,Sheet4!F:F,Sheet4!G:G)</f>
        <v>CAM_LV2_13</v>
      </c>
    </row>
    <row r="70" spans="1:5">
      <c r="A70">
        <v>68</v>
      </c>
      <c r="B70" t="str">
        <f t="shared" si="1"/>
        <v>CAM_LV3_68</v>
      </c>
      <c r="C70" t="s">
        <v>950</v>
      </c>
      <c r="D70" t="s">
        <v>950</v>
      </c>
      <c r="E70" t="str">
        <f>+_xlfn.XLOOKUP(C70,Sheet4!F:F,Sheet4!G:G)</f>
        <v>CAM_LV2_7</v>
      </c>
    </row>
    <row r="71" spans="1:5">
      <c r="A71">
        <v>69</v>
      </c>
      <c r="B71" t="str">
        <f t="shared" si="1"/>
        <v>CAM_LV3_69</v>
      </c>
      <c r="C71" t="s">
        <v>951</v>
      </c>
      <c r="D71" t="s">
        <v>951</v>
      </c>
      <c r="E71" t="str">
        <f>+_xlfn.XLOOKUP(C71,Sheet4!F:F,Sheet4!G:G)</f>
        <v>CAM_LV2_14</v>
      </c>
    </row>
    <row r="72" spans="1:5">
      <c r="A72">
        <v>70</v>
      </c>
      <c r="B72" t="str">
        <f t="shared" si="1"/>
        <v>CAM_LV3_70</v>
      </c>
      <c r="C72" t="s">
        <v>952</v>
      </c>
      <c r="D72" t="s">
        <v>952</v>
      </c>
      <c r="E72" t="str">
        <f>+_xlfn.XLOOKUP(C72,Sheet4!F:F,Sheet4!G:G)</f>
        <v>CAM_LV2_8</v>
      </c>
    </row>
    <row r="73" spans="1:5">
      <c r="A73">
        <v>71</v>
      </c>
      <c r="B73" t="str">
        <f t="shared" si="1"/>
        <v>CAM_LV3_71</v>
      </c>
      <c r="C73" t="s">
        <v>953</v>
      </c>
      <c r="D73" t="s">
        <v>953</v>
      </c>
      <c r="E73" t="str">
        <f>+_xlfn.XLOOKUP(C73,Sheet4!F:F,Sheet4!G:G)</f>
        <v>CAM_LV2_13</v>
      </c>
    </row>
    <row r="74" spans="1:5">
      <c r="A74">
        <v>72</v>
      </c>
      <c r="B74" t="str">
        <f t="shared" si="1"/>
        <v>CAM_LV3_72</v>
      </c>
      <c r="C74" t="s">
        <v>954</v>
      </c>
      <c r="D74" t="s">
        <v>954</v>
      </c>
      <c r="E74" t="str">
        <f>+_xlfn.XLOOKUP(C74,Sheet4!F:F,Sheet4!G:G)</f>
        <v>CAM_LV2_10</v>
      </c>
    </row>
    <row r="75" spans="1:5">
      <c r="A75">
        <v>73</v>
      </c>
      <c r="B75" t="str">
        <f t="shared" si="1"/>
        <v>CAM_LV3_73</v>
      </c>
      <c r="C75" t="s">
        <v>955</v>
      </c>
      <c r="D75" t="s">
        <v>955</v>
      </c>
      <c r="E75" t="str">
        <f>+_xlfn.XLOOKUP(C75,Sheet4!F:F,Sheet4!G:G)</f>
        <v>CAM_LV2_6</v>
      </c>
    </row>
    <row r="76" spans="1:5">
      <c r="A76">
        <v>74</v>
      </c>
      <c r="B76" t="str">
        <f t="shared" si="1"/>
        <v>CAM_LV3_74</v>
      </c>
      <c r="C76" t="s">
        <v>956</v>
      </c>
      <c r="D76" t="s">
        <v>956</v>
      </c>
      <c r="E76" t="str">
        <f>+_xlfn.XLOOKUP(C76,Sheet4!F:F,Sheet4!G:G)</f>
        <v>CAM_LV2_7</v>
      </c>
    </row>
    <row r="77" spans="1:5">
      <c r="A77">
        <v>75</v>
      </c>
      <c r="B77" t="str">
        <f t="shared" si="1"/>
        <v>CAM_LV3_75</v>
      </c>
      <c r="C77" t="s">
        <v>957</v>
      </c>
      <c r="D77" t="s">
        <v>957</v>
      </c>
      <c r="E77" t="str">
        <f>+_xlfn.XLOOKUP(C77,Sheet4!F:F,Sheet4!G:G)</f>
        <v>CAM_LV2_12</v>
      </c>
    </row>
    <row r="78" spans="1:5">
      <c r="A78">
        <v>76</v>
      </c>
      <c r="B78" t="str">
        <f t="shared" si="1"/>
        <v>CAM_LV3_76</v>
      </c>
      <c r="C78" t="s">
        <v>958</v>
      </c>
      <c r="D78" t="s">
        <v>958</v>
      </c>
      <c r="E78" t="str">
        <f>+_xlfn.XLOOKUP(C78,Sheet4!F:F,Sheet4!G:G)</f>
        <v>CAM_LV2_12</v>
      </c>
    </row>
    <row r="79" spans="1:5">
      <c r="A79">
        <v>77</v>
      </c>
      <c r="B79" t="str">
        <f t="shared" si="1"/>
        <v>CAM_LV3_77</v>
      </c>
      <c r="C79" t="s">
        <v>959</v>
      </c>
      <c r="D79" t="s">
        <v>959</v>
      </c>
      <c r="E79" t="str">
        <f>+_xlfn.XLOOKUP(C79,Sheet4!F:F,Sheet4!G:G)</f>
        <v>CAM_LV2_14</v>
      </c>
    </row>
    <row r="80" spans="1:5">
      <c r="A80">
        <v>78</v>
      </c>
      <c r="B80" t="str">
        <f t="shared" si="1"/>
        <v>CAM_LV3_78</v>
      </c>
      <c r="C80" t="s">
        <v>960</v>
      </c>
      <c r="D80" t="s">
        <v>960</v>
      </c>
      <c r="E80" t="str">
        <f>+_xlfn.XLOOKUP(C80,Sheet4!F:F,Sheet4!G:G)</f>
        <v>CAM_LV2_9</v>
      </c>
    </row>
    <row r="81" spans="1:5">
      <c r="A81">
        <v>79</v>
      </c>
      <c r="B81" t="str">
        <f t="shared" si="1"/>
        <v>CAM_LV3_79</v>
      </c>
      <c r="C81" t="s">
        <v>961</v>
      </c>
      <c r="D81" t="s">
        <v>961</v>
      </c>
      <c r="E81" t="str">
        <f>+_xlfn.XLOOKUP(C81,Sheet4!F:F,Sheet4!G:G)</f>
        <v>CAM_LV2_11</v>
      </c>
    </row>
    <row r="82" spans="1:5">
      <c r="A82">
        <v>80</v>
      </c>
      <c r="B82" t="str">
        <f t="shared" si="1"/>
        <v>CAM_LV3_80</v>
      </c>
      <c r="C82" t="s">
        <v>962</v>
      </c>
      <c r="D82" t="s">
        <v>962</v>
      </c>
      <c r="E82" t="str">
        <f>+_xlfn.XLOOKUP(C82,Sheet4!F:F,Sheet4!G:G)</f>
        <v>CAM_LV2_11</v>
      </c>
    </row>
    <row r="83" spans="1:5">
      <c r="A83">
        <v>81</v>
      </c>
      <c r="B83" t="str">
        <f t="shared" si="1"/>
        <v>CAM_LV3_81</v>
      </c>
      <c r="C83" t="s">
        <v>963</v>
      </c>
      <c r="D83" t="s">
        <v>963</v>
      </c>
      <c r="E83" t="str">
        <f>+_xlfn.XLOOKUP(C83,Sheet4!F:F,Sheet4!G:G)</f>
        <v>CAM_LV2_10</v>
      </c>
    </row>
    <row r="84" spans="1:5">
      <c r="A84">
        <v>82</v>
      </c>
      <c r="B84" t="str">
        <f t="shared" si="1"/>
        <v>CAM_LV3_82</v>
      </c>
      <c r="C84" t="s">
        <v>964</v>
      </c>
      <c r="D84" t="s">
        <v>964</v>
      </c>
      <c r="E84" t="str">
        <f>+_xlfn.XLOOKUP(C84,Sheet4!F:F,Sheet4!G:G)</f>
        <v>CAM_LV2_11</v>
      </c>
    </row>
    <row r="85" spans="1:5">
      <c r="A85">
        <v>83</v>
      </c>
      <c r="B85" t="str">
        <f t="shared" si="1"/>
        <v>CAM_LV3_83</v>
      </c>
      <c r="C85" t="s">
        <v>965</v>
      </c>
      <c r="D85" t="s">
        <v>965</v>
      </c>
      <c r="E85" t="str">
        <f>+_xlfn.XLOOKUP(C85,Sheet4!F:F,Sheet4!G:G)</f>
        <v>CAM_LV2_6</v>
      </c>
    </row>
    <row r="86" spans="1:5">
      <c r="A86">
        <v>84</v>
      </c>
      <c r="B86" t="str">
        <f t="shared" si="1"/>
        <v>CAM_LV3_84</v>
      </c>
      <c r="C86" t="s">
        <v>967</v>
      </c>
      <c r="D86" t="s">
        <v>967</v>
      </c>
      <c r="E86" t="str">
        <f>+_xlfn.XLOOKUP(C86,Sheet4!F:F,Sheet4!G:G)</f>
        <v>CAM_LV2_15</v>
      </c>
    </row>
    <row r="87" spans="1:5">
      <c r="A87">
        <v>85</v>
      </c>
      <c r="B87" t="str">
        <f t="shared" si="1"/>
        <v>CAM_LV3_85</v>
      </c>
      <c r="C87" t="s">
        <v>968</v>
      </c>
      <c r="D87" t="s">
        <v>968</v>
      </c>
      <c r="E87" t="str">
        <f>+_xlfn.XLOOKUP(C87,Sheet4!F:F,Sheet4!G:G)</f>
        <v>CAM_LV2_15</v>
      </c>
    </row>
    <row r="88" spans="1:5">
      <c r="A88">
        <v>86</v>
      </c>
      <c r="B88" t="str">
        <f t="shared" si="1"/>
        <v>CAM_LV3_86</v>
      </c>
      <c r="C88" t="s">
        <v>969</v>
      </c>
      <c r="D88" t="s">
        <v>969</v>
      </c>
      <c r="E88" t="str">
        <f>+_xlfn.XLOOKUP(C88,Sheet4!F:F,Sheet4!G:G)</f>
        <v>CAM_LV2_15</v>
      </c>
    </row>
    <row r="89" spans="1:5">
      <c r="A89">
        <v>87</v>
      </c>
      <c r="B89" t="str">
        <f t="shared" si="1"/>
        <v>CAM_LV3_87</v>
      </c>
      <c r="C89" t="s">
        <v>970</v>
      </c>
      <c r="D89" t="s">
        <v>970</v>
      </c>
      <c r="E89" t="str">
        <f>+_xlfn.XLOOKUP(C89,Sheet4!F:F,Sheet4!G:G)</f>
        <v>CAM_LV2_15</v>
      </c>
    </row>
    <row r="90" spans="1:5">
      <c r="A90">
        <v>88</v>
      </c>
      <c r="B90" t="str">
        <f t="shared" si="1"/>
        <v>CAM_LV3_88</v>
      </c>
      <c r="C90" t="s">
        <v>971</v>
      </c>
      <c r="D90" t="s">
        <v>971</v>
      </c>
      <c r="E90" t="str">
        <f>+_xlfn.XLOOKUP(C90,Sheet4!F:F,Sheet4!G:G)</f>
        <v>CAM_LV2_15</v>
      </c>
    </row>
    <row r="91" spans="1:5">
      <c r="A91">
        <v>89</v>
      </c>
      <c r="B91" t="str">
        <f t="shared" si="1"/>
        <v>CAM_LV3_89</v>
      </c>
      <c r="C91" t="s">
        <v>972</v>
      </c>
      <c r="D91" t="s">
        <v>972</v>
      </c>
      <c r="E91" t="str">
        <f>+_xlfn.XLOOKUP(C91,Sheet4!F:F,Sheet4!G:G)</f>
        <v>CAM_LV2_15</v>
      </c>
    </row>
    <row r="92" spans="1:5">
      <c r="A92">
        <v>90</v>
      </c>
      <c r="B92" t="str">
        <f t="shared" si="1"/>
        <v>CAM_LV3_90</v>
      </c>
      <c r="C92" t="s">
        <v>973</v>
      </c>
      <c r="D92" t="s">
        <v>973</v>
      </c>
      <c r="E92" t="str">
        <f>+_xlfn.XLOOKUP(C92,Sheet4!F:F,Sheet4!G:G)</f>
        <v>CAM_LV2_15</v>
      </c>
    </row>
    <row r="93" spans="1:5">
      <c r="A93">
        <v>91</v>
      </c>
      <c r="B93" t="str">
        <f t="shared" si="1"/>
        <v>CAM_LV3_91</v>
      </c>
      <c r="C93" t="s">
        <v>974</v>
      </c>
      <c r="D93" t="s">
        <v>974</v>
      </c>
      <c r="E93" t="str">
        <f>+_xlfn.XLOOKUP(C93,Sheet4!F:F,Sheet4!G:G)</f>
        <v>CAM_LV2_14</v>
      </c>
    </row>
    <row r="94" spans="1:5">
      <c r="A94">
        <v>92</v>
      </c>
      <c r="B94" t="str">
        <f t="shared" si="1"/>
        <v>CAM_LV3_92</v>
      </c>
      <c r="C94" t="s">
        <v>976</v>
      </c>
      <c r="D94" t="s">
        <v>976</v>
      </c>
      <c r="E94" t="str">
        <f>+_xlfn.XLOOKUP(C94,Sheet4!F:F,Sheet4!G:G)</f>
        <v>CAM_LV2_16</v>
      </c>
    </row>
    <row r="95" spans="1:5">
      <c r="A95">
        <v>93</v>
      </c>
      <c r="B95" t="str">
        <f t="shared" si="1"/>
        <v>CAM_LV3_93</v>
      </c>
      <c r="C95" t="s">
        <v>978</v>
      </c>
      <c r="D95" t="s">
        <v>978</v>
      </c>
      <c r="E95" t="str">
        <f>+_xlfn.XLOOKUP(C95,Sheet4!F:F,Sheet4!G:G)</f>
        <v>CAM_LV2_17</v>
      </c>
    </row>
    <row r="96" spans="1:5">
      <c r="A96">
        <v>94</v>
      </c>
      <c r="B96" t="str">
        <f t="shared" si="1"/>
        <v>CAM_LV3_94</v>
      </c>
      <c r="C96" t="s">
        <v>979</v>
      </c>
      <c r="D96" t="s">
        <v>979</v>
      </c>
      <c r="E96" t="str">
        <f>+_xlfn.XLOOKUP(C96,Sheet4!F:F,Sheet4!G:G)</f>
        <v>CAM_LV2_16</v>
      </c>
    </row>
    <row r="97" spans="1:5">
      <c r="A97">
        <v>95</v>
      </c>
      <c r="B97" t="str">
        <f t="shared" si="1"/>
        <v>CAM_LV3_95</v>
      </c>
      <c r="C97" t="s">
        <v>980</v>
      </c>
      <c r="D97" t="s">
        <v>980</v>
      </c>
      <c r="E97" t="str">
        <f>+_xlfn.XLOOKUP(C97,Sheet4!F:F,Sheet4!G:G)</f>
        <v>CAM_LV2_17</v>
      </c>
    </row>
    <row r="98" spans="1:5">
      <c r="A98">
        <v>96</v>
      </c>
      <c r="B98" t="str">
        <f t="shared" si="1"/>
        <v>CAM_LV3_96</v>
      </c>
      <c r="C98" t="s">
        <v>981</v>
      </c>
      <c r="D98" t="s">
        <v>981</v>
      </c>
      <c r="E98" t="str">
        <f>+_xlfn.XLOOKUP(C98,Sheet4!F:F,Sheet4!G:G)</f>
        <v>CAM_LV2_16</v>
      </c>
    </row>
    <row r="99" spans="1:5">
      <c r="A99">
        <v>97</v>
      </c>
      <c r="B99" t="str">
        <f t="shared" si="1"/>
        <v>CAM_LV3_97</v>
      </c>
      <c r="C99" t="s">
        <v>983</v>
      </c>
      <c r="D99" t="s">
        <v>983</v>
      </c>
      <c r="E99" t="str">
        <f>+_xlfn.XLOOKUP(C99,Sheet4!F:F,Sheet4!G:G)</f>
        <v>CAM_LV2_18</v>
      </c>
    </row>
    <row r="100" spans="1:5">
      <c r="A100">
        <v>98</v>
      </c>
      <c r="B100" t="str">
        <f t="shared" si="1"/>
        <v>CAM_LV3_98</v>
      </c>
      <c r="C100" t="s">
        <v>984</v>
      </c>
      <c r="D100" t="s">
        <v>984</v>
      </c>
      <c r="E100" t="str">
        <f>+_xlfn.XLOOKUP(C100,Sheet4!F:F,Sheet4!G:G)</f>
        <v>CAM_LV2_18</v>
      </c>
    </row>
    <row r="101" spans="1:5">
      <c r="A101">
        <v>99</v>
      </c>
      <c r="B101" t="str">
        <f t="shared" si="1"/>
        <v>CAM_LV3_99</v>
      </c>
      <c r="C101" t="s">
        <v>985</v>
      </c>
      <c r="D101" t="s">
        <v>985</v>
      </c>
      <c r="E101" t="str">
        <f>+_xlfn.XLOOKUP(C101,Sheet4!F:F,Sheet4!G:G)</f>
        <v>CAM_LV2_18</v>
      </c>
    </row>
    <row r="102" spans="1:5">
      <c r="A102">
        <v>100</v>
      </c>
      <c r="B102" t="str">
        <f t="shared" si="1"/>
        <v>CAM_LV3_100</v>
      </c>
      <c r="C102" t="s">
        <v>986</v>
      </c>
      <c r="D102" t="s">
        <v>986</v>
      </c>
      <c r="E102" t="str">
        <f>+_xlfn.XLOOKUP(C102,Sheet4!F:F,Sheet4!G:G)</f>
        <v>CAM_LV2_18</v>
      </c>
    </row>
    <row r="103" spans="1:5">
      <c r="A103">
        <v>101</v>
      </c>
      <c r="B103" t="str">
        <f t="shared" si="1"/>
        <v>CAM_LV3_101</v>
      </c>
      <c r="C103" t="s">
        <v>987</v>
      </c>
      <c r="D103" t="s">
        <v>987</v>
      </c>
      <c r="E103" t="str">
        <f>+_xlfn.XLOOKUP(C103,Sheet4!F:F,Sheet4!G:G)</f>
        <v>CAM_LV2_17</v>
      </c>
    </row>
    <row r="104" spans="1:5">
      <c r="A104">
        <v>102</v>
      </c>
      <c r="B104" t="str">
        <f t="shared" si="1"/>
        <v>CAM_LV3_102</v>
      </c>
      <c r="C104" t="s">
        <v>988</v>
      </c>
      <c r="D104" t="s">
        <v>988</v>
      </c>
      <c r="E104" t="str">
        <f>+_xlfn.XLOOKUP(C104,Sheet4!F:F,Sheet4!G:G)</f>
        <v>CAM_LV2_18</v>
      </c>
    </row>
    <row r="105" spans="1:5">
      <c r="A105">
        <v>103</v>
      </c>
      <c r="B105" t="str">
        <f t="shared" si="1"/>
        <v>CAM_LV3_103</v>
      </c>
      <c r="C105" t="s">
        <v>989</v>
      </c>
      <c r="D105" t="s">
        <v>989</v>
      </c>
      <c r="E105" t="str">
        <f>+_xlfn.XLOOKUP(C105,Sheet4!F:F,Sheet4!G:G)</f>
        <v>CAM_LV2_16</v>
      </c>
    </row>
    <row r="106" spans="1:5">
      <c r="A106">
        <v>104</v>
      </c>
      <c r="B106" t="str">
        <f t="shared" si="1"/>
        <v>CAM_LV3_104</v>
      </c>
      <c r="C106" t="s">
        <v>990</v>
      </c>
      <c r="D106" t="s">
        <v>990</v>
      </c>
      <c r="E106" t="str">
        <f>+_xlfn.XLOOKUP(C106,Sheet4!F:F,Sheet4!G:G)</f>
        <v>CAM_LV2_16</v>
      </c>
    </row>
    <row r="107" spans="1:5">
      <c r="A107">
        <v>105</v>
      </c>
      <c r="B107" t="str">
        <f t="shared" si="1"/>
        <v>CAM_LV3_105</v>
      </c>
      <c r="C107" t="s">
        <v>991</v>
      </c>
      <c r="D107" t="s">
        <v>991</v>
      </c>
      <c r="E107" t="str">
        <f>+_xlfn.XLOOKUP(C107,Sheet4!F:F,Sheet4!G:G)</f>
        <v>CAM_LV2_16</v>
      </c>
    </row>
    <row r="108" spans="1:5">
      <c r="A108">
        <v>106</v>
      </c>
      <c r="B108" t="str">
        <f t="shared" si="1"/>
        <v>CAM_LV3_106</v>
      </c>
      <c r="C108" t="s">
        <v>993</v>
      </c>
      <c r="D108" t="s">
        <v>993</v>
      </c>
      <c r="E108" t="str">
        <f>+_xlfn.XLOOKUP(C108,Sheet4!F:F,Sheet4!G:G)</f>
        <v>CAM_LV2_19</v>
      </c>
    </row>
    <row r="109" spans="1:5">
      <c r="A109">
        <v>107</v>
      </c>
      <c r="B109" t="str">
        <f t="shared" si="1"/>
        <v>CAM_LV3_107</v>
      </c>
      <c r="C109" t="s">
        <v>994</v>
      </c>
      <c r="D109" t="s">
        <v>994</v>
      </c>
      <c r="E109" t="str">
        <f>+_xlfn.XLOOKUP(C109,Sheet4!F:F,Sheet4!G:G)</f>
        <v>CAM_LV2_18</v>
      </c>
    </row>
    <row r="110" spans="1:5">
      <c r="A110">
        <v>108</v>
      </c>
      <c r="B110" t="str">
        <f t="shared" si="1"/>
        <v>CAM_LV3_108</v>
      </c>
      <c r="C110" t="s">
        <v>995</v>
      </c>
      <c r="D110" t="s">
        <v>995</v>
      </c>
      <c r="E110" t="str">
        <f>+_xlfn.XLOOKUP(C110,Sheet4!F:F,Sheet4!G:G)</f>
        <v>CAM_LV2_17</v>
      </c>
    </row>
    <row r="111" spans="1:5">
      <c r="A111">
        <v>109</v>
      </c>
      <c r="B111" t="str">
        <f t="shared" si="1"/>
        <v>CAM_LV3_109</v>
      </c>
      <c r="C111" t="s">
        <v>996</v>
      </c>
      <c r="D111" t="s">
        <v>996</v>
      </c>
      <c r="E111" t="str">
        <f>+_xlfn.XLOOKUP(C111,Sheet4!F:F,Sheet4!G:G)</f>
        <v>CAM_LV2_16</v>
      </c>
    </row>
    <row r="112" spans="1:5">
      <c r="A112">
        <v>110</v>
      </c>
      <c r="B112" t="str">
        <f t="shared" si="1"/>
        <v>CAM_LV3_110</v>
      </c>
      <c r="C112" t="s">
        <v>997</v>
      </c>
      <c r="D112" t="s">
        <v>997</v>
      </c>
      <c r="E112" t="str">
        <f>+_xlfn.XLOOKUP(C112,Sheet4!F:F,Sheet4!G:G)</f>
        <v>CAM_LV2_18</v>
      </c>
    </row>
    <row r="113" spans="1:5">
      <c r="A113">
        <v>111</v>
      </c>
      <c r="B113" t="str">
        <f t="shared" si="1"/>
        <v>CAM_LV3_111</v>
      </c>
      <c r="C113" t="s">
        <v>998</v>
      </c>
      <c r="D113" t="s">
        <v>998</v>
      </c>
      <c r="E113" t="str">
        <f>+_xlfn.XLOOKUP(C113,Sheet4!F:F,Sheet4!G:G)</f>
        <v>CAM_LV2_17</v>
      </c>
    </row>
    <row r="114" spans="1:5">
      <c r="A114">
        <v>112</v>
      </c>
      <c r="B114" t="str">
        <f t="shared" si="1"/>
        <v>CAM_LV3_112</v>
      </c>
      <c r="C114" t="s">
        <v>999</v>
      </c>
      <c r="D114" t="s">
        <v>999</v>
      </c>
      <c r="E114" t="str">
        <f>+_xlfn.XLOOKUP(C114,Sheet4!F:F,Sheet4!G:G)</f>
        <v>CAM_LV2_16</v>
      </c>
    </row>
    <row r="115" spans="1:5">
      <c r="A115">
        <v>113</v>
      </c>
      <c r="B115" t="str">
        <f t="shared" si="1"/>
        <v>CAM_LV3_113</v>
      </c>
      <c r="C115" t="s">
        <v>1000</v>
      </c>
      <c r="D115" t="s">
        <v>1000</v>
      </c>
      <c r="E115" t="str">
        <f>+_xlfn.XLOOKUP(C115,Sheet4!F:F,Sheet4!G:G)</f>
        <v>CAM_LV2_16</v>
      </c>
    </row>
    <row r="116" spans="1:5">
      <c r="A116">
        <v>114</v>
      </c>
      <c r="B116" t="str">
        <f t="shared" si="1"/>
        <v>CAM_LV3_114</v>
      </c>
      <c r="C116" t="s">
        <v>1001</v>
      </c>
      <c r="D116" t="s">
        <v>1001</v>
      </c>
      <c r="E116" t="str">
        <f>+_xlfn.XLOOKUP(C116,Sheet4!F:F,Sheet4!G:G)</f>
        <v>CAM_LV2_17</v>
      </c>
    </row>
    <row r="117" spans="1:5">
      <c r="A117">
        <v>115</v>
      </c>
      <c r="B117" t="str">
        <f t="shared" si="1"/>
        <v>CAM_LV3_115</v>
      </c>
      <c r="C117" t="s">
        <v>1002</v>
      </c>
      <c r="D117" t="s">
        <v>1002</v>
      </c>
      <c r="E117" t="str">
        <f>+_xlfn.XLOOKUP(C117,Sheet4!F:F,Sheet4!G:G)</f>
        <v>CAM_LV2_16</v>
      </c>
    </row>
    <row r="118" spans="1:5">
      <c r="A118">
        <v>116</v>
      </c>
      <c r="B118" t="str">
        <f t="shared" si="1"/>
        <v>CAM_LV3_116</v>
      </c>
      <c r="C118" t="s">
        <v>1003</v>
      </c>
      <c r="D118" t="s">
        <v>1003</v>
      </c>
      <c r="E118" t="str">
        <f>+_xlfn.XLOOKUP(C118,Sheet4!F:F,Sheet4!G:G)</f>
        <v>CAM_LV2_16</v>
      </c>
    </row>
    <row r="119" spans="1:5">
      <c r="A119">
        <v>117</v>
      </c>
      <c r="B119" t="str">
        <f t="shared" si="1"/>
        <v>CAM_LV3_117</v>
      </c>
      <c r="C119" t="s">
        <v>1004</v>
      </c>
      <c r="D119" t="s">
        <v>1004</v>
      </c>
      <c r="E119" t="str">
        <f>+_xlfn.XLOOKUP(C119,Sheet4!F:F,Sheet4!G:G)</f>
        <v>CAM_LV2_19</v>
      </c>
    </row>
    <row r="120" spans="1:5">
      <c r="A120">
        <v>118</v>
      </c>
      <c r="B120" t="str">
        <f t="shared" si="1"/>
        <v>CAM_LV3_118</v>
      </c>
      <c r="C120" t="s">
        <v>1005</v>
      </c>
      <c r="D120" t="s">
        <v>1005</v>
      </c>
      <c r="E120" t="str">
        <f>+_xlfn.XLOOKUP(C120,Sheet4!F:F,Sheet4!G:G)</f>
        <v>CAM_LV2_17</v>
      </c>
    </row>
    <row r="121" spans="1:5">
      <c r="A121">
        <v>119</v>
      </c>
      <c r="B121" t="str">
        <f t="shared" si="1"/>
        <v>CAM_LV3_119</v>
      </c>
      <c r="C121" t="s">
        <v>1006</v>
      </c>
      <c r="D121" t="s">
        <v>1006</v>
      </c>
      <c r="E121" t="str">
        <f>+_xlfn.XLOOKUP(C121,Sheet4!F:F,Sheet4!G:G)</f>
        <v>CAM_LV2_18</v>
      </c>
    </row>
    <row r="122" spans="1:5">
      <c r="A122">
        <v>120</v>
      </c>
      <c r="B122" t="str">
        <f t="shared" si="1"/>
        <v>CAM_LV3_120</v>
      </c>
      <c r="C122" t="s">
        <v>1007</v>
      </c>
      <c r="D122" t="s">
        <v>1007</v>
      </c>
      <c r="E122" t="str">
        <f>+_xlfn.XLOOKUP(C122,Sheet4!F:F,Sheet4!G:G)</f>
        <v>CAM_LV2_16</v>
      </c>
    </row>
    <row r="123" spans="1:5">
      <c r="A123">
        <v>121</v>
      </c>
      <c r="B123" t="str">
        <f t="shared" si="1"/>
        <v>CAM_LV3_121</v>
      </c>
      <c r="C123" t="s">
        <v>1008</v>
      </c>
      <c r="D123" t="s">
        <v>1008</v>
      </c>
      <c r="E123" t="str">
        <f>+_xlfn.XLOOKUP(C123,Sheet4!F:F,Sheet4!G:G)</f>
        <v>CAM_LV2_16</v>
      </c>
    </row>
    <row r="124" spans="1:5">
      <c r="A124">
        <v>122</v>
      </c>
      <c r="B124" t="str">
        <f t="shared" si="1"/>
        <v>CAM_LV3_122</v>
      </c>
      <c r="C124" t="s">
        <v>1009</v>
      </c>
      <c r="D124" t="s">
        <v>1009</v>
      </c>
      <c r="E124" t="str">
        <f>+_xlfn.XLOOKUP(C124,Sheet4!F:F,Sheet4!G:G)</f>
        <v>CAM_LV2_16</v>
      </c>
    </row>
    <row r="125" spans="1:5">
      <c r="A125">
        <v>123</v>
      </c>
      <c r="B125" t="str">
        <f t="shared" si="1"/>
        <v>CAM_LV3_123</v>
      </c>
      <c r="C125" t="s">
        <v>1010</v>
      </c>
      <c r="D125" t="s">
        <v>1010</v>
      </c>
      <c r="E125" t="str">
        <f>+_xlfn.XLOOKUP(C125,Sheet4!F:F,Sheet4!G:G)</f>
        <v>CAM_LV2_19</v>
      </c>
    </row>
    <row r="126" spans="1:5">
      <c r="A126">
        <v>124</v>
      </c>
      <c r="B126" t="str">
        <f t="shared" si="1"/>
        <v>CAM_LV3_124</v>
      </c>
      <c r="C126" t="s">
        <v>1011</v>
      </c>
      <c r="D126" t="s">
        <v>1011</v>
      </c>
      <c r="E126" t="str">
        <f>+_xlfn.XLOOKUP(C126,Sheet4!F:F,Sheet4!G:G)</f>
        <v>CAM_LV2_16</v>
      </c>
    </row>
    <row r="127" spans="1:5">
      <c r="A127">
        <v>125</v>
      </c>
      <c r="B127" t="str">
        <f t="shared" si="1"/>
        <v>CAM_LV3_125</v>
      </c>
      <c r="C127" t="s">
        <v>1012</v>
      </c>
      <c r="D127" t="s">
        <v>1012</v>
      </c>
      <c r="E127" t="str">
        <f>+_xlfn.XLOOKUP(C127,Sheet4!F:F,Sheet4!G:G)</f>
        <v>CAM_LV2_19</v>
      </c>
    </row>
    <row r="128" spans="1:5">
      <c r="A128">
        <v>126</v>
      </c>
      <c r="B128" t="str">
        <f t="shared" si="1"/>
        <v>CAM_LV3_126</v>
      </c>
      <c r="C128" t="s">
        <v>1014</v>
      </c>
      <c r="D128" t="s">
        <v>1014</v>
      </c>
      <c r="E128" t="str">
        <f>+_xlfn.XLOOKUP(C128,Sheet4!F:F,Sheet4!G:G)</f>
        <v>CAM_LV2_20</v>
      </c>
    </row>
    <row r="129" spans="1:5">
      <c r="A129">
        <v>127</v>
      </c>
      <c r="B129" t="str">
        <f t="shared" si="1"/>
        <v>CAM_LV3_127</v>
      </c>
      <c r="C129" t="s">
        <v>1015</v>
      </c>
      <c r="D129" t="s">
        <v>1015</v>
      </c>
      <c r="E129" t="str">
        <f>+_xlfn.XLOOKUP(C129,Sheet4!F:F,Sheet4!G:G)</f>
        <v>CAM_LV2_20</v>
      </c>
    </row>
    <row r="130" spans="1:5">
      <c r="A130">
        <v>128</v>
      </c>
      <c r="B130" t="str">
        <f t="shared" si="1"/>
        <v>CAM_LV3_128</v>
      </c>
      <c r="C130" t="s">
        <v>1016</v>
      </c>
      <c r="D130" t="s">
        <v>1016</v>
      </c>
      <c r="E130" t="str">
        <f>+_xlfn.XLOOKUP(C130,Sheet4!F:F,Sheet4!G:G)</f>
        <v>CAM_LV2_20</v>
      </c>
    </row>
    <row r="131" spans="1:5">
      <c r="A131">
        <v>129</v>
      </c>
      <c r="B131" t="str">
        <f t="shared" si="1"/>
        <v>CAM_LV3_129</v>
      </c>
      <c r="C131" t="s">
        <v>1017</v>
      </c>
      <c r="D131" t="s">
        <v>1017</v>
      </c>
      <c r="E131" t="str">
        <f>+_xlfn.XLOOKUP(C131,Sheet4!F:F,Sheet4!G:G)</f>
        <v>CAM_LV2_20</v>
      </c>
    </row>
    <row r="132" spans="1:5">
      <c r="A132">
        <v>130</v>
      </c>
      <c r="B132" t="str">
        <f t="shared" ref="B132:B195" si="2">_xlfn.CONCAT("CAM_LV3_",A132)</f>
        <v>CAM_LV3_130</v>
      </c>
      <c r="C132" t="s">
        <v>1019</v>
      </c>
      <c r="D132" t="s">
        <v>1019</v>
      </c>
      <c r="E132" t="str">
        <f>+_xlfn.XLOOKUP(C132,Sheet4!F:F,Sheet4!G:G)</f>
        <v>CAM_LV2_21</v>
      </c>
    </row>
    <row r="133" spans="1:5">
      <c r="A133">
        <v>131</v>
      </c>
      <c r="B133" t="str">
        <f t="shared" si="2"/>
        <v>CAM_LV3_131</v>
      </c>
      <c r="C133" t="s">
        <v>1021</v>
      </c>
      <c r="D133" t="s">
        <v>1021</v>
      </c>
      <c r="E133" t="str">
        <f>+_xlfn.XLOOKUP(C133,Sheet4!F:F,Sheet4!G:G)</f>
        <v>CAM_LV2_22</v>
      </c>
    </row>
    <row r="134" spans="1:5">
      <c r="A134">
        <v>132</v>
      </c>
      <c r="B134" t="str">
        <f t="shared" si="2"/>
        <v>CAM_LV3_132</v>
      </c>
      <c r="C134" t="s">
        <v>1023</v>
      </c>
      <c r="D134" t="s">
        <v>1023</v>
      </c>
      <c r="E134" t="str">
        <f>+_xlfn.XLOOKUP(C134,Sheet4!F:F,Sheet4!G:G)</f>
        <v>CAM_LV2_23</v>
      </c>
    </row>
    <row r="135" spans="1:5">
      <c r="A135">
        <v>133</v>
      </c>
      <c r="B135" t="str">
        <f t="shared" si="2"/>
        <v>CAM_LV3_133</v>
      </c>
      <c r="C135" t="s">
        <v>1024</v>
      </c>
      <c r="D135" t="s">
        <v>1024</v>
      </c>
      <c r="E135" t="str">
        <f>+_xlfn.XLOOKUP(C135,Sheet4!F:F,Sheet4!G:G)</f>
        <v>CAM_LV2_21</v>
      </c>
    </row>
    <row r="136" spans="1:5">
      <c r="A136">
        <v>134</v>
      </c>
      <c r="B136" t="str">
        <f t="shared" si="2"/>
        <v>CAM_LV3_134</v>
      </c>
      <c r="C136" t="s">
        <v>1025</v>
      </c>
      <c r="D136" t="s">
        <v>1025</v>
      </c>
      <c r="E136" t="str">
        <f>+_xlfn.XLOOKUP(C136,Sheet4!F:F,Sheet4!G:G)</f>
        <v>CAM_LV2_22</v>
      </c>
    </row>
    <row r="137" spans="1:5">
      <c r="A137">
        <v>135</v>
      </c>
      <c r="B137" t="str">
        <f t="shared" si="2"/>
        <v>CAM_LV3_135</v>
      </c>
      <c r="C137" t="s">
        <v>1027</v>
      </c>
      <c r="D137" t="s">
        <v>1027</v>
      </c>
      <c r="E137" t="str">
        <f>+_xlfn.XLOOKUP(C137,Sheet4!F:F,Sheet4!G:G)</f>
        <v>CAM_LV2_24</v>
      </c>
    </row>
    <row r="138" spans="1:5">
      <c r="A138">
        <v>136</v>
      </c>
      <c r="B138" t="str">
        <f t="shared" si="2"/>
        <v>CAM_LV3_136</v>
      </c>
      <c r="C138" t="s">
        <v>1028</v>
      </c>
      <c r="D138" t="s">
        <v>1028</v>
      </c>
      <c r="E138" t="str">
        <f>+_xlfn.XLOOKUP(C138,Sheet4!F:F,Sheet4!G:G)</f>
        <v>CAM_LV2_21</v>
      </c>
    </row>
    <row r="139" spans="1:5">
      <c r="A139">
        <v>137</v>
      </c>
      <c r="B139" t="str">
        <f t="shared" si="2"/>
        <v>CAM_LV3_137</v>
      </c>
      <c r="C139" t="s">
        <v>1029</v>
      </c>
      <c r="D139" t="s">
        <v>1029</v>
      </c>
      <c r="E139" t="str">
        <f>+_xlfn.XLOOKUP(C139,Sheet4!F:F,Sheet4!G:G)</f>
        <v>CAM_LV2_22</v>
      </c>
    </row>
    <row r="140" spans="1:5">
      <c r="A140">
        <v>138</v>
      </c>
      <c r="B140" t="str">
        <f t="shared" si="2"/>
        <v>CAM_LV3_138</v>
      </c>
      <c r="C140" t="s">
        <v>1030</v>
      </c>
      <c r="D140" t="s">
        <v>1030</v>
      </c>
      <c r="E140" t="str">
        <f>+_xlfn.XLOOKUP(C140,Sheet4!F:F,Sheet4!G:G)</f>
        <v>CAM_LV2_24</v>
      </c>
    </row>
    <row r="141" spans="1:5">
      <c r="A141">
        <v>139</v>
      </c>
      <c r="B141" t="str">
        <f t="shared" si="2"/>
        <v>CAM_LV3_139</v>
      </c>
      <c r="C141" t="s">
        <v>1031</v>
      </c>
      <c r="D141" t="s">
        <v>1031</v>
      </c>
      <c r="E141" t="str">
        <f>+_xlfn.XLOOKUP(C141,Sheet4!F:F,Sheet4!G:G)</f>
        <v>CAM_LV2_21</v>
      </c>
    </row>
    <row r="142" spans="1:5">
      <c r="A142">
        <v>140</v>
      </c>
      <c r="B142" t="str">
        <f t="shared" si="2"/>
        <v>CAM_LV3_140</v>
      </c>
      <c r="C142" t="s">
        <v>1032</v>
      </c>
      <c r="D142" t="s">
        <v>1032</v>
      </c>
      <c r="E142" t="str">
        <f>+_xlfn.XLOOKUP(C142,Sheet4!F:F,Sheet4!G:G)</f>
        <v>CAM_LV2_24</v>
      </c>
    </row>
    <row r="143" spans="1:5">
      <c r="A143">
        <v>141</v>
      </c>
      <c r="B143" t="str">
        <f t="shared" si="2"/>
        <v>CAM_LV3_141</v>
      </c>
      <c r="C143" t="s">
        <v>1033</v>
      </c>
      <c r="D143" t="s">
        <v>1033</v>
      </c>
      <c r="E143" t="str">
        <f>+_xlfn.XLOOKUP(C143,Sheet4!F:F,Sheet4!G:G)</f>
        <v>CAM_LV2_24</v>
      </c>
    </row>
    <row r="144" spans="1:5">
      <c r="A144">
        <v>142</v>
      </c>
      <c r="B144" t="str">
        <f t="shared" si="2"/>
        <v>CAM_LV3_142</v>
      </c>
      <c r="C144" t="s">
        <v>1034</v>
      </c>
      <c r="D144" t="s">
        <v>1034</v>
      </c>
      <c r="E144" t="str">
        <f>+_xlfn.XLOOKUP(C144,Sheet4!F:F,Sheet4!G:G)</f>
        <v>CAM_LV2_20</v>
      </c>
    </row>
    <row r="145" spans="1:5">
      <c r="A145">
        <v>143</v>
      </c>
      <c r="B145" t="str">
        <f t="shared" si="2"/>
        <v>CAM_LV3_143</v>
      </c>
      <c r="C145" t="s">
        <v>1035</v>
      </c>
      <c r="D145" t="s">
        <v>1035</v>
      </c>
      <c r="E145" t="str">
        <f>+_xlfn.XLOOKUP(C145,Sheet4!F:F,Sheet4!G:G)</f>
        <v>CAM_LV2_21</v>
      </c>
    </row>
    <row r="146" spans="1:5">
      <c r="A146">
        <v>144</v>
      </c>
      <c r="B146" t="str">
        <f t="shared" si="2"/>
        <v>CAM_LV3_144</v>
      </c>
      <c r="C146" t="s">
        <v>1036</v>
      </c>
      <c r="D146" t="s">
        <v>1036</v>
      </c>
      <c r="E146" t="str">
        <f>+_xlfn.XLOOKUP(C146,Sheet4!F:F,Sheet4!G:G)</f>
        <v>CAM_LV2_21</v>
      </c>
    </row>
    <row r="147" spans="1:5">
      <c r="A147">
        <v>145</v>
      </c>
      <c r="B147" t="str">
        <f t="shared" si="2"/>
        <v>CAM_LV3_145</v>
      </c>
      <c r="C147" t="s">
        <v>1037</v>
      </c>
      <c r="D147" t="s">
        <v>1037</v>
      </c>
      <c r="E147" t="str">
        <f>+_xlfn.XLOOKUP(C147,Sheet4!F:F,Sheet4!G:G)</f>
        <v>CAM_LV2_23</v>
      </c>
    </row>
    <row r="148" spans="1:5">
      <c r="A148">
        <v>146</v>
      </c>
      <c r="B148" t="str">
        <f t="shared" si="2"/>
        <v>CAM_LV3_146</v>
      </c>
      <c r="C148" t="s">
        <v>1038</v>
      </c>
      <c r="D148" t="s">
        <v>1038</v>
      </c>
      <c r="E148" t="str">
        <f>+_xlfn.XLOOKUP(C148,Sheet4!F:F,Sheet4!G:G)</f>
        <v>CAM_LV2_20</v>
      </c>
    </row>
    <row r="149" spans="1:5">
      <c r="A149">
        <v>147</v>
      </c>
      <c r="B149" t="str">
        <f t="shared" si="2"/>
        <v>CAM_LV3_147</v>
      </c>
      <c r="C149" t="s">
        <v>1039</v>
      </c>
      <c r="D149" t="s">
        <v>1039</v>
      </c>
      <c r="E149" t="str">
        <f>+_xlfn.XLOOKUP(C149,Sheet4!F:F,Sheet4!G:G)</f>
        <v>CAM_LV2_24</v>
      </c>
    </row>
    <row r="150" spans="1:5">
      <c r="A150">
        <v>148</v>
      </c>
      <c r="B150" t="str">
        <f t="shared" si="2"/>
        <v>CAM_LV3_148</v>
      </c>
      <c r="C150" t="s">
        <v>1040</v>
      </c>
      <c r="D150" t="s">
        <v>1040</v>
      </c>
      <c r="E150" t="str">
        <f>+_xlfn.XLOOKUP(C150,Sheet4!F:F,Sheet4!G:G)</f>
        <v>CAM_LV2_24</v>
      </c>
    </row>
    <row r="151" spans="1:5">
      <c r="A151">
        <v>149</v>
      </c>
      <c r="B151" t="str">
        <f t="shared" si="2"/>
        <v>CAM_LV3_149</v>
      </c>
      <c r="C151" t="s">
        <v>1041</v>
      </c>
      <c r="D151" t="s">
        <v>1041</v>
      </c>
      <c r="E151" t="str">
        <f>+_xlfn.XLOOKUP(C151,Sheet4!F:F,Sheet4!G:G)</f>
        <v>CAM_LV2_24</v>
      </c>
    </row>
    <row r="152" spans="1:5">
      <c r="A152">
        <v>150</v>
      </c>
      <c r="B152" t="str">
        <f t="shared" si="2"/>
        <v>CAM_LV3_150</v>
      </c>
      <c r="C152" t="s">
        <v>1043</v>
      </c>
      <c r="D152" t="s">
        <v>1043</v>
      </c>
      <c r="E152" t="str">
        <f>+_xlfn.XLOOKUP(C152,Sheet4!F:F,Sheet4!G:G)</f>
        <v>CAM_LV2_25</v>
      </c>
    </row>
    <row r="153" spans="1:5">
      <c r="A153">
        <v>151</v>
      </c>
      <c r="B153" t="str">
        <f t="shared" si="2"/>
        <v>CAM_LV3_151</v>
      </c>
      <c r="C153" t="s">
        <v>1044</v>
      </c>
      <c r="D153" t="s">
        <v>1044</v>
      </c>
      <c r="E153" t="str">
        <f>+_xlfn.XLOOKUP(C153,Sheet4!F:F,Sheet4!G:G)</f>
        <v>CAM_LV2_21</v>
      </c>
    </row>
    <row r="154" spans="1:5">
      <c r="A154">
        <v>152</v>
      </c>
      <c r="B154" t="str">
        <f t="shared" si="2"/>
        <v>CAM_LV3_152</v>
      </c>
      <c r="C154" t="s">
        <v>1045</v>
      </c>
      <c r="D154" t="s">
        <v>1045</v>
      </c>
      <c r="E154" t="str">
        <f>+_xlfn.XLOOKUP(C154,Sheet4!F:F,Sheet4!G:G)</f>
        <v>CAM_LV2_23</v>
      </c>
    </row>
    <row r="155" spans="1:5">
      <c r="A155">
        <v>153</v>
      </c>
      <c r="B155" t="str">
        <f t="shared" si="2"/>
        <v>CAM_LV3_153</v>
      </c>
      <c r="C155" t="s">
        <v>1046</v>
      </c>
      <c r="D155" t="s">
        <v>1046</v>
      </c>
      <c r="E155" t="str">
        <f>+_xlfn.XLOOKUP(C155,Sheet4!F:F,Sheet4!G:G)</f>
        <v>CAM_LV2_21</v>
      </c>
    </row>
    <row r="156" spans="1:5">
      <c r="A156">
        <v>154</v>
      </c>
      <c r="B156" t="str">
        <f t="shared" si="2"/>
        <v>CAM_LV3_154</v>
      </c>
      <c r="C156" t="s">
        <v>1047</v>
      </c>
      <c r="D156" t="s">
        <v>1047</v>
      </c>
      <c r="E156" t="str">
        <f>+_xlfn.XLOOKUP(C156,Sheet4!F:F,Sheet4!G:G)</f>
        <v>CAM_LV2_24</v>
      </c>
    </row>
    <row r="157" spans="1:5">
      <c r="A157">
        <v>155</v>
      </c>
      <c r="B157" t="str">
        <f t="shared" si="2"/>
        <v>CAM_LV3_155</v>
      </c>
      <c r="C157" t="s">
        <v>1048</v>
      </c>
      <c r="D157" t="s">
        <v>1048</v>
      </c>
      <c r="E157" t="str">
        <f>+_xlfn.XLOOKUP(C157,Sheet4!F:F,Sheet4!G:G)</f>
        <v>CAM_LV2_21</v>
      </c>
    </row>
    <row r="158" spans="1:5">
      <c r="A158">
        <v>156</v>
      </c>
      <c r="B158" t="str">
        <f t="shared" si="2"/>
        <v>CAM_LV3_156</v>
      </c>
      <c r="C158" t="s">
        <v>1049</v>
      </c>
      <c r="D158" t="s">
        <v>1049</v>
      </c>
      <c r="E158" t="str">
        <f>+_xlfn.XLOOKUP(C158,Sheet4!F:F,Sheet4!G:G)</f>
        <v>CAM_LV2_22</v>
      </c>
    </row>
    <row r="159" spans="1:5">
      <c r="A159">
        <v>157</v>
      </c>
      <c r="B159" t="str">
        <f t="shared" si="2"/>
        <v>CAM_LV3_157</v>
      </c>
      <c r="C159" t="s">
        <v>1050</v>
      </c>
      <c r="D159" t="s">
        <v>1050</v>
      </c>
      <c r="E159" t="str">
        <f>+_xlfn.XLOOKUP(C159,Sheet4!F:F,Sheet4!G:G)</f>
        <v>CAM_LV2_22</v>
      </c>
    </row>
    <row r="160" spans="1:5">
      <c r="A160">
        <v>158</v>
      </c>
      <c r="B160" t="str">
        <f t="shared" si="2"/>
        <v>CAM_LV3_158</v>
      </c>
      <c r="C160" t="s">
        <v>1051</v>
      </c>
      <c r="D160" t="s">
        <v>1051</v>
      </c>
      <c r="E160" t="str">
        <f>+_xlfn.XLOOKUP(C160,Sheet4!F:F,Sheet4!G:G)</f>
        <v>CAM_LV2_22</v>
      </c>
    </row>
    <row r="161" spans="1:5">
      <c r="A161">
        <v>159</v>
      </c>
      <c r="B161" t="str">
        <f t="shared" si="2"/>
        <v>CAM_LV3_159</v>
      </c>
      <c r="C161" t="s">
        <v>1052</v>
      </c>
      <c r="D161" t="s">
        <v>1052</v>
      </c>
      <c r="E161" t="str">
        <f>+_xlfn.XLOOKUP(C161,Sheet4!F:F,Sheet4!G:G)</f>
        <v>CAM_LV2_23</v>
      </c>
    </row>
    <row r="162" spans="1:5">
      <c r="A162">
        <v>160</v>
      </c>
      <c r="B162" t="str">
        <f t="shared" si="2"/>
        <v>CAM_LV3_160</v>
      </c>
      <c r="C162" t="s">
        <v>1053</v>
      </c>
      <c r="D162" t="s">
        <v>1053</v>
      </c>
      <c r="E162" t="str">
        <f>+_xlfn.XLOOKUP(C162,Sheet4!F:F,Sheet4!G:G)</f>
        <v>CAM_LV2_22</v>
      </c>
    </row>
    <row r="163" spans="1:5">
      <c r="A163">
        <v>161</v>
      </c>
      <c r="B163" t="str">
        <f t="shared" si="2"/>
        <v>CAM_LV3_161</v>
      </c>
      <c r="C163" t="s">
        <v>1054</v>
      </c>
      <c r="D163" t="s">
        <v>1054</v>
      </c>
      <c r="E163" t="str">
        <f>+_xlfn.XLOOKUP(C163,Sheet4!F:F,Sheet4!G:G)</f>
        <v>CAM_LV2_23</v>
      </c>
    </row>
    <row r="164" spans="1:5">
      <c r="A164">
        <v>162</v>
      </c>
      <c r="B164" t="str">
        <f t="shared" si="2"/>
        <v>CAM_LV3_162</v>
      </c>
      <c r="C164" t="s">
        <v>1055</v>
      </c>
      <c r="D164" t="s">
        <v>1055</v>
      </c>
      <c r="E164" t="str">
        <f>+_xlfn.XLOOKUP(C164,Sheet4!F:F,Sheet4!G:G)</f>
        <v>CAM_LV2_23</v>
      </c>
    </row>
    <row r="165" spans="1:5">
      <c r="A165">
        <v>163</v>
      </c>
      <c r="B165" t="str">
        <f t="shared" si="2"/>
        <v>CAM_LV3_163</v>
      </c>
      <c r="C165" t="s">
        <v>1056</v>
      </c>
      <c r="D165" t="s">
        <v>1056</v>
      </c>
      <c r="E165" t="str">
        <f>+_xlfn.XLOOKUP(C165,Sheet4!F:F,Sheet4!G:G)</f>
        <v>CAM_LV2_25</v>
      </c>
    </row>
    <row r="166" spans="1:5">
      <c r="A166">
        <v>164</v>
      </c>
      <c r="B166" t="str">
        <f t="shared" si="2"/>
        <v>CAM_LV3_164</v>
      </c>
      <c r="C166" t="s">
        <v>1057</v>
      </c>
      <c r="D166" t="s">
        <v>1057</v>
      </c>
      <c r="E166" t="str">
        <f>+_xlfn.XLOOKUP(C166,Sheet4!F:F,Sheet4!G:G)</f>
        <v>CAM_LV2_20</v>
      </c>
    </row>
    <row r="167" spans="1:5">
      <c r="A167">
        <v>165</v>
      </c>
      <c r="B167" t="str">
        <f t="shared" si="2"/>
        <v>CAM_LV3_165</v>
      </c>
      <c r="C167" t="s">
        <v>1058</v>
      </c>
      <c r="D167" t="s">
        <v>1058</v>
      </c>
      <c r="E167" t="str">
        <f>+_xlfn.XLOOKUP(C167,Sheet4!F:F,Sheet4!G:G)</f>
        <v>CAM_LV2_22</v>
      </c>
    </row>
    <row r="168" spans="1:5">
      <c r="A168">
        <v>166</v>
      </c>
      <c r="B168" t="str">
        <f t="shared" si="2"/>
        <v>CAM_LV3_166</v>
      </c>
      <c r="C168" t="s">
        <v>1059</v>
      </c>
      <c r="D168" t="s">
        <v>1059</v>
      </c>
      <c r="E168" t="str">
        <f>+_xlfn.XLOOKUP(C168,Sheet4!F:F,Sheet4!G:G)</f>
        <v>CAM_LV2_22</v>
      </c>
    </row>
    <row r="169" spans="1:5">
      <c r="A169">
        <v>167</v>
      </c>
      <c r="B169" t="str">
        <f t="shared" si="2"/>
        <v>CAM_LV3_167</v>
      </c>
      <c r="C169" t="s">
        <v>1060</v>
      </c>
      <c r="D169" t="s">
        <v>1060</v>
      </c>
      <c r="E169" t="str">
        <f>+_xlfn.XLOOKUP(C169,Sheet4!F:F,Sheet4!G:G)</f>
        <v>CAM_LV2_23</v>
      </c>
    </row>
    <row r="170" spans="1:5">
      <c r="A170">
        <v>168</v>
      </c>
      <c r="B170" t="str">
        <f t="shared" si="2"/>
        <v>CAM_LV3_168</v>
      </c>
      <c r="C170" t="s">
        <v>1061</v>
      </c>
      <c r="D170" t="s">
        <v>1061</v>
      </c>
      <c r="E170" t="str">
        <f>+_xlfn.XLOOKUP(C170,Sheet4!F:F,Sheet4!G:G)</f>
        <v>CAM_LV2_24</v>
      </c>
    </row>
    <row r="171" spans="1:5">
      <c r="A171">
        <v>169</v>
      </c>
      <c r="B171" t="str">
        <f t="shared" si="2"/>
        <v>CAM_LV3_169</v>
      </c>
      <c r="C171" t="s">
        <v>1062</v>
      </c>
      <c r="D171" t="s">
        <v>1062</v>
      </c>
      <c r="E171" t="str">
        <f>+_xlfn.XLOOKUP(C171,Sheet4!F:F,Sheet4!G:G)</f>
        <v>CAM_LV2_25</v>
      </c>
    </row>
    <row r="172" spans="1:5">
      <c r="A172">
        <v>170</v>
      </c>
      <c r="B172" t="str">
        <f t="shared" si="2"/>
        <v>CAM_LV3_170</v>
      </c>
      <c r="C172" t="s">
        <v>1063</v>
      </c>
      <c r="D172" t="s">
        <v>1063</v>
      </c>
      <c r="E172" t="str">
        <f>+_xlfn.XLOOKUP(C172,Sheet4!F:F,Sheet4!G:G)</f>
        <v>CAM_LV2_21</v>
      </c>
    </row>
    <row r="173" spans="1:5">
      <c r="A173">
        <v>171</v>
      </c>
      <c r="B173" t="str">
        <f t="shared" si="2"/>
        <v>CAM_LV3_171</v>
      </c>
      <c r="C173" t="s">
        <v>1064</v>
      </c>
      <c r="D173" t="s">
        <v>1064</v>
      </c>
      <c r="E173" t="str">
        <f>+_xlfn.XLOOKUP(C173,Sheet4!F:F,Sheet4!G:G)</f>
        <v>CAM_LV2_24</v>
      </c>
    </row>
    <row r="174" spans="1:5">
      <c r="A174">
        <v>172</v>
      </c>
      <c r="B174" t="str">
        <f t="shared" si="2"/>
        <v>CAM_LV3_172</v>
      </c>
      <c r="C174" t="s">
        <v>1065</v>
      </c>
      <c r="D174" t="s">
        <v>1065</v>
      </c>
      <c r="E174" t="str">
        <f>+_xlfn.XLOOKUP(C174,Sheet4!F:F,Sheet4!G:G)</f>
        <v>CAM_LV2_24</v>
      </c>
    </row>
    <row r="175" spans="1:5">
      <c r="A175">
        <v>173</v>
      </c>
      <c r="B175" t="str">
        <f t="shared" si="2"/>
        <v>CAM_LV3_173</v>
      </c>
      <c r="C175" t="s">
        <v>1066</v>
      </c>
      <c r="D175" t="s">
        <v>1066</v>
      </c>
      <c r="E175" t="str">
        <f>+_xlfn.XLOOKUP(C175,Sheet4!F:F,Sheet4!G:G)</f>
        <v>CAM_LV2_21</v>
      </c>
    </row>
    <row r="176" spans="1:5">
      <c r="A176">
        <v>174</v>
      </c>
      <c r="B176" t="str">
        <f t="shared" si="2"/>
        <v>CAM_LV3_174</v>
      </c>
      <c r="C176" t="s">
        <v>1068</v>
      </c>
      <c r="D176" t="s">
        <v>1068</v>
      </c>
      <c r="E176" t="str">
        <f>+_xlfn.XLOOKUP(C176,Sheet4!F:F,Sheet4!G:G)</f>
        <v>CAM_LV2_26</v>
      </c>
    </row>
    <row r="177" spans="1:5">
      <c r="A177">
        <v>175</v>
      </c>
      <c r="B177" t="str">
        <f t="shared" si="2"/>
        <v>CAM_LV3_175</v>
      </c>
      <c r="C177" t="s">
        <v>1069</v>
      </c>
      <c r="D177" t="s">
        <v>1069</v>
      </c>
      <c r="E177" t="str">
        <f>+_xlfn.XLOOKUP(C177,Sheet4!F:F,Sheet4!G:G)</f>
        <v>CAM_LV2_26</v>
      </c>
    </row>
    <row r="178" spans="1:5">
      <c r="A178">
        <v>176</v>
      </c>
      <c r="B178" t="str">
        <f t="shared" si="2"/>
        <v>CAM_LV3_176</v>
      </c>
      <c r="C178" t="s">
        <v>1071</v>
      </c>
      <c r="D178" t="s">
        <v>1071</v>
      </c>
      <c r="E178" t="str">
        <f>+_xlfn.XLOOKUP(C178,Sheet4!F:F,Sheet4!G:G)</f>
        <v>CAM_LV2_27</v>
      </c>
    </row>
    <row r="179" spans="1:5">
      <c r="A179">
        <v>177</v>
      </c>
      <c r="B179" t="str">
        <f t="shared" si="2"/>
        <v>CAM_LV3_177</v>
      </c>
      <c r="C179" t="s">
        <v>1072</v>
      </c>
      <c r="D179" t="s">
        <v>1072</v>
      </c>
      <c r="E179" t="str">
        <f>+_xlfn.XLOOKUP(C179,Sheet4!F:F,Sheet4!G:G)</f>
        <v>CAM_LV2_26</v>
      </c>
    </row>
    <row r="180" spans="1:5">
      <c r="A180">
        <v>178</v>
      </c>
      <c r="B180" t="str">
        <f t="shared" si="2"/>
        <v>CAM_LV3_178</v>
      </c>
      <c r="C180" t="s">
        <v>1073</v>
      </c>
      <c r="D180" t="s">
        <v>1073</v>
      </c>
      <c r="E180" t="str">
        <f>+_xlfn.XLOOKUP(C180,Sheet4!F:F,Sheet4!G:G)</f>
        <v>CAM_LV2_27</v>
      </c>
    </row>
    <row r="181" spans="1:5">
      <c r="A181">
        <v>179</v>
      </c>
      <c r="B181" t="str">
        <f t="shared" si="2"/>
        <v>CAM_LV3_179</v>
      </c>
      <c r="C181" t="s">
        <v>1075</v>
      </c>
      <c r="D181" t="s">
        <v>1075</v>
      </c>
      <c r="E181" t="str">
        <f>+_xlfn.XLOOKUP(C181,Sheet4!F:F,Sheet4!G:G)</f>
        <v>CAM_LV2_28</v>
      </c>
    </row>
    <row r="182" spans="1:5">
      <c r="A182">
        <v>180</v>
      </c>
      <c r="B182" t="str">
        <f t="shared" si="2"/>
        <v>CAM_LV3_180</v>
      </c>
      <c r="C182" t="s">
        <v>1076</v>
      </c>
      <c r="D182" t="s">
        <v>1076</v>
      </c>
      <c r="E182" t="str">
        <f>+_xlfn.XLOOKUP(C182,Sheet4!F:F,Sheet4!G:G)</f>
        <v>CAM_LV2_28</v>
      </c>
    </row>
    <row r="183" spans="1:5">
      <c r="A183">
        <v>181</v>
      </c>
      <c r="B183" t="str">
        <f t="shared" si="2"/>
        <v>CAM_LV3_181</v>
      </c>
      <c r="C183" t="s">
        <v>1077</v>
      </c>
      <c r="D183" t="s">
        <v>1077</v>
      </c>
      <c r="E183" t="str">
        <f>+_xlfn.XLOOKUP(C183,Sheet4!F:F,Sheet4!G:G)</f>
        <v>CAM_LV2_28</v>
      </c>
    </row>
    <row r="184" spans="1:5">
      <c r="A184">
        <v>182</v>
      </c>
      <c r="B184" t="str">
        <f t="shared" si="2"/>
        <v>CAM_LV3_182</v>
      </c>
      <c r="C184" t="s">
        <v>1078</v>
      </c>
      <c r="D184" t="s">
        <v>1078</v>
      </c>
      <c r="E184" t="str">
        <f>+_xlfn.XLOOKUP(C184,Sheet4!F:F,Sheet4!G:G)</f>
        <v>CAM_LV2_28</v>
      </c>
    </row>
    <row r="185" spans="1:5">
      <c r="A185">
        <v>183</v>
      </c>
      <c r="B185" t="str">
        <f t="shared" si="2"/>
        <v>CAM_LV3_183</v>
      </c>
      <c r="C185" t="s">
        <v>1079</v>
      </c>
      <c r="D185" t="s">
        <v>1079</v>
      </c>
      <c r="E185" t="str">
        <f>+_xlfn.XLOOKUP(C185,Sheet4!F:F,Sheet4!G:G)</f>
        <v>CAM_LV2_28</v>
      </c>
    </row>
    <row r="186" spans="1:5">
      <c r="A186">
        <v>184</v>
      </c>
      <c r="B186" t="str">
        <f t="shared" si="2"/>
        <v>CAM_LV3_184</v>
      </c>
      <c r="C186" t="s">
        <v>1080</v>
      </c>
      <c r="D186" t="s">
        <v>1080</v>
      </c>
      <c r="E186" t="str">
        <f>+_xlfn.XLOOKUP(C186,Sheet4!F:F,Sheet4!G:G)</f>
        <v>CAM_LV2_28</v>
      </c>
    </row>
    <row r="187" spans="1:5">
      <c r="A187">
        <v>185</v>
      </c>
      <c r="B187" t="str">
        <f t="shared" si="2"/>
        <v>CAM_LV3_185</v>
      </c>
      <c r="C187" t="s">
        <v>1081</v>
      </c>
      <c r="D187" t="s">
        <v>1081</v>
      </c>
      <c r="E187" t="str">
        <f>+_xlfn.XLOOKUP(C187,Sheet4!F:F,Sheet4!G:G)</f>
        <v>CAM_LV2_27</v>
      </c>
    </row>
    <row r="188" spans="1:5">
      <c r="A188">
        <v>186</v>
      </c>
      <c r="B188" t="str">
        <f t="shared" si="2"/>
        <v>CAM_LV3_186</v>
      </c>
      <c r="C188" t="s">
        <v>1082</v>
      </c>
      <c r="D188" t="s">
        <v>1082</v>
      </c>
      <c r="E188" t="str">
        <f>+_xlfn.XLOOKUP(C188,Sheet4!F:F,Sheet4!G:G)</f>
        <v>CAM_LV2_27</v>
      </c>
    </row>
    <row r="189" spans="1:5">
      <c r="A189">
        <v>187</v>
      </c>
      <c r="B189" t="str">
        <f t="shared" si="2"/>
        <v>CAM_LV3_187</v>
      </c>
      <c r="C189" t="s">
        <v>1083</v>
      </c>
      <c r="D189" t="s">
        <v>1083</v>
      </c>
      <c r="E189" t="str">
        <f>+_xlfn.XLOOKUP(C189,Sheet4!F:F,Sheet4!G:G)</f>
        <v>CAM_LV2_26</v>
      </c>
    </row>
    <row r="190" spans="1:5">
      <c r="A190">
        <v>188</v>
      </c>
      <c r="B190" t="str">
        <f t="shared" si="2"/>
        <v>CAM_LV3_188</v>
      </c>
      <c r="C190" t="s">
        <v>1084</v>
      </c>
      <c r="D190" t="s">
        <v>1084</v>
      </c>
      <c r="E190" t="str">
        <f>+_xlfn.XLOOKUP(C190,Sheet4!F:F,Sheet4!G:G)</f>
        <v>CAM_LV2_26</v>
      </c>
    </row>
    <row r="191" spans="1:5">
      <c r="A191">
        <v>189</v>
      </c>
      <c r="B191" t="str">
        <f t="shared" si="2"/>
        <v>CAM_LV3_189</v>
      </c>
      <c r="C191" t="s">
        <v>1085</v>
      </c>
      <c r="D191" t="s">
        <v>1085</v>
      </c>
      <c r="E191" t="str">
        <f>+_xlfn.XLOOKUP(C191,Sheet4!F:F,Sheet4!G:G)</f>
        <v>CAM_LV2_26</v>
      </c>
    </row>
    <row r="192" spans="1:5">
      <c r="A192">
        <v>190</v>
      </c>
      <c r="B192" t="str">
        <f t="shared" si="2"/>
        <v>CAM_LV3_190</v>
      </c>
      <c r="C192" t="s">
        <v>1086</v>
      </c>
      <c r="D192" t="s">
        <v>1086</v>
      </c>
      <c r="E192" t="str">
        <f>+_xlfn.XLOOKUP(C192,Sheet4!F:F,Sheet4!G:G)</f>
        <v>CAM_LV2_27</v>
      </c>
    </row>
    <row r="193" spans="1:5">
      <c r="A193">
        <v>191</v>
      </c>
      <c r="B193" t="str">
        <f t="shared" si="2"/>
        <v>CAM_LV3_191</v>
      </c>
      <c r="C193" t="s">
        <v>1087</v>
      </c>
      <c r="D193" t="s">
        <v>1087</v>
      </c>
      <c r="E193" t="str">
        <f>+_xlfn.XLOOKUP(C193,Sheet4!F:F,Sheet4!G:G)</f>
        <v>CAM_LV2_26</v>
      </c>
    </row>
    <row r="194" spans="1:5">
      <c r="A194">
        <v>192</v>
      </c>
      <c r="B194" t="str">
        <f t="shared" si="2"/>
        <v>CAM_LV3_192</v>
      </c>
      <c r="C194" t="s">
        <v>1088</v>
      </c>
      <c r="D194" t="s">
        <v>1088</v>
      </c>
      <c r="E194" t="str">
        <f>+_xlfn.XLOOKUP(C194,Sheet4!F:F,Sheet4!G:G)</f>
        <v>CAM_LV2_26</v>
      </c>
    </row>
    <row r="195" spans="1:5">
      <c r="A195">
        <v>193</v>
      </c>
      <c r="B195" t="str">
        <f t="shared" si="2"/>
        <v>CAM_LV3_193</v>
      </c>
      <c r="C195" t="s">
        <v>1089</v>
      </c>
      <c r="D195" t="s">
        <v>1089</v>
      </c>
      <c r="E195" t="str">
        <f>+_xlfn.XLOOKUP(C195,Sheet4!F:F,Sheet4!G:G)</f>
        <v>CAM_LV2_26</v>
      </c>
    </row>
    <row r="196" spans="1:5">
      <c r="A196">
        <v>194</v>
      </c>
      <c r="B196" t="str">
        <f t="shared" ref="B196:B259" si="3">_xlfn.CONCAT("CAM_LV3_",A196)</f>
        <v>CAM_LV3_194</v>
      </c>
      <c r="C196" t="s">
        <v>1090</v>
      </c>
      <c r="D196" t="s">
        <v>1090</v>
      </c>
      <c r="E196" t="str">
        <f>+_xlfn.XLOOKUP(C196,Sheet4!F:F,Sheet4!G:G)</f>
        <v>CAM_LV2_27</v>
      </c>
    </row>
    <row r="197" spans="1:5">
      <c r="A197">
        <v>195</v>
      </c>
      <c r="B197" t="str">
        <f t="shared" si="3"/>
        <v>CAM_LV3_195</v>
      </c>
      <c r="C197" t="s">
        <v>1091</v>
      </c>
      <c r="D197" t="s">
        <v>1091</v>
      </c>
      <c r="E197" t="str">
        <f>+_xlfn.XLOOKUP(C197,Sheet4!F:F,Sheet4!G:G)</f>
        <v>CAM_LV2_27</v>
      </c>
    </row>
    <row r="198" spans="1:5">
      <c r="A198">
        <v>196</v>
      </c>
      <c r="B198" t="str">
        <f t="shared" si="3"/>
        <v>CAM_LV3_196</v>
      </c>
      <c r="C198" t="s">
        <v>1092</v>
      </c>
      <c r="D198" t="s">
        <v>1092</v>
      </c>
      <c r="E198" t="str">
        <f>+_xlfn.XLOOKUP(C198,Sheet4!F:F,Sheet4!G:G)</f>
        <v>CAM_LV2_27</v>
      </c>
    </row>
    <row r="199" spans="1:5">
      <c r="A199">
        <v>197</v>
      </c>
      <c r="B199" t="str">
        <f t="shared" si="3"/>
        <v>CAM_LV3_197</v>
      </c>
      <c r="C199" t="s">
        <v>1093</v>
      </c>
      <c r="D199" t="s">
        <v>1093</v>
      </c>
      <c r="E199" t="str">
        <f>+_xlfn.XLOOKUP(C199,Sheet4!F:F,Sheet4!G:G)</f>
        <v>CAM_LV2_27</v>
      </c>
    </row>
    <row r="200" spans="1:5">
      <c r="A200">
        <v>198</v>
      </c>
      <c r="B200" t="str">
        <f t="shared" si="3"/>
        <v>CAM_LV3_198</v>
      </c>
      <c r="C200" t="s">
        <v>1094</v>
      </c>
      <c r="D200" t="s">
        <v>1094</v>
      </c>
      <c r="E200" t="str">
        <f>+_xlfn.XLOOKUP(C200,Sheet4!F:F,Sheet4!G:G)</f>
        <v>CAM_LV2_26</v>
      </c>
    </row>
    <row r="201" spans="1:5">
      <c r="A201">
        <v>199</v>
      </c>
      <c r="B201" t="str">
        <f t="shared" si="3"/>
        <v>CAM_LV3_199</v>
      </c>
      <c r="C201" t="s">
        <v>1096</v>
      </c>
      <c r="D201" t="s">
        <v>1096</v>
      </c>
      <c r="E201" t="str">
        <f>+_xlfn.XLOOKUP(C201,Sheet4!F:F,Sheet4!G:G)</f>
        <v>CAM_LV2_29</v>
      </c>
    </row>
    <row r="202" spans="1:5">
      <c r="A202">
        <v>200</v>
      </c>
      <c r="B202" t="str">
        <f t="shared" si="3"/>
        <v>CAM_LV3_200</v>
      </c>
      <c r="C202" t="s">
        <v>1097</v>
      </c>
      <c r="D202" t="s">
        <v>1097</v>
      </c>
      <c r="E202" t="str">
        <f>+_xlfn.XLOOKUP(C202,Sheet4!F:F,Sheet4!G:G)</f>
        <v>CAM_LV2_26</v>
      </c>
    </row>
    <row r="203" spans="1:5">
      <c r="A203">
        <v>201</v>
      </c>
      <c r="B203" t="str">
        <f t="shared" si="3"/>
        <v>CAM_LV3_201</v>
      </c>
      <c r="C203" t="s">
        <v>1098</v>
      </c>
      <c r="D203" t="s">
        <v>1098</v>
      </c>
      <c r="E203" t="str">
        <f>+_xlfn.XLOOKUP(C203,Sheet4!F:F,Sheet4!G:G)</f>
        <v>CAM_LV2_26</v>
      </c>
    </row>
    <row r="204" spans="1:5">
      <c r="A204">
        <v>202</v>
      </c>
      <c r="B204" t="str">
        <f t="shared" si="3"/>
        <v>CAM_LV3_202</v>
      </c>
      <c r="C204" t="s">
        <v>1099</v>
      </c>
      <c r="D204" t="s">
        <v>1099</v>
      </c>
      <c r="E204" t="str">
        <f>+_xlfn.XLOOKUP(C204,Sheet4!F:F,Sheet4!G:G)</f>
        <v>CAM_LV2_26</v>
      </c>
    </row>
    <row r="205" spans="1:5">
      <c r="A205">
        <v>203</v>
      </c>
      <c r="B205" t="str">
        <f t="shared" si="3"/>
        <v>CAM_LV3_203</v>
      </c>
      <c r="C205" t="s">
        <v>1100</v>
      </c>
      <c r="D205" t="s">
        <v>1100</v>
      </c>
      <c r="E205" t="str">
        <f>+_xlfn.XLOOKUP(C205,Sheet4!F:F,Sheet4!G:G)</f>
        <v>CAM_LV2_29</v>
      </c>
    </row>
    <row r="206" spans="1:5">
      <c r="A206">
        <v>204</v>
      </c>
      <c r="B206" t="str">
        <f t="shared" si="3"/>
        <v>CAM_LV3_204</v>
      </c>
      <c r="C206" t="s">
        <v>1101</v>
      </c>
      <c r="D206" t="s">
        <v>1101</v>
      </c>
      <c r="E206" t="str">
        <f>+_xlfn.XLOOKUP(C206,Sheet4!F:F,Sheet4!G:G)</f>
        <v>CAM_LV2_27</v>
      </c>
    </row>
    <row r="207" spans="1:5">
      <c r="A207">
        <v>205</v>
      </c>
      <c r="B207" t="str">
        <f t="shared" si="3"/>
        <v>CAM_LV3_205</v>
      </c>
      <c r="C207" t="s">
        <v>1102</v>
      </c>
      <c r="D207" t="s">
        <v>1102</v>
      </c>
      <c r="E207" t="str">
        <f>+_xlfn.XLOOKUP(C207,Sheet4!F:F,Sheet4!G:G)</f>
        <v>CAM_LV2_27</v>
      </c>
    </row>
    <row r="208" spans="1:5">
      <c r="A208">
        <v>206</v>
      </c>
      <c r="B208" t="str">
        <f t="shared" si="3"/>
        <v>CAM_LV3_206</v>
      </c>
      <c r="C208" t="s">
        <v>1103</v>
      </c>
      <c r="D208" t="s">
        <v>1103</v>
      </c>
      <c r="E208" t="str">
        <f>+_xlfn.XLOOKUP(C208,Sheet4!F:F,Sheet4!G:G)</f>
        <v>CAM_LV2_29</v>
      </c>
    </row>
    <row r="209" spans="1:5">
      <c r="A209">
        <v>207</v>
      </c>
      <c r="B209" t="str">
        <f t="shared" si="3"/>
        <v>CAM_LV3_207</v>
      </c>
      <c r="C209" t="s">
        <v>1104</v>
      </c>
      <c r="D209" t="s">
        <v>1104</v>
      </c>
      <c r="E209" t="str">
        <f>+_xlfn.XLOOKUP(C209,Sheet4!F:F,Sheet4!G:G)</f>
        <v>CAM_LV2_29</v>
      </c>
    </row>
    <row r="210" spans="1:5">
      <c r="A210">
        <v>208</v>
      </c>
      <c r="B210" t="str">
        <f t="shared" si="3"/>
        <v>CAM_LV3_208</v>
      </c>
      <c r="C210" t="s">
        <v>1106</v>
      </c>
      <c r="D210" t="s">
        <v>1106</v>
      </c>
      <c r="E210" t="str">
        <f>+_xlfn.XLOOKUP(C210,Sheet4!F:F,Sheet4!G:G)</f>
        <v>CAM_LV2_30</v>
      </c>
    </row>
    <row r="211" spans="1:5">
      <c r="A211">
        <v>209</v>
      </c>
      <c r="B211" t="str">
        <f t="shared" si="3"/>
        <v>CAM_LV3_209</v>
      </c>
      <c r="C211" t="s">
        <v>1108</v>
      </c>
      <c r="D211" t="s">
        <v>1108</v>
      </c>
      <c r="E211" t="str">
        <f>+_xlfn.XLOOKUP(C211,Sheet4!F:F,Sheet4!G:G)</f>
        <v>CAM_LV2_31</v>
      </c>
    </row>
    <row r="212" spans="1:5">
      <c r="A212">
        <v>210</v>
      </c>
      <c r="B212" t="str">
        <f t="shared" si="3"/>
        <v>CAM_LV3_210</v>
      </c>
      <c r="C212" t="s">
        <v>1109</v>
      </c>
      <c r="D212" t="s">
        <v>1109</v>
      </c>
      <c r="E212" t="str">
        <f>+_xlfn.XLOOKUP(C212,Sheet4!F:F,Sheet4!G:G)</f>
        <v>CAM_LV2_30</v>
      </c>
    </row>
    <row r="213" spans="1:5">
      <c r="A213">
        <v>211</v>
      </c>
      <c r="B213" t="str">
        <f t="shared" si="3"/>
        <v>CAM_LV3_211</v>
      </c>
      <c r="C213" t="s">
        <v>1110</v>
      </c>
      <c r="D213" t="s">
        <v>1110</v>
      </c>
      <c r="E213" t="str">
        <f>+_xlfn.XLOOKUP(C213,Sheet4!F:F,Sheet4!G:G)</f>
        <v>CAM_LV2_30</v>
      </c>
    </row>
    <row r="214" spans="1:5">
      <c r="A214">
        <v>212</v>
      </c>
      <c r="B214" t="str">
        <f t="shared" si="3"/>
        <v>CAM_LV3_212</v>
      </c>
      <c r="C214" t="s">
        <v>1111</v>
      </c>
      <c r="D214" t="s">
        <v>1111</v>
      </c>
      <c r="E214" t="str">
        <f>+_xlfn.XLOOKUP(C214,Sheet4!F:F,Sheet4!G:G)</f>
        <v>CAM_LV2_30</v>
      </c>
    </row>
    <row r="215" spans="1:5">
      <c r="A215">
        <v>213</v>
      </c>
      <c r="B215" t="str">
        <f t="shared" si="3"/>
        <v>CAM_LV3_213</v>
      </c>
      <c r="C215" t="s">
        <v>1113</v>
      </c>
      <c r="D215" t="s">
        <v>1113</v>
      </c>
      <c r="E215" t="str">
        <f>+_xlfn.XLOOKUP(C215,Sheet4!F:F,Sheet4!G:G)</f>
        <v>CAM_LV2_32</v>
      </c>
    </row>
    <row r="216" spans="1:5">
      <c r="A216">
        <v>214</v>
      </c>
      <c r="B216" t="str">
        <f t="shared" si="3"/>
        <v>CAM_LV3_214</v>
      </c>
      <c r="C216" t="s">
        <v>1114</v>
      </c>
      <c r="D216" t="s">
        <v>1114</v>
      </c>
      <c r="E216" t="str">
        <f>+_xlfn.XLOOKUP(C216,Sheet4!F:F,Sheet4!G:G)</f>
        <v>CAM_LV2_30</v>
      </c>
    </row>
    <row r="217" spans="1:5">
      <c r="A217">
        <v>215</v>
      </c>
      <c r="B217" t="str">
        <f t="shared" si="3"/>
        <v>CAM_LV3_215</v>
      </c>
      <c r="C217" t="s">
        <v>1115</v>
      </c>
      <c r="D217" t="s">
        <v>1115</v>
      </c>
      <c r="E217" t="str">
        <f>+_xlfn.XLOOKUP(C217,Sheet4!F:F,Sheet4!G:G)</f>
        <v>CAM_LV2_30</v>
      </c>
    </row>
    <row r="218" spans="1:5">
      <c r="A218">
        <v>216</v>
      </c>
      <c r="B218" t="str">
        <f t="shared" si="3"/>
        <v>CAM_LV3_216</v>
      </c>
      <c r="C218" t="s">
        <v>1116</v>
      </c>
      <c r="D218" t="s">
        <v>1116</v>
      </c>
      <c r="E218" t="str">
        <f>+_xlfn.XLOOKUP(C218,Sheet4!F:F,Sheet4!G:G)</f>
        <v>CAM_LV2_30</v>
      </c>
    </row>
    <row r="219" spans="1:5">
      <c r="A219">
        <v>217</v>
      </c>
      <c r="B219" t="str">
        <f t="shared" si="3"/>
        <v>CAM_LV3_217</v>
      </c>
      <c r="C219" t="s">
        <v>1117</v>
      </c>
      <c r="D219" t="s">
        <v>1117</v>
      </c>
      <c r="E219" t="str">
        <f>+_xlfn.XLOOKUP(C219,Sheet4!F:F,Sheet4!G:G)</f>
        <v>CAM_LV2_32</v>
      </c>
    </row>
    <row r="220" spans="1:5">
      <c r="A220">
        <v>218</v>
      </c>
      <c r="B220" t="str">
        <f t="shared" si="3"/>
        <v>CAM_LV3_218</v>
      </c>
      <c r="C220" t="s">
        <v>1118</v>
      </c>
      <c r="D220" t="s">
        <v>1118</v>
      </c>
      <c r="E220" t="str">
        <f>+_xlfn.XLOOKUP(C220,Sheet4!F:F,Sheet4!G:G)</f>
        <v>CAM_LV2_30</v>
      </c>
    </row>
    <row r="221" spans="1:5">
      <c r="A221">
        <v>219</v>
      </c>
      <c r="B221" t="str">
        <f t="shared" si="3"/>
        <v>CAM_LV3_219</v>
      </c>
      <c r="C221" t="s">
        <v>1120</v>
      </c>
      <c r="D221" t="s">
        <v>1120</v>
      </c>
      <c r="E221" t="str">
        <f>+_xlfn.XLOOKUP(C221,Sheet4!F:F,Sheet4!G:G)</f>
        <v>CAM_LV2_33</v>
      </c>
    </row>
    <row r="222" spans="1:5">
      <c r="A222">
        <v>220</v>
      </c>
      <c r="B222" t="str">
        <f t="shared" si="3"/>
        <v>CAM_LV3_220</v>
      </c>
      <c r="C222" t="s">
        <v>1121</v>
      </c>
      <c r="D222" t="s">
        <v>1121</v>
      </c>
      <c r="E222" t="str">
        <f>+_xlfn.XLOOKUP(C222,Sheet4!F:F,Sheet4!G:G)</f>
        <v>CAM_LV2_30</v>
      </c>
    </row>
    <row r="223" spans="1:5">
      <c r="A223">
        <v>221</v>
      </c>
      <c r="B223" t="str">
        <f t="shared" si="3"/>
        <v>CAM_LV3_221</v>
      </c>
      <c r="C223" t="s">
        <v>1122</v>
      </c>
      <c r="D223" t="s">
        <v>1122</v>
      </c>
      <c r="E223" t="str">
        <f>+_xlfn.XLOOKUP(C223,Sheet4!F:F,Sheet4!G:G)</f>
        <v>CAM_LV2_32</v>
      </c>
    </row>
    <row r="224" spans="1:5">
      <c r="A224">
        <v>222</v>
      </c>
      <c r="B224" t="str">
        <f t="shared" si="3"/>
        <v>CAM_LV3_222</v>
      </c>
      <c r="C224" t="s">
        <v>1123</v>
      </c>
      <c r="D224" t="s">
        <v>1123</v>
      </c>
      <c r="E224" t="str">
        <f>+_xlfn.XLOOKUP(C224,Sheet4!F:F,Sheet4!G:G)</f>
        <v>CAM_LV2_30</v>
      </c>
    </row>
    <row r="225" spans="1:5">
      <c r="A225">
        <v>223</v>
      </c>
      <c r="B225" t="str">
        <f t="shared" si="3"/>
        <v>CAM_LV3_223</v>
      </c>
      <c r="C225" t="s">
        <v>1124</v>
      </c>
      <c r="D225" t="s">
        <v>1124</v>
      </c>
      <c r="E225" t="str">
        <f>+_xlfn.XLOOKUP(C225,Sheet4!F:F,Sheet4!G:G)</f>
        <v>CAM_LV2_31</v>
      </c>
    </row>
    <row r="226" spans="1:5">
      <c r="A226">
        <v>224</v>
      </c>
      <c r="B226" t="str">
        <f t="shared" si="3"/>
        <v>CAM_LV3_224</v>
      </c>
      <c r="C226" t="s">
        <v>1125</v>
      </c>
      <c r="D226" t="s">
        <v>1125</v>
      </c>
      <c r="E226" t="str">
        <f>+_xlfn.XLOOKUP(C226,Sheet4!F:F,Sheet4!G:G)</f>
        <v>CAM_LV2_33</v>
      </c>
    </row>
    <row r="227" spans="1:5">
      <c r="A227">
        <v>225</v>
      </c>
      <c r="B227" t="str">
        <f t="shared" si="3"/>
        <v>CAM_LV3_225</v>
      </c>
      <c r="C227" t="s">
        <v>1126</v>
      </c>
      <c r="D227" t="s">
        <v>1126</v>
      </c>
      <c r="E227" t="str">
        <f>+_xlfn.XLOOKUP(C227,Sheet4!F:F,Sheet4!G:G)</f>
        <v>CAM_LV2_30</v>
      </c>
    </row>
    <row r="228" spans="1:5">
      <c r="A228">
        <v>226</v>
      </c>
      <c r="B228" t="str">
        <f t="shared" si="3"/>
        <v>CAM_LV3_226</v>
      </c>
      <c r="C228" t="s">
        <v>1127</v>
      </c>
      <c r="D228" t="s">
        <v>1127</v>
      </c>
      <c r="E228" t="str">
        <f>+_xlfn.XLOOKUP(C228,Sheet4!F:F,Sheet4!G:G)</f>
        <v>CAM_LV2_33</v>
      </c>
    </row>
    <row r="229" spans="1:5">
      <c r="A229">
        <v>227</v>
      </c>
      <c r="B229" t="str">
        <f t="shared" si="3"/>
        <v>CAM_LV3_227</v>
      </c>
      <c r="C229" t="s">
        <v>1128</v>
      </c>
      <c r="D229" t="s">
        <v>1128</v>
      </c>
      <c r="E229" t="str">
        <f>+_xlfn.XLOOKUP(C229,Sheet4!F:F,Sheet4!G:G)</f>
        <v>CAM_LV2_33</v>
      </c>
    </row>
    <row r="230" spans="1:5">
      <c r="A230">
        <v>228</v>
      </c>
      <c r="B230" t="str">
        <f t="shared" si="3"/>
        <v>CAM_LV3_228</v>
      </c>
      <c r="C230" t="s">
        <v>1129</v>
      </c>
      <c r="D230" t="s">
        <v>1129</v>
      </c>
      <c r="E230" t="str">
        <f>+_xlfn.XLOOKUP(C230,Sheet4!F:F,Sheet4!G:G)</f>
        <v>CAM_LV2_30</v>
      </c>
    </row>
    <row r="231" spans="1:5">
      <c r="A231">
        <v>229</v>
      </c>
      <c r="B231" t="str">
        <f t="shared" si="3"/>
        <v>CAM_LV3_229</v>
      </c>
      <c r="C231" t="s">
        <v>1131</v>
      </c>
      <c r="D231" t="s">
        <v>1131</v>
      </c>
      <c r="E231" t="str">
        <f>+_xlfn.XLOOKUP(C231,Sheet4!F:F,Sheet4!G:G)</f>
        <v>CAM_LV2_34</v>
      </c>
    </row>
    <row r="232" spans="1:5">
      <c r="A232">
        <v>230</v>
      </c>
      <c r="B232" t="str">
        <f t="shared" si="3"/>
        <v>CAM_LV3_230</v>
      </c>
      <c r="C232" t="s">
        <v>1133</v>
      </c>
      <c r="D232" t="s">
        <v>1133</v>
      </c>
      <c r="E232" t="str">
        <f>+_xlfn.XLOOKUP(C232,Sheet4!F:F,Sheet4!G:G)</f>
        <v>CAM_LV2_35</v>
      </c>
    </row>
    <row r="233" spans="1:5">
      <c r="A233">
        <v>231</v>
      </c>
      <c r="B233" t="str">
        <f t="shared" si="3"/>
        <v>CAM_LV3_231</v>
      </c>
      <c r="C233" t="s">
        <v>1135</v>
      </c>
      <c r="D233" t="s">
        <v>1135</v>
      </c>
      <c r="E233" t="str">
        <f>+_xlfn.XLOOKUP(C233,Sheet4!F:F,Sheet4!G:G)</f>
        <v>CAM_LV2_36</v>
      </c>
    </row>
    <row r="234" spans="1:5">
      <c r="A234">
        <v>232</v>
      </c>
      <c r="B234" t="str">
        <f t="shared" si="3"/>
        <v>CAM_LV3_232</v>
      </c>
      <c r="C234" t="s">
        <v>1137</v>
      </c>
      <c r="D234" t="s">
        <v>1137</v>
      </c>
      <c r="E234" t="str">
        <f>+_xlfn.XLOOKUP(C234,Sheet4!F:F,Sheet4!G:G)</f>
        <v>CAM_LV2_37</v>
      </c>
    </row>
    <row r="235" spans="1:5">
      <c r="A235">
        <v>233</v>
      </c>
      <c r="B235" t="str">
        <f t="shared" si="3"/>
        <v>CAM_LV3_233</v>
      </c>
      <c r="C235" t="s">
        <v>1138</v>
      </c>
      <c r="D235" t="s">
        <v>1138</v>
      </c>
      <c r="E235" t="str">
        <f>+_xlfn.XLOOKUP(C235,Sheet4!F:F,Sheet4!G:G)</f>
        <v>CAM_LV2_37</v>
      </c>
    </row>
    <row r="236" spans="1:5">
      <c r="A236">
        <v>234</v>
      </c>
      <c r="B236" t="str">
        <f t="shared" si="3"/>
        <v>CAM_LV3_234</v>
      </c>
      <c r="C236" t="s">
        <v>1139</v>
      </c>
      <c r="D236" t="s">
        <v>1139</v>
      </c>
      <c r="E236" t="str">
        <f>+_xlfn.XLOOKUP(C236,Sheet4!F:F,Sheet4!G:G)</f>
        <v>CAM_LV2_36</v>
      </c>
    </row>
    <row r="237" spans="1:5">
      <c r="A237">
        <v>235</v>
      </c>
      <c r="B237" t="str">
        <f t="shared" si="3"/>
        <v>CAM_LV3_235</v>
      </c>
      <c r="C237" t="s">
        <v>1140</v>
      </c>
      <c r="D237" t="s">
        <v>1140</v>
      </c>
      <c r="E237" t="str">
        <f>+_xlfn.XLOOKUP(C237,Sheet4!F:F,Sheet4!G:G)</f>
        <v>CAM_LV2_37</v>
      </c>
    </row>
    <row r="238" spans="1:5">
      <c r="A238">
        <v>236</v>
      </c>
      <c r="B238" t="str">
        <f t="shared" si="3"/>
        <v>CAM_LV3_236</v>
      </c>
      <c r="C238" t="s">
        <v>1141</v>
      </c>
      <c r="D238" t="s">
        <v>1141</v>
      </c>
      <c r="E238" t="str">
        <f>+_xlfn.XLOOKUP(C238,Sheet4!F:F,Sheet4!G:G)</f>
        <v>CAM_LV2_37</v>
      </c>
    </row>
    <row r="239" spans="1:5">
      <c r="A239">
        <v>237</v>
      </c>
      <c r="B239" t="str">
        <f t="shared" si="3"/>
        <v>CAM_LV3_237</v>
      </c>
      <c r="C239" t="s">
        <v>1142</v>
      </c>
      <c r="D239" t="s">
        <v>1142</v>
      </c>
      <c r="E239" t="str">
        <f>+_xlfn.XLOOKUP(C239,Sheet4!F:F,Sheet4!G:G)</f>
        <v>CAM_LV2_37</v>
      </c>
    </row>
    <row r="240" spans="1:5">
      <c r="A240">
        <v>238</v>
      </c>
      <c r="B240" t="str">
        <f t="shared" si="3"/>
        <v>CAM_LV3_238</v>
      </c>
      <c r="C240" t="s">
        <v>1143</v>
      </c>
      <c r="D240" t="s">
        <v>1143</v>
      </c>
      <c r="E240" t="str">
        <f>+_xlfn.XLOOKUP(C240,Sheet4!F:F,Sheet4!G:G)</f>
        <v>CAM_LV2_34</v>
      </c>
    </row>
    <row r="241" spans="1:5">
      <c r="A241">
        <v>239</v>
      </c>
      <c r="B241" t="str">
        <f t="shared" si="3"/>
        <v>CAM_LV3_239</v>
      </c>
      <c r="C241" t="s">
        <v>1144</v>
      </c>
      <c r="D241" t="s">
        <v>1144</v>
      </c>
      <c r="E241" t="str">
        <f>+_xlfn.XLOOKUP(C241,Sheet4!F:F,Sheet4!G:G)</f>
        <v>CAM_LV2_34</v>
      </c>
    </row>
    <row r="242" spans="1:5">
      <c r="A242">
        <v>240</v>
      </c>
      <c r="B242" t="str">
        <f t="shared" si="3"/>
        <v>CAM_LV3_240</v>
      </c>
      <c r="C242" t="s">
        <v>1146</v>
      </c>
      <c r="D242" t="s">
        <v>1146</v>
      </c>
      <c r="E242" t="str">
        <f>+_xlfn.XLOOKUP(C242,Sheet4!F:F,Sheet4!G:G)</f>
        <v>CAM_LV2_38</v>
      </c>
    </row>
    <row r="243" spans="1:5">
      <c r="A243">
        <v>241</v>
      </c>
      <c r="B243" t="str">
        <f t="shared" si="3"/>
        <v>CAM_LV3_241</v>
      </c>
      <c r="C243" t="s">
        <v>1147</v>
      </c>
      <c r="D243" t="s">
        <v>1147</v>
      </c>
      <c r="E243" t="str">
        <f>+_xlfn.XLOOKUP(C243,Sheet4!F:F,Sheet4!G:G)</f>
        <v>CAM_LV2_38</v>
      </c>
    </row>
    <row r="244" spans="1:5">
      <c r="A244">
        <v>242</v>
      </c>
      <c r="B244" t="str">
        <f t="shared" si="3"/>
        <v>CAM_LV3_242</v>
      </c>
      <c r="C244" t="s">
        <v>1148</v>
      </c>
      <c r="D244" t="s">
        <v>1148</v>
      </c>
      <c r="E244" t="str">
        <f>+_xlfn.XLOOKUP(C244,Sheet4!F:F,Sheet4!G:G)</f>
        <v>CAM_LV2_38</v>
      </c>
    </row>
    <row r="245" spans="1:5">
      <c r="A245">
        <v>243</v>
      </c>
      <c r="B245" t="str">
        <f t="shared" si="3"/>
        <v>CAM_LV3_243</v>
      </c>
      <c r="C245" t="s">
        <v>1150</v>
      </c>
      <c r="D245" t="s">
        <v>1150</v>
      </c>
      <c r="E245" t="str">
        <f>+_xlfn.XLOOKUP(C245,Sheet4!F:F,Sheet4!G:G)</f>
        <v>CAM_LV2_39</v>
      </c>
    </row>
    <row r="246" spans="1:5">
      <c r="A246">
        <v>244</v>
      </c>
      <c r="B246" t="str">
        <f t="shared" si="3"/>
        <v>CAM_LV3_244</v>
      </c>
      <c r="C246" t="s">
        <v>1151</v>
      </c>
      <c r="D246" t="s">
        <v>1151</v>
      </c>
      <c r="E246" t="str">
        <f>+_xlfn.XLOOKUP(C246,Sheet4!F:F,Sheet4!G:G)</f>
        <v>CAM_LV2_39</v>
      </c>
    </row>
    <row r="247" spans="1:5">
      <c r="A247">
        <v>245</v>
      </c>
      <c r="B247" t="str">
        <f t="shared" si="3"/>
        <v>CAM_LV3_245</v>
      </c>
      <c r="C247" t="s">
        <v>1153</v>
      </c>
      <c r="D247" t="s">
        <v>1153</v>
      </c>
      <c r="E247" t="str">
        <f>+_xlfn.XLOOKUP(C247,Sheet4!F:F,Sheet4!G:G)</f>
        <v>CAM_LV2_40</v>
      </c>
    </row>
    <row r="248" spans="1:5">
      <c r="A248">
        <v>246</v>
      </c>
      <c r="B248" t="str">
        <f t="shared" si="3"/>
        <v>CAM_LV3_246</v>
      </c>
      <c r="C248" t="s">
        <v>1154</v>
      </c>
      <c r="D248" t="s">
        <v>1154</v>
      </c>
      <c r="E248" t="str">
        <f>+_xlfn.XLOOKUP(C248,Sheet4!F:F,Sheet4!G:G)</f>
        <v>CAM_LV2_40</v>
      </c>
    </row>
    <row r="249" spans="1:5">
      <c r="A249">
        <v>247</v>
      </c>
      <c r="B249" t="str">
        <f t="shared" si="3"/>
        <v>CAM_LV3_247</v>
      </c>
      <c r="C249" t="s">
        <v>1155</v>
      </c>
      <c r="D249" t="s">
        <v>1155</v>
      </c>
      <c r="E249" t="str">
        <f>+_xlfn.XLOOKUP(C249,Sheet4!F:F,Sheet4!G:G)</f>
        <v>CAM_LV2_34</v>
      </c>
    </row>
    <row r="250" spans="1:5">
      <c r="A250">
        <v>248</v>
      </c>
      <c r="B250" t="str">
        <f t="shared" si="3"/>
        <v>CAM_LV3_248</v>
      </c>
      <c r="C250" t="s">
        <v>1156</v>
      </c>
      <c r="D250" t="s">
        <v>1156</v>
      </c>
      <c r="E250" t="str">
        <f>+_xlfn.XLOOKUP(C250,Sheet4!F:F,Sheet4!G:G)</f>
        <v>CAM_LV2_40</v>
      </c>
    </row>
    <row r="251" spans="1:5">
      <c r="A251">
        <v>249</v>
      </c>
      <c r="B251" t="str">
        <f t="shared" si="3"/>
        <v>CAM_LV3_249</v>
      </c>
      <c r="C251" t="s">
        <v>1157</v>
      </c>
      <c r="D251" t="s">
        <v>1157</v>
      </c>
      <c r="E251" t="str">
        <f>+_xlfn.XLOOKUP(C251,Sheet4!F:F,Sheet4!G:G)</f>
        <v>CAM_LV2_39</v>
      </c>
    </row>
    <row r="252" spans="1:5">
      <c r="A252">
        <v>250</v>
      </c>
      <c r="B252" t="str">
        <f t="shared" si="3"/>
        <v>CAM_LV3_250</v>
      </c>
      <c r="C252" t="s">
        <v>1158</v>
      </c>
      <c r="D252" t="s">
        <v>1158</v>
      </c>
      <c r="E252" t="str">
        <f>+_xlfn.XLOOKUP(C252,Sheet4!F:F,Sheet4!G:G)</f>
        <v>CAM_LV2_35</v>
      </c>
    </row>
    <row r="253" spans="1:5">
      <c r="A253">
        <v>251</v>
      </c>
      <c r="B253" t="str">
        <f t="shared" si="3"/>
        <v>CAM_LV3_251</v>
      </c>
      <c r="C253" t="s">
        <v>1159</v>
      </c>
      <c r="D253" t="s">
        <v>1159</v>
      </c>
      <c r="E253" t="str">
        <f>+_xlfn.XLOOKUP(C253,Sheet4!F:F,Sheet4!G:G)</f>
        <v>CAM_LV2_36</v>
      </c>
    </row>
    <row r="254" spans="1:5">
      <c r="A254">
        <v>252</v>
      </c>
      <c r="B254" t="str">
        <f t="shared" si="3"/>
        <v>CAM_LV3_252</v>
      </c>
      <c r="C254" t="s">
        <v>1160</v>
      </c>
      <c r="D254" t="s">
        <v>1160</v>
      </c>
      <c r="E254" t="str">
        <f>+_xlfn.XLOOKUP(C254,Sheet4!F:F,Sheet4!G:G)</f>
        <v>CAM_LV2_35</v>
      </c>
    </row>
    <row r="255" spans="1:5">
      <c r="A255">
        <v>253</v>
      </c>
      <c r="B255" t="str">
        <f t="shared" si="3"/>
        <v>CAM_LV3_253</v>
      </c>
      <c r="C255" t="s">
        <v>1161</v>
      </c>
      <c r="D255" t="s">
        <v>1161</v>
      </c>
      <c r="E255" t="str">
        <f>+_xlfn.XLOOKUP(C255,Sheet4!F:F,Sheet4!G:G)</f>
        <v>CAM_LV2_34</v>
      </c>
    </row>
    <row r="256" spans="1:5">
      <c r="A256">
        <v>254</v>
      </c>
      <c r="B256" t="str">
        <f t="shared" si="3"/>
        <v>CAM_LV3_254</v>
      </c>
      <c r="C256" t="s">
        <v>1162</v>
      </c>
      <c r="D256" t="s">
        <v>1162</v>
      </c>
      <c r="E256" t="str">
        <f>+_xlfn.XLOOKUP(C256,Sheet4!F:F,Sheet4!G:G)</f>
        <v>CAM_LV2_38</v>
      </c>
    </row>
    <row r="257" spans="1:5">
      <c r="A257">
        <v>255</v>
      </c>
      <c r="B257" t="str">
        <f t="shared" si="3"/>
        <v>CAM_LV3_255</v>
      </c>
      <c r="C257" t="s">
        <v>1163</v>
      </c>
      <c r="D257" t="s">
        <v>1163</v>
      </c>
      <c r="E257" t="str">
        <f>+_xlfn.XLOOKUP(C257,Sheet4!F:F,Sheet4!G:G)</f>
        <v>CAM_LV2_35</v>
      </c>
    </row>
    <row r="258" spans="1:5">
      <c r="A258">
        <v>256</v>
      </c>
      <c r="B258" t="str">
        <f t="shared" si="3"/>
        <v>CAM_LV3_256</v>
      </c>
      <c r="C258" t="s">
        <v>1164</v>
      </c>
      <c r="D258" t="s">
        <v>1164</v>
      </c>
      <c r="E258" t="str">
        <f>+_xlfn.XLOOKUP(C258,Sheet4!F:F,Sheet4!G:G)</f>
        <v>CAM_LV2_40</v>
      </c>
    </row>
    <row r="259" spans="1:5">
      <c r="A259">
        <v>257</v>
      </c>
      <c r="B259" t="str">
        <f t="shared" si="3"/>
        <v>CAM_LV3_257</v>
      </c>
      <c r="C259" t="s">
        <v>1165</v>
      </c>
      <c r="D259" t="s">
        <v>1165</v>
      </c>
      <c r="E259" t="str">
        <f>+_xlfn.XLOOKUP(C259,Sheet4!F:F,Sheet4!G:G)</f>
        <v>CAM_LV2_40</v>
      </c>
    </row>
    <row r="260" spans="1:5">
      <c r="A260">
        <v>258</v>
      </c>
      <c r="B260" t="str">
        <f t="shared" ref="B260:B323" si="4">_xlfn.CONCAT("CAM_LV3_",A260)</f>
        <v>CAM_LV3_258</v>
      </c>
      <c r="C260" t="s">
        <v>1166</v>
      </c>
      <c r="D260" t="s">
        <v>1166</v>
      </c>
      <c r="E260" t="str">
        <f>+_xlfn.XLOOKUP(C260,Sheet4!F:F,Sheet4!G:G)</f>
        <v>CAM_LV2_35</v>
      </c>
    </row>
    <row r="261" spans="1:5">
      <c r="A261">
        <v>259</v>
      </c>
      <c r="B261" t="str">
        <f t="shared" si="4"/>
        <v>CAM_LV3_259</v>
      </c>
      <c r="C261" t="s">
        <v>1167</v>
      </c>
      <c r="D261" t="s">
        <v>1167</v>
      </c>
      <c r="E261" t="str">
        <f>+_xlfn.XLOOKUP(C261,Sheet4!F:F,Sheet4!G:G)</f>
        <v>CAM_LV2_40</v>
      </c>
    </row>
    <row r="262" spans="1:5">
      <c r="A262">
        <v>260</v>
      </c>
      <c r="B262" t="str">
        <f t="shared" si="4"/>
        <v>CAM_LV3_260</v>
      </c>
      <c r="C262" t="s">
        <v>1168</v>
      </c>
      <c r="D262" t="s">
        <v>1168</v>
      </c>
      <c r="E262" t="str">
        <f>+_xlfn.XLOOKUP(C262,Sheet4!F:F,Sheet4!G:G)</f>
        <v>CAM_LV2_37</v>
      </c>
    </row>
    <row r="263" spans="1:5">
      <c r="A263">
        <v>261</v>
      </c>
      <c r="B263" t="str">
        <f t="shared" si="4"/>
        <v>CAM_LV3_261</v>
      </c>
      <c r="C263" t="s">
        <v>1169</v>
      </c>
      <c r="D263" t="s">
        <v>1169</v>
      </c>
      <c r="E263" t="str">
        <f>+_xlfn.XLOOKUP(C263,Sheet4!F:F,Sheet4!G:G)</f>
        <v>CAM_LV2_37</v>
      </c>
    </row>
    <row r="264" spans="1:5">
      <c r="A264">
        <v>262</v>
      </c>
      <c r="B264" t="str">
        <f t="shared" si="4"/>
        <v>CAM_LV3_262</v>
      </c>
      <c r="C264" t="s">
        <v>1170</v>
      </c>
      <c r="D264" t="s">
        <v>1170</v>
      </c>
      <c r="E264" t="str">
        <f>+_xlfn.XLOOKUP(C264,Sheet4!F:F,Sheet4!G:G)</f>
        <v>CAM_LV2_34</v>
      </c>
    </row>
    <row r="265" spans="1:5">
      <c r="A265">
        <v>263</v>
      </c>
      <c r="B265" t="str">
        <f t="shared" si="4"/>
        <v>CAM_LV3_263</v>
      </c>
      <c r="C265" t="s">
        <v>1171</v>
      </c>
      <c r="D265" t="s">
        <v>1171</v>
      </c>
      <c r="E265" t="str">
        <f>+_xlfn.XLOOKUP(C265,Sheet4!F:F,Sheet4!G:G)</f>
        <v>CAM_LV2_39</v>
      </c>
    </row>
    <row r="266" spans="1:5">
      <c r="A266">
        <v>264</v>
      </c>
      <c r="B266" t="str">
        <f t="shared" si="4"/>
        <v>CAM_LV3_264</v>
      </c>
      <c r="C266" t="s">
        <v>1173</v>
      </c>
      <c r="D266" t="s">
        <v>1173</v>
      </c>
      <c r="E266" t="str">
        <f>+_xlfn.XLOOKUP(C266,Sheet4!F:F,Sheet4!G:G)</f>
        <v>CAM_LV2_41</v>
      </c>
    </row>
    <row r="267" spans="1:5">
      <c r="A267">
        <v>265</v>
      </c>
      <c r="B267" t="str">
        <f t="shared" si="4"/>
        <v>CAM_LV3_265</v>
      </c>
      <c r="C267" t="s">
        <v>1175</v>
      </c>
      <c r="D267" t="s">
        <v>1175</v>
      </c>
      <c r="E267" t="str">
        <f>+_xlfn.XLOOKUP(C267,Sheet4!F:F,Sheet4!G:G)</f>
        <v>CAM_LV2_42</v>
      </c>
    </row>
    <row r="268" spans="1:5">
      <c r="A268">
        <v>266</v>
      </c>
      <c r="B268" t="str">
        <f t="shared" si="4"/>
        <v>CAM_LV3_266</v>
      </c>
      <c r="C268" t="s">
        <v>1177</v>
      </c>
      <c r="D268" t="s">
        <v>1177</v>
      </c>
      <c r="E268" t="str">
        <f>+_xlfn.XLOOKUP(C268,Sheet4!F:F,Sheet4!G:G)</f>
        <v>CAM_LV2_43</v>
      </c>
    </row>
    <row r="269" spans="1:5">
      <c r="A269">
        <v>267</v>
      </c>
      <c r="B269" t="str">
        <f t="shared" si="4"/>
        <v>CAM_LV3_267</v>
      </c>
      <c r="C269" t="s">
        <v>1178</v>
      </c>
      <c r="D269" t="s">
        <v>1178</v>
      </c>
      <c r="E269" t="str">
        <f>+_xlfn.XLOOKUP(C269,Sheet4!F:F,Sheet4!G:G)</f>
        <v>CAM_LV2_43</v>
      </c>
    </row>
    <row r="270" spans="1:5">
      <c r="A270">
        <v>268</v>
      </c>
      <c r="B270" t="str">
        <f t="shared" si="4"/>
        <v>CAM_LV3_268</v>
      </c>
      <c r="C270" t="s">
        <v>1179</v>
      </c>
      <c r="D270" t="s">
        <v>1179</v>
      </c>
      <c r="E270" t="str">
        <f>+_xlfn.XLOOKUP(C270,Sheet4!F:F,Sheet4!G:G)</f>
        <v>CAM_LV2_43</v>
      </c>
    </row>
    <row r="271" spans="1:5">
      <c r="A271">
        <v>269</v>
      </c>
      <c r="B271" t="str">
        <f t="shared" si="4"/>
        <v>CAM_LV3_269</v>
      </c>
      <c r="C271" t="s">
        <v>1181</v>
      </c>
      <c r="D271" t="s">
        <v>1181</v>
      </c>
      <c r="E271" t="str">
        <f>+_xlfn.XLOOKUP(C271,Sheet4!F:F,Sheet4!G:G)</f>
        <v>CAM_LV2_44</v>
      </c>
    </row>
    <row r="272" spans="1:5">
      <c r="A272">
        <v>270</v>
      </c>
      <c r="B272" t="str">
        <f t="shared" si="4"/>
        <v>CAM_LV3_270</v>
      </c>
      <c r="C272" t="s">
        <v>1182</v>
      </c>
      <c r="D272" t="s">
        <v>1182</v>
      </c>
      <c r="E272" t="str">
        <f>+_xlfn.XLOOKUP(C272,Sheet4!F:F,Sheet4!G:G)</f>
        <v>CAM_LV2_42</v>
      </c>
    </row>
    <row r="273" spans="1:5">
      <c r="A273">
        <v>271</v>
      </c>
      <c r="B273" t="str">
        <f t="shared" si="4"/>
        <v>CAM_LV3_271</v>
      </c>
      <c r="C273" t="s">
        <v>1183</v>
      </c>
      <c r="D273" t="s">
        <v>1183</v>
      </c>
      <c r="E273" t="str">
        <f>+_xlfn.XLOOKUP(C273,Sheet4!F:F,Sheet4!G:G)</f>
        <v>CAM_LV2_44</v>
      </c>
    </row>
    <row r="274" spans="1:5">
      <c r="A274">
        <v>272</v>
      </c>
      <c r="B274" t="str">
        <f t="shared" si="4"/>
        <v>CAM_LV3_272</v>
      </c>
      <c r="C274" t="s">
        <v>1184</v>
      </c>
      <c r="D274" t="s">
        <v>1184</v>
      </c>
      <c r="E274" t="str">
        <f>+_xlfn.XLOOKUP(C274,Sheet4!F:F,Sheet4!G:G)</f>
        <v>CAM_LV2_42</v>
      </c>
    </row>
    <row r="275" spans="1:5">
      <c r="A275">
        <v>273</v>
      </c>
      <c r="B275" t="str">
        <f t="shared" si="4"/>
        <v>CAM_LV3_273</v>
      </c>
      <c r="C275" t="s">
        <v>1185</v>
      </c>
      <c r="D275" t="s">
        <v>1185</v>
      </c>
      <c r="E275" t="str">
        <f>+_xlfn.XLOOKUP(C275,Sheet4!F:F,Sheet4!G:G)</f>
        <v>CAM_LV2_42</v>
      </c>
    </row>
    <row r="276" spans="1:5">
      <c r="A276">
        <v>274</v>
      </c>
      <c r="B276" t="str">
        <f t="shared" si="4"/>
        <v>CAM_LV3_274</v>
      </c>
      <c r="C276" t="s">
        <v>1187</v>
      </c>
      <c r="D276" t="s">
        <v>1187</v>
      </c>
      <c r="E276" t="str">
        <f>+_xlfn.XLOOKUP(C276,Sheet4!F:F,Sheet4!G:G)</f>
        <v>CAM_LV2_45</v>
      </c>
    </row>
    <row r="277" spans="1:5">
      <c r="A277">
        <v>275</v>
      </c>
      <c r="B277" t="str">
        <f t="shared" si="4"/>
        <v>CAM_LV3_275</v>
      </c>
      <c r="C277" t="s">
        <v>1188</v>
      </c>
      <c r="D277" t="s">
        <v>1188</v>
      </c>
      <c r="E277" t="str">
        <f>+_xlfn.XLOOKUP(C277,Sheet4!F:F,Sheet4!G:G)</f>
        <v>CAM_LV2_44</v>
      </c>
    </row>
    <row r="278" spans="1:5">
      <c r="A278">
        <v>276</v>
      </c>
      <c r="B278" t="str">
        <f t="shared" si="4"/>
        <v>CAM_LV3_276</v>
      </c>
      <c r="C278" t="s">
        <v>1190</v>
      </c>
      <c r="D278" t="s">
        <v>1190</v>
      </c>
      <c r="E278" t="str">
        <f>+_xlfn.XLOOKUP(C278,Sheet4!F:F,Sheet4!G:G)</f>
        <v>CAM_LV2_46</v>
      </c>
    </row>
    <row r="279" spans="1:5">
      <c r="A279">
        <v>277</v>
      </c>
      <c r="B279" t="str">
        <f t="shared" si="4"/>
        <v>CAM_LV3_277</v>
      </c>
      <c r="C279" t="s">
        <v>1191</v>
      </c>
      <c r="D279" t="s">
        <v>1191</v>
      </c>
      <c r="E279" t="str">
        <f>+_xlfn.XLOOKUP(C279,Sheet4!F:F,Sheet4!G:G)</f>
        <v>CAM_LV2_42</v>
      </c>
    </row>
    <row r="280" spans="1:5">
      <c r="A280">
        <v>278</v>
      </c>
      <c r="B280" t="str">
        <f t="shared" si="4"/>
        <v>CAM_LV3_278</v>
      </c>
      <c r="C280" t="s">
        <v>1192</v>
      </c>
      <c r="D280" t="s">
        <v>1192</v>
      </c>
      <c r="E280" t="str">
        <f>+_xlfn.XLOOKUP(C280,Sheet4!F:F,Sheet4!G:G)</f>
        <v>CAM_LV2_42</v>
      </c>
    </row>
    <row r="281" spans="1:5">
      <c r="A281">
        <v>279</v>
      </c>
      <c r="B281" t="str">
        <f t="shared" si="4"/>
        <v>CAM_LV3_279</v>
      </c>
      <c r="C281" t="s">
        <v>1193</v>
      </c>
      <c r="D281" t="s">
        <v>1193</v>
      </c>
      <c r="E281" t="str">
        <f>+_xlfn.XLOOKUP(C281,Sheet4!F:F,Sheet4!G:G)</f>
        <v>CAM_LV2_45</v>
      </c>
    </row>
    <row r="282" spans="1:5">
      <c r="A282">
        <v>280</v>
      </c>
      <c r="B282" t="str">
        <f t="shared" si="4"/>
        <v>CAM_LV3_280</v>
      </c>
      <c r="C282" t="s">
        <v>1194</v>
      </c>
      <c r="D282" t="s">
        <v>1194</v>
      </c>
      <c r="E282" t="str">
        <f>+_xlfn.XLOOKUP(C282,Sheet4!F:F,Sheet4!G:G)</f>
        <v>CAM_LV2_41</v>
      </c>
    </row>
    <row r="283" spans="1:5">
      <c r="A283">
        <v>281</v>
      </c>
      <c r="B283" t="str">
        <f t="shared" si="4"/>
        <v>CAM_LV3_281</v>
      </c>
      <c r="C283" t="s">
        <v>1195</v>
      </c>
      <c r="D283" t="s">
        <v>1195</v>
      </c>
      <c r="E283" t="str">
        <f>+_xlfn.XLOOKUP(C283,Sheet4!F:F,Sheet4!G:G)</f>
        <v>CAM_LV2_44</v>
      </c>
    </row>
    <row r="284" spans="1:5">
      <c r="A284">
        <v>282</v>
      </c>
      <c r="B284" t="str">
        <f t="shared" si="4"/>
        <v>CAM_LV3_282</v>
      </c>
      <c r="C284" t="s">
        <v>1197</v>
      </c>
      <c r="D284" t="s">
        <v>1197</v>
      </c>
      <c r="E284" t="str">
        <f>+_xlfn.XLOOKUP(C284,Sheet4!F:F,Sheet4!G:G)</f>
        <v>CAM_LV2_47</v>
      </c>
    </row>
    <row r="285" spans="1:5">
      <c r="A285">
        <v>283</v>
      </c>
      <c r="B285" t="str">
        <f t="shared" si="4"/>
        <v>CAM_LV3_283</v>
      </c>
      <c r="C285" t="s">
        <v>1198</v>
      </c>
      <c r="D285" t="s">
        <v>1198</v>
      </c>
      <c r="E285" t="str">
        <f>+_xlfn.XLOOKUP(C285,Sheet4!F:F,Sheet4!G:G)</f>
        <v>CAM_LV2_45</v>
      </c>
    </row>
    <row r="286" spans="1:5">
      <c r="A286">
        <v>284</v>
      </c>
      <c r="B286" t="str">
        <f t="shared" si="4"/>
        <v>CAM_LV3_284</v>
      </c>
      <c r="C286" t="s">
        <v>1199</v>
      </c>
      <c r="D286" t="s">
        <v>1199</v>
      </c>
      <c r="E286" t="str">
        <f>+_xlfn.XLOOKUP(C286,Sheet4!F:F,Sheet4!G:G)</f>
        <v>CAM_LV2_47</v>
      </c>
    </row>
    <row r="287" spans="1:5">
      <c r="A287">
        <v>285</v>
      </c>
      <c r="B287" t="str">
        <f t="shared" si="4"/>
        <v>CAM_LV3_285</v>
      </c>
      <c r="C287" t="s">
        <v>1201</v>
      </c>
      <c r="D287" t="s">
        <v>1201</v>
      </c>
      <c r="E287" t="str">
        <f>+_xlfn.XLOOKUP(C287,Sheet4!F:F,Sheet4!G:G)</f>
        <v>CAM_LV2_48</v>
      </c>
    </row>
    <row r="288" spans="1:5">
      <c r="A288">
        <v>286</v>
      </c>
      <c r="B288" t="str">
        <f t="shared" si="4"/>
        <v>CAM_LV3_286</v>
      </c>
      <c r="C288" t="s">
        <v>1202</v>
      </c>
      <c r="D288" t="s">
        <v>1202</v>
      </c>
      <c r="E288" t="str">
        <f>+_xlfn.XLOOKUP(C288,Sheet4!F:F,Sheet4!G:G)</f>
        <v>CAM_LV2_48</v>
      </c>
    </row>
    <row r="289" spans="1:5">
      <c r="A289">
        <v>287</v>
      </c>
      <c r="B289" t="str">
        <f t="shared" si="4"/>
        <v>CAM_LV3_287</v>
      </c>
      <c r="C289" t="s">
        <v>1203</v>
      </c>
      <c r="D289" t="s">
        <v>1203</v>
      </c>
      <c r="E289" t="str">
        <f>+_xlfn.XLOOKUP(C289,Sheet4!F:F,Sheet4!G:G)</f>
        <v>CAM_LV2_48</v>
      </c>
    </row>
    <row r="290" spans="1:5">
      <c r="A290">
        <v>288</v>
      </c>
      <c r="B290" t="str">
        <f t="shared" si="4"/>
        <v>CAM_LV3_288</v>
      </c>
      <c r="C290" t="s">
        <v>1204</v>
      </c>
      <c r="D290" t="s">
        <v>1204</v>
      </c>
      <c r="E290" t="str">
        <f>+_xlfn.XLOOKUP(C290,Sheet4!F:F,Sheet4!G:G)</f>
        <v>CAM_LV2_46</v>
      </c>
    </row>
    <row r="291" spans="1:5">
      <c r="A291">
        <v>289</v>
      </c>
      <c r="B291" t="str">
        <f t="shared" si="4"/>
        <v>CAM_LV3_289</v>
      </c>
      <c r="C291" t="s">
        <v>1205</v>
      </c>
      <c r="D291" t="s">
        <v>1205</v>
      </c>
      <c r="E291" t="str">
        <f>+_xlfn.XLOOKUP(C291,Sheet4!F:F,Sheet4!G:G)</f>
        <v>CAM_LV2_46</v>
      </c>
    </row>
    <row r="292" spans="1:5">
      <c r="A292">
        <v>290</v>
      </c>
      <c r="B292" t="str">
        <f t="shared" si="4"/>
        <v>CAM_LV3_290</v>
      </c>
      <c r="C292" t="s">
        <v>1206</v>
      </c>
      <c r="D292" t="s">
        <v>1206</v>
      </c>
      <c r="E292" t="str">
        <f>+_xlfn.XLOOKUP(C292,Sheet4!F:F,Sheet4!G:G)</f>
        <v>CAM_LV2_41</v>
      </c>
    </row>
    <row r="293" spans="1:5">
      <c r="A293">
        <v>291</v>
      </c>
      <c r="B293" t="str">
        <f t="shared" si="4"/>
        <v>CAM_LV3_291</v>
      </c>
      <c r="C293" t="s">
        <v>1207</v>
      </c>
      <c r="D293" t="s">
        <v>1207</v>
      </c>
      <c r="E293" t="str">
        <f>+_xlfn.XLOOKUP(C293,Sheet4!F:F,Sheet4!G:G)</f>
        <v>CAM_LV2_42</v>
      </c>
    </row>
    <row r="294" spans="1:5">
      <c r="A294">
        <v>292</v>
      </c>
      <c r="B294" t="str">
        <f t="shared" si="4"/>
        <v>CAM_LV3_292</v>
      </c>
      <c r="C294" t="s">
        <v>1208</v>
      </c>
      <c r="D294" t="s">
        <v>1208</v>
      </c>
      <c r="E294" t="str">
        <f>+_xlfn.XLOOKUP(C294,Sheet4!F:F,Sheet4!G:G)</f>
        <v>CAM_LV2_46</v>
      </c>
    </row>
    <row r="295" spans="1:5">
      <c r="A295">
        <v>293</v>
      </c>
      <c r="B295" t="str">
        <f t="shared" si="4"/>
        <v>CAM_LV3_293</v>
      </c>
      <c r="C295" t="s">
        <v>1209</v>
      </c>
      <c r="D295" t="s">
        <v>1209</v>
      </c>
      <c r="E295" t="str">
        <f>+_xlfn.XLOOKUP(C295,Sheet4!F:F,Sheet4!G:G)</f>
        <v>CAM_LV2_46</v>
      </c>
    </row>
    <row r="296" spans="1:5">
      <c r="A296">
        <v>294</v>
      </c>
      <c r="B296" t="str">
        <f t="shared" si="4"/>
        <v>CAM_LV3_294</v>
      </c>
      <c r="C296" t="s">
        <v>1210</v>
      </c>
      <c r="D296" t="s">
        <v>1210</v>
      </c>
      <c r="E296" t="str">
        <f>+_xlfn.XLOOKUP(C296,Sheet4!F:F,Sheet4!G:G)</f>
        <v>CAM_LV2_46</v>
      </c>
    </row>
    <row r="297" spans="1:5">
      <c r="A297">
        <v>295</v>
      </c>
      <c r="B297" t="str">
        <f t="shared" si="4"/>
        <v>CAM_LV3_295</v>
      </c>
      <c r="C297" t="s">
        <v>1211</v>
      </c>
      <c r="D297" t="s">
        <v>1211</v>
      </c>
      <c r="E297" t="str">
        <f>+_xlfn.XLOOKUP(C297,Sheet4!F:F,Sheet4!G:G)</f>
        <v>CAM_LV2_46</v>
      </c>
    </row>
    <row r="298" spans="1:5">
      <c r="A298">
        <v>296</v>
      </c>
      <c r="B298" t="str">
        <f t="shared" si="4"/>
        <v>CAM_LV3_296</v>
      </c>
      <c r="C298" t="s">
        <v>1212</v>
      </c>
      <c r="D298" t="s">
        <v>1212</v>
      </c>
      <c r="E298" t="str">
        <f>+_xlfn.XLOOKUP(C298,Sheet4!F:F,Sheet4!G:G)</f>
        <v>CAM_LV2_46</v>
      </c>
    </row>
    <row r="299" spans="1:5">
      <c r="A299">
        <v>297</v>
      </c>
      <c r="B299" t="str">
        <f t="shared" si="4"/>
        <v>CAM_LV3_297</v>
      </c>
      <c r="C299" t="s">
        <v>1213</v>
      </c>
      <c r="D299" t="s">
        <v>1213</v>
      </c>
      <c r="E299" t="str">
        <f>+_xlfn.XLOOKUP(C299,Sheet4!F:F,Sheet4!G:G)</f>
        <v>CAM_LV2_41</v>
      </c>
    </row>
    <row r="300" spans="1:5">
      <c r="A300">
        <v>298</v>
      </c>
      <c r="B300" t="str">
        <f t="shared" si="4"/>
        <v>CAM_LV3_298</v>
      </c>
      <c r="C300" t="s">
        <v>1214</v>
      </c>
      <c r="D300" t="s">
        <v>1214</v>
      </c>
      <c r="E300" t="str">
        <f>+_xlfn.XLOOKUP(C300,Sheet4!F:F,Sheet4!G:G)</f>
        <v>CAM_LV2_46</v>
      </c>
    </row>
    <row r="301" spans="1:5">
      <c r="A301">
        <v>299</v>
      </c>
      <c r="B301" t="str">
        <f t="shared" si="4"/>
        <v>CAM_LV3_299</v>
      </c>
      <c r="C301" t="s">
        <v>1215</v>
      </c>
      <c r="D301" t="s">
        <v>1215</v>
      </c>
      <c r="E301" t="str">
        <f>+_xlfn.XLOOKUP(C301,Sheet4!F:F,Sheet4!G:G)</f>
        <v>CAM_LV2_48</v>
      </c>
    </row>
    <row r="302" spans="1:5">
      <c r="A302">
        <v>300</v>
      </c>
      <c r="B302" t="str">
        <f t="shared" si="4"/>
        <v>CAM_LV3_300</v>
      </c>
      <c r="C302" t="s">
        <v>1216</v>
      </c>
      <c r="D302" t="s">
        <v>1216</v>
      </c>
      <c r="E302" t="str">
        <f>+_xlfn.XLOOKUP(C302,Sheet4!F:F,Sheet4!G:G)</f>
        <v>CAM_LV2_48</v>
      </c>
    </row>
    <row r="303" spans="1:5">
      <c r="A303">
        <v>301</v>
      </c>
      <c r="B303" t="str">
        <f t="shared" si="4"/>
        <v>CAM_LV3_301</v>
      </c>
      <c r="C303" t="s">
        <v>1217</v>
      </c>
      <c r="D303" t="s">
        <v>1217</v>
      </c>
      <c r="E303" t="str">
        <f>+_xlfn.XLOOKUP(C303,Sheet4!F:F,Sheet4!G:G)</f>
        <v>CAM_LV2_47</v>
      </c>
    </row>
    <row r="304" spans="1:5">
      <c r="A304">
        <v>302</v>
      </c>
      <c r="B304" t="str">
        <f t="shared" si="4"/>
        <v>CAM_LV3_302</v>
      </c>
      <c r="C304" t="s">
        <v>1218</v>
      </c>
      <c r="D304" t="s">
        <v>1218</v>
      </c>
      <c r="E304" t="str">
        <f>+_xlfn.XLOOKUP(C304,Sheet4!F:F,Sheet4!G:G)</f>
        <v>CAM_LV2_48</v>
      </c>
    </row>
    <row r="305" spans="1:5">
      <c r="A305">
        <v>303</v>
      </c>
      <c r="B305" t="str">
        <f t="shared" si="4"/>
        <v>CAM_LV3_303</v>
      </c>
      <c r="C305" t="s">
        <v>1219</v>
      </c>
      <c r="D305" t="s">
        <v>1219</v>
      </c>
      <c r="E305" t="str">
        <f>+_xlfn.XLOOKUP(C305,Sheet4!F:F,Sheet4!G:G)</f>
        <v>CAM_LV2_45</v>
      </c>
    </row>
    <row r="306" spans="1:5">
      <c r="A306">
        <v>304</v>
      </c>
      <c r="B306" t="str">
        <f t="shared" si="4"/>
        <v>CAM_LV3_304</v>
      </c>
      <c r="C306" t="s">
        <v>1221</v>
      </c>
      <c r="D306" t="s">
        <v>1221</v>
      </c>
      <c r="E306" t="str">
        <f>+_xlfn.XLOOKUP(C306,Sheet4!F:F,Sheet4!G:G)</f>
        <v>CAM_LV2_49</v>
      </c>
    </row>
    <row r="307" spans="1:5">
      <c r="A307">
        <v>305</v>
      </c>
      <c r="B307" t="str">
        <f t="shared" si="4"/>
        <v>CAM_LV3_305</v>
      </c>
      <c r="C307" t="s">
        <v>1223</v>
      </c>
      <c r="D307" t="s">
        <v>1223</v>
      </c>
      <c r="E307" t="str">
        <f>+_xlfn.XLOOKUP(C307,Sheet4!F:F,Sheet4!G:G)</f>
        <v>CAM_LV2_50</v>
      </c>
    </row>
    <row r="308" spans="1:5">
      <c r="A308">
        <v>306</v>
      </c>
      <c r="B308" t="str">
        <f t="shared" si="4"/>
        <v>CAM_LV3_306</v>
      </c>
      <c r="C308" t="s">
        <v>1225</v>
      </c>
      <c r="D308" t="s">
        <v>1225</v>
      </c>
      <c r="E308" t="str">
        <f>+_xlfn.XLOOKUP(C308,Sheet4!F:F,Sheet4!G:G)</f>
        <v>CAM_LV2_51</v>
      </c>
    </row>
    <row r="309" spans="1:5">
      <c r="A309">
        <v>307</v>
      </c>
      <c r="B309" t="str">
        <f t="shared" si="4"/>
        <v>CAM_LV3_307</v>
      </c>
      <c r="C309" t="s">
        <v>1226</v>
      </c>
      <c r="D309" t="s">
        <v>1226</v>
      </c>
      <c r="E309" t="str">
        <f>+_xlfn.XLOOKUP(C309,Sheet4!F:F,Sheet4!G:G)</f>
        <v>CAM_LV2_49</v>
      </c>
    </row>
    <row r="310" spans="1:5">
      <c r="A310">
        <v>308</v>
      </c>
      <c r="B310" t="str">
        <f t="shared" si="4"/>
        <v>CAM_LV3_308</v>
      </c>
      <c r="C310" t="s">
        <v>1228</v>
      </c>
      <c r="D310" t="s">
        <v>1228</v>
      </c>
      <c r="E310" t="str">
        <f>+_xlfn.XLOOKUP(C310,Sheet4!F:F,Sheet4!G:G)</f>
        <v>CAM_LV2_52</v>
      </c>
    </row>
    <row r="311" spans="1:5">
      <c r="A311">
        <v>309</v>
      </c>
      <c r="B311" t="str">
        <f t="shared" si="4"/>
        <v>CAM_LV3_309</v>
      </c>
      <c r="C311" t="s">
        <v>1229</v>
      </c>
      <c r="D311" t="s">
        <v>1229</v>
      </c>
      <c r="E311" t="str">
        <f>+_xlfn.XLOOKUP(C311,Sheet4!F:F,Sheet4!G:G)</f>
        <v>CAM_LV2_52</v>
      </c>
    </row>
    <row r="312" spans="1:5">
      <c r="A312">
        <v>310</v>
      </c>
      <c r="B312" t="str">
        <f t="shared" si="4"/>
        <v>CAM_LV3_310</v>
      </c>
      <c r="C312" t="s">
        <v>1230</v>
      </c>
      <c r="D312" t="s">
        <v>1230</v>
      </c>
      <c r="E312" t="str">
        <f>+_xlfn.XLOOKUP(C312,Sheet4!F:F,Sheet4!G:G)</f>
        <v>CAM_LV2_49</v>
      </c>
    </row>
    <row r="313" spans="1:5">
      <c r="A313">
        <v>311</v>
      </c>
      <c r="B313" t="str">
        <f t="shared" si="4"/>
        <v>CAM_LV3_311</v>
      </c>
      <c r="C313" t="s">
        <v>1231</v>
      </c>
      <c r="D313" t="s">
        <v>1231</v>
      </c>
      <c r="E313" t="str">
        <f>+_xlfn.XLOOKUP(C313,Sheet4!F:F,Sheet4!G:G)</f>
        <v>CAM_LV2_51</v>
      </c>
    </row>
    <row r="314" spans="1:5">
      <c r="A314">
        <v>312</v>
      </c>
      <c r="B314" t="str">
        <f t="shared" si="4"/>
        <v>CAM_LV3_312</v>
      </c>
      <c r="C314" t="s">
        <v>1232</v>
      </c>
      <c r="D314" t="s">
        <v>1232</v>
      </c>
      <c r="E314" t="str">
        <f>+_xlfn.XLOOKUP(C314,Sheet4!F:F,Sheet4!G:G)</f>
        <v>CAM_LV2_52</v>
      </c>
    </row>
    <row r="315" spans="1:5">
      <c r="A315">
        <v>313</v>
      </c>
      <c r="B315" t="str">
        <f t="shared" si="4"/>
        <v>CAM_LV3_313</v>
      </c>
      <c r="C315" t="s">
        <v>1233</v>
      </c>
      <c r="D315" t="s">
        <v>1233</v>
      </c>
      <c r="E315" t="str">
        <f>+_xlfn.XLOOKUP(C315,Sheet4!F:F,Sheet4!G:G)</f>
        <v>CAM_LV2_52</v>
      </c>
    </row>
    <row r="316" spans="1:5">
      <c r="A316">
        <v>314</v>
      </c>
      <c r="B316" t="str">
        <f t="shared" si="4"/>
        <v>CAM_LV3_314</v>
      </c>
      <c r="C316" t="s">
        <v>1234</v>
      </c>
      <c r="D316" t="s">
        <v>1234</v>
      </c>
      <c r="E316" t="str">
        <f>+_xlfn.XLOOKUP(C316,Sheet4!F:F,Sheet4!G:G)</f>
        <v>CAM_LV2_52</v>
      </c>
    </row>
    <row r="317" spans="1:5">
      <c r="A317">
        <v>315</v>
      </c>
      <c r="B317" t="str">
        <f t="shared" si="4"/>
        <v>CAM_LV3_315</v>
      </c>
      <c r="C317" t="s">
        <v>1235</v>
      </c>
      <c r="D317" t="s">
        <v>1235</v>
      </c>
      <c r="E317" t="str">
        <f>+_xlfn.XLOOKUP(C317,Sheet4!F:F,Sheet4!G:G)</f>
        <v>CAM_LV2_49</v>
      </c>
    </row>
    <row r="318" spans="1:5">
      <c r="A318">
        <v>316</v>
      </c>
      <c r="B318" t="str">
        <f t="shared" si="4"/>
        <v>CAM_LV3_316</v>
      </c>
      <c r="C318" t="s">
        <v>1236</v>
      </c>
      <c r="D318" t="s">
        <v>1236</v>
      </c>
      <c r="E318" t="str">
        <f>+_xlfn.XLOOKUP(C318,Sheet4!F:F,Sheet4!G:G)</f>
        <v>CAM_LV2_49</v>
      </c>
    </row>
    <row r="319" spans="1:5">
      <c r="A319">
        <v>317</v>
      </c>
      <c r="B319" t="str">
        <f t="shared" si="4"/>
        <v>CAM_LV3_317</v>
      </c>
      <c r="C319" t="s">
        <v>1237</v>
      </c>
      <c r="D319" t="s">
        <v>1237</v>
      </c>
      <c r="E319" t="str">
        <f>+_xlfn.XLOOKUP(C319,Sheet4!F:F,Sheet4!G:G)</f>
        <v>CAM_LV2_50</v>
      </c>
    </row>
    <row r="320" spans="1:5">
      <c r="A320">
        <v>318</v>
      </c>
      <c r="B320" t="str">
        <f t="shared" si="4"/>
        <v>CAM_LV3_318</v>
      </c>
      <c r="C320" t="s">
        <v>1238</v>
      </c>
      <c r="D320" t="s">
        <v>1238</v>
      </c>
      <c r="E320" t="str">
        <f>+_xlfn.XLOOKUP(C320,Sheet4!F:F,Sheet4!G:G)</f>
        <v>CAM_LV2_49</v>
      </c>
    </row>
    <row r="321" spans="1:5">
      <c r="A321">
        <v>319</v>
      </c>
      <c r="B321" t="str">
        <f t="shared" si="4"/>
        <v>CAM_LV3_319</v>
      </c>
      <c r="C321" t="s">
        <v>1239</v>
      </c>
      <c r="D321" t="s">
        <v>1239</v>
      </c>
      <c r="E321" t="str">
        <f>+_xlfn.XLOOKUP(C321,Sheet4!F:F,Sheet4!G:G)</f>
        <v>CAM_LV2_49</v>
      </c>
    </row>
    <row r="322" spans="1:5">
      <c r="A322">
        <v>320</v>
      </c>
      <c r="B322" t="str">
        <f t="shared" si="4"/>
        <v>CAM_LV3_320</v>
      </c>
      <c r="C322" t="s">
        <v>1240</v>
      </c>
      <c r="D322" t="s">
        <v>1240</v>
      </c>
      <c r="E322" t="str">
        <f>+_xlfn.XLOOKUP(C322,Sheet4!F:F,Sheet4!G:G)</f>
        <v>CAM_LV2_50</v>
      </c>
    </row>
    <row r="323" spans="1:5">
      <c r="A323">
        <v>321</v>
      </c>
      <c r="B323" t="str">
        <f t="shared" si="4"/>
        <v>CAM_LV3_321</v>
      </c>
      <c r="C323" t="s">
        <v>1241</v>
      </c>
      <c r="D323" t="s">
        <v>1241</v>
      </c>
      <c r="E323" t="str">
        <f>+_xlfn.XLOOKUP(C323,Sheet4!F:F,Sheet4!G:G)</f>
        <v>CAM_LV2_52</v>
      </c>
    </row>
    <row r="324" spans="1:5">
      <c r="A324">
        <v>322</v>
      </c>
      <c r="B324" t="str">
        <f t="shared" ref="B324:B365" si="5">_xlfn.CONCAT("CAM_LV3_",A324)</f>
        <v>CAM_LV3_322</v>
      </c>
      <c r="C324" t="s">
        <v>1242</v>
      </c>
      <c r="D324" t="s">
        <v>1242</v>
      </c>
      <c r="E324" t="str">
        <f>+_xlfn.XLOOKUP(C324,Sheet4!F:F,Sheet4!G:G)</f>
        <v>CAM_LV2_51</v>
      </c>
    </row>
    <row r="325" spans="1:5">
      <c r="A325">
        <v>323</v>
      </c>
      <c r="B325" t="str">
        <f t="shared" si="5"/>
        <v>CAM_LV3_323</v>
      </c>
      <c r="C325" t="s">
        <v>1243</v>
      </c>
      <c r="D325" t="s">
        <v>1243</v>
      </c>
      <c r="E325" t="str">
        <f>+_xlfn.XLOOKUP(C325,Sheet4!F:F,Sheet4!G:G)</f>
        <v>CAM_LV2_51</v>
      </c>
    </row>
    <row r="326" spans="1:5">
      <c r="A326">
        <v>324</v>
      </c>
      <c r="B326" t="str">
        <f t="shared" si="5"/>
        <v>CAM_LV3_324</v>
      </c>
      <c r="C326" t="s">
        <v>1244</v>
      </c>
      <c r="D326" t="s">
        <v>1244</v>
      </c>
      <c r="E326" t="str">
        <f>+_xlfn.XLOOKUP(C326,Sheet4!F:F,Sheet4!G:G)</f>
        <v>CAM_LV2_51</v>
      </c>
    </row>
    <row r="327" spans="1:5">
      <c r="A327">
        <v>325</v>
      </c>
      <c r="B327" t="str">
        <f t="shared" si="5"/>
        <v>CAM_LV3_325</v>
      </c>
      <c r="C327" t="s">
        <v>1245</v>
      </c>
      <c r="D327" t="s">
        <v>1245</v>
      </c>
      <c r="E327" t="str">
        <f>+_xlfn.XLOOKUP(C327,Sheet4!F:F,Sheet4!G:G)</f>
        <v>CAM_LV2_52</v>
      </c>
    </row>
    <row r="328" spans="1:5">
      <c r="A328">
        <v>326</v>
      </c>
      <c r="B328" t="str">
        <f t="shared" si="5"/>
        <v>CAM_LV3_326</v>
      </c>
      <c r="C328" t="s">
        <v>1246</v>
      </c>
      <c r="D328" t="s">
        <v>1246</v>
      </c>
      <c r="E328" t="str">
        <f>+_xlfn.XLOOKUP(C328,Sheet4!F:F,Sheet4!G:G)</f>
        <v>CAM_LV2_49</v>
      </c>
    </row>
    <row r="329" spans="1:5">
      <c r="A329">
        <v>327</v>
      </c>
      <c r="B329" t="str">
        <f t="shared" si="5"/>
        <v>CAM_LV3_327</v>
      </c>
      <c r="C329" t="s">
        <v>1247</v>
      </c>
      <c r="D329" t="s">
        <v>1247</v>
      </c>
      <c r="E329" t="str">
        <f>+_xlfn.XLOOKUP(C329,Sheet4!F:F,Sheet4!G:G)</f>
        <v>CAM_LV2_52</v>
      </c>
    </row>
    <row r="330" spans="1:5">
      <c r="A330">
        <v>328</v>
      </c>
      <c r="B330" t="str">
        <f t="shared" si="5"/>
        <v>CAM_LV3_328</v>
      </c>
      <c r="C330" t="s">
        <v>1248</v>
      </c>
      <c r="D330" t="s">
        <v>1248</v>
      </c>
      <c r="E330" t="str">
        <f>+_xlfn.XLOOKUP(C330,Sheet4!F:F,Sheet4!G:G)</f>
        <v>CAM_LV2_49</v>
      </c>
    </row>
    <row r="331" spans="1:5">
      <c r="A331">
        <v>329</v>
      </c>
      <c r="B331" t="str">
        <f t="shared" si="5"/>
        <v>CAM_LV3_329</v>
      </c>
      <c r="C331" t="s">
        <v>1249</v>
      </c>
      <c r="D331" t="s">
        <v>1249</v>
      </c>
      <c r="E331" t="str">
        <f>+_xlfn.XLOOKUP(C331,Sheet4!F:F,Sheet4!G:G)</f>
        <v>CAM_LV2_50</v>
      </c>
    </row>
    <row r="332" spans="1:5">
      <c r="A332">
        <v>330</v>
      </c>
      <c r="B332" t="str">
        <f t="shared" si="5"/>
        <v>CAM_LV3_330</v>
      </c>
      <c r="C332" t="s">
        <v>1250</v>
      </c>
      <c r="D332" t="s">
        <v>1250</v>
      </c>
      <c r="E332" t="str">
        <f>+_xlfn.XLOOKUP(C332,Sheet4!F:F,Sheet4!G:G)</f>
        <v>CAM_LV2_51</v>
      </c>
    </row>
    <row r="333" spans="1:5">
      <c r="A333">
        <v>331</v>
      </c>
      <c r="B333" t="str">
        <f t="shared" si="5"/>
        <v>CAM_LV3_331</v>
      </c>
      <c r="C333" t="s">
        <v>1251</v>
      </c>
      <c r="D333" t="s">
        <v>1251</v>
      </c>
      <c r="E333" t="str">
        <f>+_xlfn.XLOOKUP(C333,Sheet4!F:F,Sheet4!G:G)</f>
        <v>CAM_LV2_51</v>
      </c>
    </row>
    <row r="334" spans="1:5">
      <c r="A334">
        <v>332</v>
      </c>
      <c r="B334" t="str">
        <f t="shared" si="5"/>
        <v>CAM_LV3_332</v>
      </c>
      <c r="C334" t="s">
        <v>1252</v>
      </c>
      <c r="D334" t="s">
        <v>1252</v>
      </c>
      <c r="E334" t="str">
        <f>+_xlfn.XLOOKUP(C334,Sheet4!F:F,Sheet4!G:G)</f>
        <v>CAM_LV2_51</v>
      </c>
    </row>
    <row r="335" spans="1:5">
      <c r="A335">
        <v>333</v>
      </c>
      <c r="B335" t="str">
        <f t="shared" si="5"/>
        <v>CAM_LV3_333</v>
      </c>
      <c r="C335" t="s">
        <v>1254</v>
      </c>
      <c r="D335" t="s">
        <v>1254</v>
      </c>
      <c r="E335" t="str">
        <f>+_xlfn.XLOOKUP(C335,Sheet4!F:F,Sheet4!G:G)</f>
        <v>CAM_LV2_53</v>
      </c>
    </row>
    <row r="336" spans="1:5">
      <c r="A336">
        <v>334</v>
      </c>
      <c r="B336" t="str">
        <f t="shared" si="5"/>
        <v>CAM_LV3_334</v>
      </c>
      <c r="C336" t="s">
        <v>1256</v>
      </c>
      <c r="D336" t="s">
        <v>1256</v>
      </c>
      <c r="E336" t="str">
        <f>+_xlfn.XLOOKUP(C336,Sheet4!F:F,Sheet4!G:G)</f>
        <v>CAM_LV2_54</v>
      </c>
    </row>
    <row r="337" spans="1:5">
      <c r="A337">
        <v>335</v>
      </c>
      <c r="B337" t="str">
        <f t="shared" si="5"/>
        <v>CAM_LV3_335</v>
      </c>
      <c r="C337" t="s">
        <v>1258</v>
      </c>
      <c r="D337" t="s">
        <v>1258</v>
      </c>
      <c r="E337" t="str">
        <f>+_xlfn.XLOOKUP(C337,Sheet4!F:F,Sheet4!G:G)</f>
        <v>CAM_LV2_55</v>
      </c>
    </row>
    <row r="338" spans="1:5">
      <c r="A338">
        <v>336</v>
      </c>
      <c r="B338" t="str">
        <f t="shared" si="5"/>
        <v>CAM_LV3_336</v>
      </c>
      <c r="C338" t="s">
        <v>1260</v>
      </c>
      <c r="D338" t="s">
        <v>1260</v>
      </c>
      <c r="E338" t="str">
        <f>+_xlfn.XLOOKUP(C338,Sheet4!F:F,Sheet4!G:G)</f>
        <v>CAM_LV2_56</v>
      </c>
    </row>
    <row r="339" spans="1:5">
      <c r="A339">
        <v>337</v>
      </c>
      <c r="B339" t="str">
        <f t="shared" si="5"/>
        <v>CAM_LV3_337</v>
      </c>
      <c r="C339" t="s">
        <v>1262</v>
      </c>
      <c r="D339" t="s">
        <v>1262</v>
      </c>
      <c r="E339" t="str">
        <f>+_xlfn.XLOOKUP(C339,Sheet4!F:F,Sheet4!G:G)</f>
        <v>CAM_LV2_57</v>
      </c>
    </row>
    <row r="340" spans="1:5">
      <c r="A340">
        <v>338</v>
      </c>
      <c r="B340" t="str">
        <f t="shared" si="5"/>
        <v>CAM_LV3_338</v>
      </c>
      <c r="C340" t="s">
        <v>1263</v>
      </c>
      <c r="D340" t="s">
        <v>1263</v>
      </c>
      <c r="E340" t="str">
        <f>+_xlfn.XLOOKUP(C340,Sheet4!F:F,Sheet4!G:G)</f>
        <v>CAM_LV2_55</v>
      </c>
    </row>
    <row r="341" spans="1:5">
      <c r="A341">
        <v>339</v>
      </c>
      <c r="B341" t="str">
        <f t="shared" si="5"/>
        <v>CAM_LV3_339</v>
      </c>
      <c r="C341" t="s">
        <v>1264</v>
      </c>
      <c r="D341" t="s">
        <v>1264</v>
      </c>
      <c r="E341" t="str">
        <f>+_xlfn.XLOOKUP(C341,Sheet4!F:F,Sheet4!G:G)</f>
        <v>CAM_LV2_55</v>
      </c>
    </row>
    <row r="342" spans="1:5">
      <c r="A342">
        <v>340</v>
      </c>
      <c r="B342" t="str">
        <f t="shared" si="5"/>
        <v>CAM_LV3_340</v>
      </c>
      <c r="C342" t="s">
        <v>1265</v>
      </c>
      <c r="D342" t="s">
        <v>1265</v>
      </c>
      <c r="E342" t="str">
        <f>+_xlfn.XLOOKUP(C342,Sheet4!F:F,Sheet4!G:G)</f>
        <v>CAM_LV2_53</v>
      </c>
    </row>
    <row r="343" spans="1:5">
      <c r="A343">
        <v>341</v>
      </c>
      <c r="B343" t="str">
        <f t="shared" si="5"/>
        <v>CAM_LV3_341</v>
      </c>
      <c r="C343" t="s">
        <v>1266</v>
      </c>
      <c r="D343" t="s">
        <v>1266</v>
      </c>
      <c r="E343" t="str">
        <f>+_xlfn.XLOOKUP(C343,Sheet4!F:F,Sheet4!G:G)</f>
        <v>CAM_LV2_54</v>
      </c>
    </row>
    <row r="344" spans="1:5">
      <c r="A344">
        <v>342</v>
      </c>
      <c r="B344" t="str">
        <f t="shared" si="5"/>
        <v>CAM_LV3_342</v>
      </c>
      <c r="C344" t="s">
        <v>1267</v>
      </c>
      <c r="D344" t="s">
        <v>1267</v>
      </c>
      <c r="E344" t="str">
        <f>+_xlfn.XLOOKUP(C344,Sheet4!F:F,Sheet4!G:G)</f>
        <v>CAM_LV2_55</v>
      </c>
    </row>
    <row r="345" spans="1:5">
      <c r="A345">
        <v>343</v>
      </c>
      <c r="B345" t="str">
        <f t="shared" si="5"/>
        <v>CAM_LV3_343</v>
      </c>
      <c r="C345" t="s">
        <v>1268</v>
      </c>
      <c r="D345" t="s">
        <v>1268</v>
      </c>
      <c r="E345" t="str">
        <f>+_xlfn.XLOOKUP(C345,Sheet4!F:F,Sheet4!G:G)</f>
        <v>CAM_LV2_55</v>
      </c>
    </row>
    <row r="346" spans="1:5">
      <c r="A346">
        <v>344</v>
      </c>
      <c r="B346" t="str">
        <f t="shared" si="5"/>
        <v>CAM_LV3_344</v>
      </c>
      <c r="C346" t="s">
        <v>1269</v>
      </c>
      <c r="D346" t="s">
        <v>1269</v>
      </c>
      <c r="E346" t="str">
        <f>+_xlfn.XLOOKUP(C346,Sheet4!F:F,Sheet4!G:G)</f>
        <v>CAM_LV2_55</v>
      </c>
    </row>
    <row r="347" spans="1:5">
      <c r="A347">
        <v>345</v>
      </c>
      <c r="B347" t="str">
        <f t="shared" si="5"/>
        <v>CAM_LV3_345</v>
      </c>
      <c r="C347" t="s">
        <v>1270</v>
      </c>
      <c r="D347" t="s">
        <v>1270</v>
      </c>
      <c r="E347" t="str">
        <f>+_xlfn.XLOOKUP(C347,Sheet4!F:F,Sheet4!G:G)</f>
        <v>CAM_LV2_55</v>
      </c>
    </row>
    <row r="348" spans="1:5">
      <c r="A348">
        <v>346</v>
      </c>
      <c r="B348" t="str">
        <f t="shared" si="5"/>
        <v>CAM_LV3_346</v>
      </c>
      <c r="C348" t="s">
        <v>1272</v>
      </c>
      <c r="D348" t="s">
        <v>1272</v>
      </c>
      <c r="E348" t="str">
        <f>+_xlfn.XLOOKUP(C348,Sheet4!F:F,Sheet4!G:G)</f>
        <v>CAM_LV2_58</v>
      </c>
    </row>
    <row r="349" spans="1:5">
      <c r="A349">
        <v>347</v>
      </c>
      <c r="B349" t="str">
        <f t="shared" si="5"/>
        <v>CAM_LV3_347</v>
      </c>
      <c r="C349" t="s">
        <v>1273</v>
      </c>
      <c r="D349" t="s">
        <v>1273</v>
      </c>
      <c r="E349" t="str">
        <f>+_xlfn.XLOOKUP(C349,Sheet4!F:F,Sheet4!G:G)</f>
        <v>CAM_LV2_58</v>
      </c>
    </row>
    <row r="350" spans="1:5">
      <c r="A350">
        <v>348</v>
      </c>
      <c r="B350" t="str">
        <f t="shared" si="5"/>
        <v>CAM_LV3_348</v>
      </c>
      <c r="C350" t="s">
        <v>1274</v>
      </c>
      <c r="D350" t="s">
        <v>1274</v>
      </c>
      <c r="E350" t="str">
        <f>+_xlfn.XLOOKUP(C350,Sheet4!F:F,Sheet4!G:G)</f>
        <v>CAM_LV2_58</v>
      </c>
    </row>
    <row r="351" spans="1:5">
      <c r="A351">
        <v>349</v>
      </c>
      <c r="B351" t="str">
        <f t="shared" si="5"/>
        <v>CAM_LV3_349</v>
      </c>
      <c r="C351" t="s">
        <v>1275</v>
      </c>
      <c r="D351" t="s">
        <v>1275</v>
      </c>
      <c r="E351" t="str">
        <f>+_xlfn.XLOOKUP(C351,Sheet4!F:F,Sheet4!G:G)</f>
        <v>CAM_LV2_58</v>
      </c>
    </row>
    <row r="352" spans="1:5">
      <c r="A352">
        <v>350</v>
      </c>
      <c r="B352" t="str">
        <f t="shared" si="5"/>
        <v>CAM_LV3_350</v>
      </c>
      <c r="C352" t="s">
        <v>1276</v>
      </c>
      <c r="D352" t="s">
        <v>1276</v>
      </c>
      <c r="E352" t="str">
        <f>+_xlfn.XLOOKUP(C352,Sheet4!F:F,Sheet4!G:G)</f>
        <v>CAM_LV2_57</v>
      </c>
    </row>
    <row r="353" spans="1:5">
      <c r="A353">
        <v>351</v>
      </c>
      <c r="B353" t="str">
        <f t="shared" si="5"/>
        <v>CAM_LV3_351</v>
      </c>
      <c r="C353" t="s">
        <v>1277</v>
      </c>
      <c r="D353" t="s">
        <v>1277</v>
      </c>
      <c r="E353" t="str">
        <f>+_xlfn.XLOOKUP(C353,Sheet4!F:F,Sheet4!G:G)</f>
        <v>CAM_LV2_57</v>
      </c>
    </row>
    <row r="354" spans="1:5">
      <c r="A354">
        <v>352</v>
      </c>
      <c r="B354" t="str">
        <f t="shared" si="5"/>
        <v>CAM_LV3_352</v>
      </c>
      <c r="C354" t="s">
        <v>1278</v>
      </c>
      <c r="D354" t="s">
        <v>1278</v>
      </c>
      <c r="E354" t="str">
        <f>+_xlfn.XLOOKUP(C354,Sheet4!F:F,Sheet4!G:G)</f>
        <v>CAM_LV2_57</v>
      </c>
    </row>
    <row r="355" spans="1:5">
      <c r="A355">
        <v>353</v>
      </c>
      <c r="B355" t="str">
        <f t="shared" si="5"/>
        <v>CAM_LV3_353</v>
      </c>
      <c r="C355" t="s">
        <v>1279</v>
      </c>
      <c r="D355" t="s">
        <v>1279</v>
      </c>
      <c r="E355" t="str">
        <f>+_xlfn.XLOOKUP(C355,Sheet4!F:F,Sheet4!G:G)</f>
        <v>CAM_LV2_53</v>
      </c>
    </row>
    <row r="356" spans="1:5">
      <c r="A356">
        <v>354</v>
      </c>
      <c r="B356" t="str">
        <f t="shared" si="5"/>
        <v>CAM_LV3_354</v>
      </c>
      <c r="C356" t="s">
        <v>1280</v>
      </c>
      <c r="D356" t="s">
        <v>1280</v>
      </c>
      <c r="E356" t="str">
        <f>+_xlfn.XLOOKUP(C356,Sheet4!F:F,Sheet4!G:G)</f>
        <v>CAM_LV2_58</v>
      </c>
    </row>
    <row r="357" spans="1:5">
      <c r="A357">
        <v>355</v>
      </c>
      <c r="B357" t="str">
        <f t="shared" si="5"/>
        <v>CAM_LV3_355</v>
      </c>
      <c r="C357" t="s">
        <v>1281</v>
      </c>
      <c r="D357" t="s">
        <v>1281</v>
      </c>
      <c r="E357" t="str">
        <f>+_xlfn.XLOOKUP(C357,Sheet4!F:F,Sheet4!G:G)</f>
        <v>CAM_LV2_55</v>
      </c>
    </row>
    <row r="358" spans="1:5">
      <c r="A358">
        <v>356</v>
      </c>
      <c r="B358" t="str">
        <f t="shared" si="5"/>
        <v>CAM_LV3_356</v>
      </c>
      <c r="C358" t="s">
        <v>1282</v>
      </c>
      <c r="D358" t="s">
        <v>1282</v>
      </c>
      <c r="E358" t="str">
        <f>+_xlfn.XLOOKUP(C358,Sheet4!F:F,Sheet4!G:G)</f>
        <v>CAM_LV2_57</v>
      </c>
    </row>
    <row r="359" spans="1:5">
      <c r="A359">
        <v>357</v>
      </c>
      <c r="B359" t="str">
        <f t="shared" si="5"/>
        <v>CAM_LV3_357</v>
      </c>
      <c r="C359" t="s">
        <v>1283</v>
      </c>
      <c r="D359" t="s">
        <v>1283</v>
      </c>
      <c r="E359" t="str">
        <f>+_xlfn.XLOOKUP(C359,Sheet4!F:F,Sheet4!G:G)</f>
        <v>CAM_LV2_56</v>
      </c>
    </row>
    <row r="360" spans="1:5">
      <c r="A360">
        <v>358</v>
      </c>
      <c r="B360" t="str">
        <f t="shared" si="5"/>
        <v>CAM_LV3_358</v>
      </c>
      <c r="C360" t="s">
        <v>1284</v>
      </c>
      <c r="D360" t="s">
        <v>1284</v>
      </c>
      <c r="E360" t="str">
        <f>+_xlfn.XLOOKUP(C360,Sheet4!F:F,Sheet4!G:G)</f>
        <v>CAM_LV2_57</v>
      </c>
    </row>
    <row r="361" spans="1:5">
      <c r="A361">
        <v>359</v>
      </c>
      <c r="B361" t="str">
        <f t="shared" si="5"/>
        <v>CAM_LV3_359</v>
      </c>
      <c r="C361" t="s">
        <v>1285</v>
      </c>
      <c r="D361" t="s">
        <v>1285</v>
      </c>
      <c r="E361" t="str">
        <f>+_xlfn.XLOOKUP(C361,Sheet4!F:F,Sheet4!G:G)</f>
        <v>CAM_LV2_55</v>
      </c>
    </row>
    <row r="362" spans="1:5">
      <c r="A362">
        <v>360</v>
      </c>
      <c r="B362" t="str">
        <f t="shared" si="5"/>
        <v>CAM_LV3_360</v>
      </c>
      <c r="C362" t="s">
        <v>1286</v>
      </c>
      <c r="D362" t="s">
        <v>1286</v>
      </c>
      <c r="E362" t="str">
        <f>+_xlfn.XLOOKUP(C362,Sheet4!F:F,Sheet4!G:G)</f>
        <v>CAM_LV2_56</v>
      </c>
    </row>
    <row r="363" spans="1:5">
      <c r="A363">
        <v>361</v>
      </c>
      <c r="B363" t="str">
        <f t="shared" si="5"/>
        <v>CAM_LV3_361</v>
      </c>
      <c r="C363" t="s">
        <v>1287</v>
      </c>
      <c r="D363" t="s">
        <v>1287</v>
      </c>
      <c r="E363" t="str">
        <f>+_xlfn.XLOOKUP(C363,Sheet4!F:F,Sheet4!G:G)</f>
        <v>CAM_LV2_53</v>
      </c>
    </row>
    <row r="364" spans="1:5">
      <c r="A364">
        <v>362</v>
      </c>
      <c r="B364" t="str">
        <f t="shared" si="5"/>
        <v>CAM_LV3_362</v>
      </c>
      <c r="C364" t="s">
        <v>1288</v>
      </c>
      <c r="D364" t="s">
        <v>1288</v>
      </c>
      <c r="E364" t="str">
        <f>+_xlfn.XLOOKUP(C364,Sheet4!F:F,Sheet4!G:G)</f>
        <v>CAM_LV2_54</v>
      </c>
    </row>
    <row r="365" spans="1:5">
      <c r="A365">
        <v>363</v>
      </c>
      <c r="B365" t="str">
        <f t="shared" si="5"/>
        <v>CAM_LV3_363</v>
      </c>
      <c r="C365" t="s">
        <v>1289</v>
      </c>
      <c r="D365" t="s">
        <v>1289</v>
      </c>
      <c r="E365" t="str">
        <f>+_xlfn.XLOOKUP(C365,Sheet4!F:F,Sheet4!G:G)</f>
        <v>CAM_LV2_57</v>
      </c>
    </row>
  </sheetData>
  <autoFilter ref="A2:E365" xr:uid="{1E237039-0A3C-413F-896A-44B6D83CDD4B}"/>
  <conditionalFormatting sqref="B2">
    <cfRule type="duplicateValues" dxfId="7" priority="3"/>
  </conditionalFormatting>
  <conditionalFormatting sqref="C3:C365">
    <cfRule type="duplicateValues" dxfId="6" priority="1"/>
  </conditionalFormatting>
  <conditionalFormatting sqref="D3:D365">
    <cfRule type="duplicateValues" dxfId="5" priority="2"/>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FF9900"/>
  </sheetPr>
  <dimension ref="A1:XEG44"/>
  <sheetViews>
    <sheetView zoomScale="55" zoomScaleNormal="55" zoomScalePageLayoutView="115" workbookViewId="0">
      <selection activeCell="F36" sqref="F36"/>
    </sheetView>
  </sheetViews>
  <sheetFormatPr defaultColWidth="0" defaultRowHeight="14.45"/>
  <cols>
    <col min="1" max="1" width="14.28515625" bestFit="1" customWidth="1"/>
    <col min="2" max="3" width="14.28515625" customWidth="1"/>
    <col min="4" max="5" width="11.42578125" customWidth="1"/>
    <col min="6" max="6" width="9.7109375" bestFit="1" customWidth="1"/>
    <col min="7" max="7" width="17.42578125" customWidth="1"/>
    <col min="8" max="8" width="46.7109375" customWidth="1"/>
    <col min="9" max="9" width="27.28515625" bestFit="1" customWidth="1"/>
    <col min="10" max="11" width="11.42578125" customWidth="1"/>
    <col min="12" max="12" width="89.5703125" bestFit="1" customWidth="1"/>
    <col min="13" max="13" width="8.7109375" customWidth="1"/>
    <col min="14" max="16361" width="8.7109375" hidden="1"/>
    <col min="16362" max="16384" width="14.7109375" hidden="1"/>
  </cols>
  <sheetData>
    <row r="1" spans="1:12" ht="14.85" customHeight="1">
      <c r="A1" s="112"/>
      <c r="B1" s="112"/>
      <c r="C1" s="412"/>
      <c r="D1" s="412"/>
      <c r="E1" s="412"/>
      <c r="F1" s="412"/>
      <c r="G1" s="412"/>
      <c r="H1" s="129"/>
      <c r="I1" s="112"/>
      <c r="J1" s="112"/>
      <c r="K1" s="112"/>
      <c r="L1" s="112"/>
    </row>
    <row r="2" spans="1:12" s="111" customFormat="1" ht="28.9">
      <c r="A2" s="25" t="s">
        <v>3050</v>
      </c>
      <c r="B2" s="25" t="s">
        <v>3051</v>
      </c>
      <c r="C2" s="25" t="s">
        <v>3052</v>
      </c>
      <c r="D2" s="25" t="s">
        <v>3053</v>
      </c>
      <c r="E2" s="25" t="s">
        <v>3054</v>
      </c>
      <c r="F2" s="25" t="s">
        <v>3055</v>
      </c>
      <c r="G2" s="25" t="s">
        <v>3056</v>
      </c>
      <c r="H2" s="25" t="s">
        <v>3057</v>
      </c>
      <c r="I2" s="25" t="s">
        <v>1824</v>
      </c>
      <c r="J2" s="25" t="s">
        <v>3058</v>
      </c>
      <c r="K2" s="25" t="s">
        <v>3059</v>
      </c>
      <c r="L2" s="25" t="s">
        <v>3060</v>
      </c>
    </row>
    <row r="3" spans="1:12" ht="15" customHeight="1">
      <c r="A3" s="410" t="s">
        <v>3061</v>
      </c>
      <c r="B3" s="410">
        <v>1</v>
      </c>
      <c r="C3" s="38" t="s">
        <v>3062</v>
      </c>
      <c r="D3" s="39" t="s">
        <v>110</v>
      </c>
      <c r="E3" s="39" t="s">
        <v>3063</v>
      </c>
      <c r="F3" s="39" t="s">
        <v>3064</v>
      </c>
      <c r="G3" s="39"/>
      <c r="H3" s="410" t="s">
        <v>3065</v>
      </c>
      <c r="I3" s="39"/>
      <c r="J3" s="39"/>
      <c r="K3" s="39"/>
      <c r="L3" s="39"/>
    </row>
    <row r="4" spans="1:12">
      <c r="A4" s="411"/>
      <c r="B4" s="410"/>
      <c r="C4" s="38" t="s">
        <v>3066</v>
      </c>
      <c r="D4" s="39" t="s">
        <v>3067</v>
      </c>
      <c r="E4" s="39" t="s">
        <v>3068</v>
      </c>
      <c r="F4" s="39">
        <v>0</v>
      </c>
      <c r="G4" s="39"/>
      <c r="H4" s="410"/>
      <c r="I4" s="39" t="s">
        <v>3069</v>
      </c>
      <c r="J4" s="39"/>
      <c r="K4" s="130"/>
      <c r="L4" s="39"/>
    </row>
    <row r="5" spans="1:12" ht="14.25" customHeight="1">
      <c r="A5" s="411"/>
      <c r="B5" s="410"/>
      <c r="C5" s="38" t="s">
        <v>3070</v>
      </c>
      <c r="D5" s="39" t="s">
        <v>3067</v>
      </c>
      <c r="E5" s="39" t="s">
        <v>3071</v>
      </c>
      <c r="F5" s="39">
        <v>150</v>
      </c>
      <c r="G5" s="39"/>
      <c r="H5" s="410"/>
      <c r="I5" s="39"/>
      <c r="J5" s="39"/>
      <c r="K5" s="39"/>
      <c r="L5" s="39"/>
    </row>
    <row r="6" spans="1:12">
      <c r="A6" s="9"/>
      <c r="B6" s="9"/>
      <c r="C6" s="16"/>
      <c r="D6" s="9"/>
      <c r="E6" s="9"/>
      <c r="F6" s="9"/>
      <c r="G6" s="9"/>
      <c r="H6" s="36"/>
      <c r="I6" s="9"/>
      <c r="J6" s="9"/>
      <c r="K6" s="9"/>
      <c r="L6" s="9"/>
    </row>
    <row r="7" spans="1:12" ht="14.25" customHeight="1">
      <c r="A7" s="410" t="s">
        <v>3072</v>
      </c>
      <c r="B7" s="410">
        <v>1</v>
      </c>
      <c r="C7" s="38" t="s">
        <v>3062</v>
      </c>
      <c r="D7" s="39" t="s">
        <v>110</v>
      </c>
      <c r="E7" s="39" t="s">
        <v>3063</v>
      </c>
      <c r="F7" s="39" t="s">
        <v>3073</v>
      </c>
      <c r="G7" s="39"/>
      <c r="H7" s="410" t="s">
        <v>3074</v>
      </c>
      <c r="I7" s="39"/>
      <c r="J7" s="39"/>
      <c r="K7" s="39"/>
      <c r="L7" s="39"/>
    </row>
    <row r="8" spans="1:12" ht="14.25" customHeight="1">
      <c r="A8" s="411"/>
      <c r="B8" s="410"/>
      <c r="C8" s="38" t="s">
        <v>3066</v>
      </c>
      <c r="D8" s="39" t="s">
        <v>3067</v>
      </c>
      <c r="E8" s="39" t="s">
        <v>3068</v>
      </c>
      <c r="F8" s="39">
        <v>0</v>
      </c>
      <c r="G8" s="39"/>
      <c r="H8" s="410"/>
      <c r="I8" s="39" t="s">
        <v>3069</v>
      </c>
      <c r="J8" s="39"/>
      <c r="K8" s="39"/>
      <c r="L8" s="39"/>
    </row>
    <row r="9" spans="1:12" ht="14.25" customHeight="1">
      <c r="A9" s="411"/>
      <c r="B9" s="410"/>
      <c r="C9" s="38" t="s">
        <v>3070</v>
      </c>
      <c r="D9" s="39" t="s">
        <v>3067</v>
      </c>
      <c r="E9" s="39" t="s">
        <v>3071</v>
      </c>
      <c r="F9" s="39">
        <v>300</v>
      </c>
      <c r="G9" s="39"/>
      <c r="H9" s="410"/>
      <c r="I9" s="39"/>
      <c r="J9" s="39"/>
      <c r="K9" s="39"/>
      <c r="L9" s="39"/>
    </row>
    <row r="10" spans="1:12">
      <c r="A10" s="9"/>
      <c r="B10" s="9"/>
      <c r="C10" s="16"/>
      <c r="D10" s="9"/>
      <c r="E10" s="9"/>
      <c r="F10" s="9"/>
      <c r="G10" s="9"/>
      <c r="H10" s="36"/>
      <c r="I10" s="9"/>
      <c r="J10" s="9"/>
      <c r="K10" s="9"/>
      <c r="L10" s="9"/>
    </row>
    <row r="11" spans="1:12" ht="14.25" customHeight="1">
      <c r="A11" s="410" t="s">
        <v>3075</v>
      </c>
      <c r="B11" s="410">
        <v>1</v>
      </c>
      <c r="C11" s="38" t="s">
        <v>3062</v>
      </c>
      <c r="D11" s="39" t="s">
        <v>110</v>
      </c>
      <c r="E11" s="39" t="s">
        <v>3063</v>
      </c>
      <c r="F11" s="39" t="s">
        <v>3076</v>
      </c>
      <c r="G11" s="39"/>
      <c r="H11" s="410" t="s">
        <v>3077</v>
      </c>
      <c r="I11" s="39"/>
      <c r="J11" s="39"/>
      <c r="K11" s="39"/>
      <c r="L11" s="39"/>
    </row>
    <row r="12" spans="1:12" ht="14.25" customHeight="1">
      <c r="A12" s="411"/>
      <c r="B12" s="410"/>
      <c r="C12" s="38" t="s">
        <v>3066</v>
      </c>
      <c r="D12" s="39" t="s">
        <v>3067</v>
      </c>
      <c r="E12" s="39" t="s">
        <v>3068</v>
      </c>
      <c r="F12" s="39">
        <v>0</v>
      </c>
      <c r="G12" s="39"/>
      <c r="H12" s="410"/>
      <c r="I12" s="39" t="s">
        <v>3069</v>
      </c>
      <c r="J12" s="39"/>
      <c r="K12" s="39"/>
      <c r="L12" s="39"/>
    </row>
    <row r="13" spans="1:12" ht="14.25" customHeight="1">
      <c r="A13" s="411"/>
      <c r="B13" s="410"/>
      <c r="C13" s="38" t="s">
        <v>3070</v>
      </c>
      <c r="D13" s="39" t="s">
        <v>3067</v>
      </c>
      <c r="E13" s="39" t="s">
        <v>3071</v>
      </c>
      <c r="F13" s="39">
        <v>1000</v>
      </c>
      <c r="G13" s="39"/>
      <c r="H13" s="410"/>
      <c r="I13" s="39"/>
      <c r="J13" s="39"/>
      <c r="K13" s="39"/>
      <c r="L13" s="39"/>
    </row>
    <row r="14" spans="1:12">
      <c r="A14" s="17"/>
      <c r="B14" s="17"/>
      <c r="C14" s="16"/>
      <c r="D14" s="9"/>
      <c r="E14" s="18"/>
      <c r="F14" s="9"/>
      <c r="G14" s="9"/>
      <c r="H14" s="37"/>
      <c r="I14" s="9"/>
      <c r="J14" s="9"/>
      <c r="K14" s="9"/>
      <c r="L14" s="9"/>
    </row>
    <row r="15" spans="1:12" ht="28.9">
      <c r="A15" s="132" t="s">
        <v>3078</v>
      </c>
      <c r="B15" s="132">
        <v>2</v>
      </c>
      <c r="C15" s="38"/>
      <c r="D15" s="39" t="s">
        <v>3079</v>
      </c>
      <c r="E15" s="40" t="s">
        <v>3071</v>
      </c>
      <c r="F15" s="39">
        <v>500</v>
      </c>
      <c r="G15" s="39"/>
      <c r="H15" s="130" t="s">
        <v>3080</v>
      </c>
      <c r="I15" s="39"/>
      <c r="J15" s="39"/>
      <c r="K15" s="39"/>
      <c r="L15" s="39"/>
    </row>
    <row r="16" spans="1:12">
      <c r="A16" s="9"/>
      <c r="B16" s="9"/>
      <c r="C16" s="9"/>
      <c r="D16" s="9"/>
      <c r="E16" s="9"/>
      <c r="F16" s="9"/>
      <c r="G16" s="9"/>
      <c r="H16" s="19"/>
      <c r="I16" s="9"/>
      <c r="J16" s="9"/>
      <c r="K16" s="9"/>
      <c r="L16" s="9"/>
    </row>
    <row r="17" spans="1:12" ht="14.25" customHeight="1">
      <c r="A17" s="411" t="s">
        <v>3081</v>
      </c>
      <c r="B17" s="411">
        <v>1</v>
      </c>
      <c r="C17" s="38" t="s">
        <v>3062</v>
      </c>
      <c r="D17" s="39" t="s">
        <v>96</v>
      </c>
      <c r="E17" s="40" t="s">
        <v>3063</v>
      </c>
      <c r="F17" s="39" t="s">
        <v>60</v>
      </c>
      <c r="G17" s="39"/>
      <c r="H17" s="408" t="s">
        <v>3082</v>
      </c>
      <c r="I17" s="39"/>
      <c r="J17" s="39"/>
      <c r="K17" s="39"/>
      <c r="L17" s="39"/>
    </row>
    <row r="18" spans="1:12" ht="14.25" customHeight="1">
      <c r="A18" s="411"/>
      <c r="B18" s="411"/>
      <c r="C18" s="38" t="s">
        <v>3062</v>
      </c>
      <c r="D18" s="39" t="s">
        <v>98</v>
      </c>
      <c r="E18" s="40" t="s">
        <v>3063</v>
      </c>
      <c r="F18" s="39" t="s">
        <v>59</v>
      </c>
      <c r="G18" s="39"/>
      <c r="H18" s="408"/>
      <c r="I18" s="39"/>
      <c r="J18" s="39"/>
      <c r="K18" s="39"/>
      <c r="L18" s="39"/>
    </row>
    <row r="19" spans="1:12">
      <c r="A19" s="9"/>
      <c r="B19" s="9"/>
      <c r="C19" s="9"/>
      <c r="D19" s="9"/>
      <c r="E19" s="9"/>
      <c r="F19" s="9"/>
      <c r="G19" s="9"/>
      <c r="H19" s="19"/>
      <c r="I19" s="9"/>
      <c r="J19" s="9"/>
      <c r="K19" s="9"/>
      <c r="L19" s="9"/>
    </row>
    <row r="20" spans="1:12">
      <c r="A20" s="132" t="s">
        <v>3083</v>
      </c>
      <c r="B20" s="132">
        <v>1</v>
      </c>
      <c r="C20" s="39"/>
      <c r="D20" s="39" t="s">
        <v>3084</v>
      </c>
      <c r="E20" s="39" t="s">
        <v>3068</v>
      </c>
      <c r="F20" s="39">
        <v>300</v>
      </c>
      <c r="G20" s="39" t="s">
        <v>3085</v>
      </c>
      <c r="H20" s="41" t="s">
        <v>3086</v>
      </c>
      <c r="I20" s="39" t="s">
        <v>3087</v>
      </c>
      <c r="J20" s="39"/>
      <c r="K20" s="39"/>
      <c r="L20" s="39"/>
    </row>
    <row r="21" spans="1:12">
      <c r="A21" s="9"/>
      <c r="B21" s="9"/>
      <c r="C21" s="9"/>
      <c r="D21" s="9"/>
      <c r="E21" s="9"/>
      <c r="F21" s="9"/>
      <c r="G21" s="9"/>
      <c r="H21" s="19"/>
      <c r="I21" s="9"/>
      <c r="J21" s="9"/>
      <c r="K21" s="9"/>
      <c r="L21" s="9"/>
    </row>
    <row r="22" spans="1:12" ht="30" customHeight="1">
      <c r="A22" s="132" t="s">
        <v>3088</v>
      </c>
      <c r="B22" s="132">
        <v>1</v>
      </c>
      <c r="C22" s="39"/>
      <c r="D22" s="45" t="s">
        <v>3089</v>
      </c>
      <c r="E22" s="39" t="s">
        <v>3071</v>
      </c>
      <c r="F22" s="39"/>
      <c r="G22" s="39" t="s">
        <v>3079</v>
      </c>
      <c r="H22" s="41" t="s">
        <v>3090</v>
      </c>
      <c r="I22" s="39"/>
      <c r="J22" s="39"/>
      <c r="K22" s="39"/>
      <c r="L22" s="41" t="s">
        <v>3091</v>
      </c>
    </row>
    <row r="23" spans="1:12">
      <c r="A23" s="9"/>
      <c r="B23" s="9"/>
      <c r="C23" s="9"/>
      <c r="D23" s="9"/>
      <c r="E23" s="9"/>
      <c r="F23" s="9"/>
      <c r="G23" s="9"/>
      <c r="H23" s="9"/>
      <c r="I23" s="9"/>
      <c r="J23" s="9"/>
      <c r="K23" s="9"/>
      <c r="L23" s="9"/>
    </row>
    <row r="24" spans="1:12" ht="28.5" customHeight="1">
      <c r="A24" s="411" t="s">
        <v>3092</v>
      </c>
      <c r="B24" s="411">
        <v>1</v>
      </c>
      <c r="C24" s="39"/>
      <c r="D24" s="39" t="s">
        <v>3093</v>
      </c>
      <c r="E24" s="39" t="s">
        <v>3063</v>
      </c>
      <c r="F24" s="40" t="s">
        <v>3094</v>
      </c>
      <c r="G24" s="39" t="s">
        <v>3095</v>
      </c>
      <c r="H24" s="408" t="s">
        <v>3096</v>
      </c>
      <c r="I24" s="39"/>
      <c r="J24" s="39"/>
      <c r="K24" s="39"/>
      <c r="L24" s="39"/>
    </row>
    <row r="25" spans="1:12" ht="14.25" customHeight="1">
      <c r="A25" s="411"/>
      <c r="B25" s="411"/>
      <c r="C25" s="38" t="s">
        <v>3062</v>
      </c>
      <c r="D25" s="39" t="s">
        <v>3079</v>
      </c>
      <c r="E25" s="39" t="s">
        <v>3071</v>
      </c>
      <c r="F25" s="39">
        <v>10</v>
      </c>
      <c r="G25" s="39"/>
      <c r="H25" s="408"/>
      <c r="I25" s="39"/>
      <c r="J25" s="39"/>
      <c r="K25" s="39"/>
      <c r="L25" s="39"/>
    </row>
    <row r="26" spans="1:12">
      <c r="A26" s="9"/>
      <c r="B26" s="9"/>
      <c r="C26" s="9"/>
      <c r="D26" s="9"/>
      <c r="E26" s="9"/>
      <c r="F26" s="9"/>
      <c r="G26" s="9"/>
      <c r="H26" s="9"/>
      <c r="I26" s="9"/>
      <c r="J26" s="9"/>
      <c r="K26" s="9"/>
      <c r="L26" s="9"/>
    </row>
    <row r="27" spans="1:12">
      <c r="A27" s="409" t="s">
        <v>3097</v>
      </c>
      <c r="B27" s="131"/>
      <c r="C27" s="42"/>
      <c r="D27" s="42" t="s">
        <v>110</v>
      </c>
      <c r="E27" s="43" t="s">
        <v>3063</v>
      </c>
      <c r="F27" s="42" t="s">
        <v>3076</v>
      </c>
      <c r="G27" s="42"/>
      <c r="H27" s="42"/>
      <c r="I27" s="42"/>
      <c r="J27" s="42"/>
      <c r="K27" s="42"/>
      <c r="L27" s="42" t="s">
        <v>3098</v>
      </c>
    </row>
    <row r="28" spans="1:12">
      <c r="A28" s="409"/>
      <c r="B28" s="42"/>
      <c r="C28" s="44" t="s">
        <v>3062</v>
      </c>
      <c r="D28" s="42" t="s">
        <v>3099</v>
      </c>
      <c r="E28" s="42" t="s">
        <v>3071</v>
      </c>
      <c r="F28" s="42">
        <v>0</v>
      </c>
      <c r="G28" s="42"/>
      <c r="H28" s="42"/>
      <c r="I28" s="42"/>
      <c r="J28" s="42"/>
      <c r="K28" s="42"/>
      <c r="L28" s="42" t="s">
        <v>3100</v>
      </c>
    </row>
    <row r="29" spans="1:12">
      <c r="A29" s="9"/>
      <c r="B29" s="9"/>
      <c r="C29" s="9"/>
      <c r="D29" s="9"/>
      <c r="E29" s="9"/>
      <c r="F29" s="9"/>
      <c r="G29" s="9"/>
      <c r="H29" s="9"/>
      <c r="I29" s="9"/>
      <c r="J29" s="9"/>
      <c r="K29" s="9"/>
      <c r="L29" s="9"/>
    </row>
    <row r="30" spans="1:12">
      <c r="A30" s="9"/>
      <c r="B30" s="9"/>
      <c r="C30" s="9"/>
      <c r="D30" s="9"/>
      <c r="E30" s="9"/>
      <c r="F30" s="9"/>
      <c r="G30" s="9"/>
      <c r="H30" s="9"/>
      <c r="I30" s="9"/>
      <c r="J30" s="9"/>
      <c r="K30" s="9"/>
      <c r="L30" s="9"/>
    </row>
    <row r="31" spans="1:12">
      <c r="A31" s="410" t="s">
        <v>3101</v>
      </c>
      <c r="B31" s="411">
        <v>1</v>
      </c>
      <c r="C31" s="38"/>
      <c r="D31" s="45" t="s">
        <v>3102</v>
      </c>
      <c r="E31" s="39" t="s">
        <v>3071</v>
      </c>
      <c r="F31" s="39">
        <v>50</v>
      </c>
      <c r="G31" s="39"/>
      <c r="H31" s="39" t="s">
        <v>3103</v>
      </c>
      <c r="I31" s="39"/>
      <c r="J31" s="39"/>
      <c r="K31" s="39"/>
      <c r="L31" s="39" t="s">
        <v>3104</v>
      </c>
    </row>
    <row r="32" spans="1:12">
      <c r="A32" s="410"/>
      <c r="B32" s="411"/>
      <c r="C32" s="38" t="s">
        <v>3105</v>
      </c>
      <c r="D32" s="45" t="s">
        <v>3106</v>
      </c>
      <c r="E32" s="39" t="s">
        <v>3071</v>
      </c>
      <c r="F32" s="39">
        <v>50</v>
      </c>
      <c r="G32" s="39"/>
      <c r="H32" s="39"/>
      <c r="I32" s="39"/>
      <c r="J32" s="39"/>
      <c r="K32" s="39"/>
      <c r="L32" s="39"/>
    </row>
    <row r="33" spans="1:12">
      <c r="A33" s="410"/>
      <c r="B33" s="411"/>
      <c r="C33" s="38" t="s">
        <v>3105</v>
      </c>
      <c r="D33" s="45" t="s">
        <v>3107</v>
      </c>
      <c r="E33" s="39" t="s">
        <v>3071</v>
      </c>
      <c r="F33" s="39">
        <v>50</v>
      </c>
      <c r="G33" s="39"/>
      <c r="H33" s="39"/>
      <c r="I33" s="39"/>
      <c r="J33" s="39"/>
      <c r="K33" s="39"/>
      <c r="L33" s="39"/>
    </row>
    <row r="34" spans="1:12">
      <c r="A34" s="410"/>
      <c r="B34" s="411"/>
      <c r="C34" s="38" t="s">
        <v>3105</v>
      </c>
      <c r="D34" s="45" t="s">
        <v>3108</v>
      </c>
      <c r="E34" s="39" t="s">
        <v>3071</v>
      </c>
      <c r="F34" s="39">
        <v>50</v>
      </c>
      <c r="G34" s="39"/>
      <c r="H34" s="39"/>
      <c r="I34" s="39"/>
      <c r="J34" s="39"/>
      <c r="K34" s="39"/>
      <c r="L34" s="39"/>
    </row>
    <row r="35" spans="1:12">
      <c r="A35" s="410"/>
      <c r="B35" s="411"/>
      <c r="C35" s="38" t="s">
        <v>3105</v>
      </c>
      <c r="D35" s="45" t="s">
        <v>3109</v>
      </c>
      <c r="E35" s="39" t="s">
        <v>3071</v>
      </c>
      <c r="F35" s="39">
        <v>50</v>
      </c>
      <c r="G35" s="39"/>
      <c r="H35" s="39"/>
      <c r="I35" s="39"/>
      <c r="J35" s="39"/>
      <c r="K35" s="39"/>
      <c r="L35" s="39"/>
    </row>
    <row r="36" spans="1:12">
      <c r="A36" s="410"/>
      <c r="B36" s="411"/>
      <c r="C36" s="38" t="s">
        <v>3105</v>
      </c>
      <c r="D36" s="45" t="s">
        <v>3110</v>
      </c>
      <c r="E36" s="39" t="s">
        <v>3071</v>
      </c>
      <c r="F36" s="39">
        <v>50</v>
      </c>
      <c r="G36" s="39"/>
      <c r="H36" s="39"/>
      <c r="I36" s="39"/>
      <c r="J36" s="39"/>
      <c r="K36" s="39"/>
      <c r="L36" s="39"/>
    </row>
    <row r="37" spans="1:12">
      <c r="A37" s="410"/>
      <c r="B37" s="411"/>
      <c r="C37" s="38" t="s">
        <v>3105</v>
      </c>
      <c r="D37" s="45" t="s">
        <v>3111</v>
      </c>
      <c r="E37" s="39" t="s">
        <v>3071</v>
      </c>
      <c r="F37" s="39">
        <v>50</v>
      </c>
      <c r="G37" s="39"/>
      <c r="H37" s="39"/>
      <c r="I37" s="39"/>
      <c r="J37" s="39"/>
      <c r="K37" s="39"/>
      <c r="L37" s="39"/>
    </row>
    <row r="38" spans="1:12">
      <c r="A38" s="410"/>
      <c r="B38" s="411"/>
      <c r="C38" s="38" t="s">
        <v>3105</v>
      </c>
      <c r="D38" s="45" t="s">
        <v>3112</v>
      </c>
      <c r="E38" s="39" t="s">
        <v>3071</v>
      </c>
      <c r="F38" s="39">
        <v>50</v>
      </c>
      <c r="G38" s="39"/>
      <c r="H38" s="39"/>
      <c r="I38" s="39"/>
      <c r="J38" s="39"/>
      <c r="K38" s="39"/>
      <c r="L38" s="39"/>
    </row>
    <row r="39" spans="1:12">
      <c r="A39" s="410"/>
      <c r="B39" s="411"/>
      <c r="C39" s="38" t="s">
        <v>3105</v>
      </c>
      <c r="D39" s="45" t="s">
        <v>3113</v>
      </c>
      <c r="E39" s="39" t="s">
        <v>3071</v>
      </c>
      <c r="F39" s="39">
        <v>50</v>
      </c>
      <c r="G39" s="39"/>
      <c r="H39" s="39"/>
      <c r="I39" s="39"/>
      <c r="J39" s="39"/>
      <c r="K39" s="39"/>
      <c r="L39" s="39"/>
    </row>
    <row r="40" spans="1:12">
      <c r="C40" s="35"/>
    </row>
    <row r="44" spans="1:12" ht="16.5" customHeight="1"/>
  </sheetData>
  <mergeCells count="19">
    <mergeCell ref="C1:G1"/>
    <mergeCell ref="B31:B39"/>
    <mergeCell ref="B17:B18"/>
    <mergeCell ref="A17:A18"/>
    <mergeCell ref="A3:A5"/>
    <mergeCell ref="A11:A13"/>
    <mergeCell ref="A7:A9"/>
    <mergeCell ref="A31:A39"/>
    <mergeCell ref="A24:A25"/>
    <mergeCell ref="H24:H25"/>
    <mergeCell ref="A27:A28"/>
    <mergeCell ref="B3:B5"/>
    <mergeCell ref="B7:B9"/>
    <mergeCell ref="B11:B13"/>
    <mergeCell ref="B24:B25"/>
    <mergeCell ref="H3:H5"/>
    <mergeCell ref="H7:H9"/>
    <mergeCell ref="H11:H13"/>
    <mergeCell ref="H17:H18"/>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FF9900"/>
  </sheetPr>
  <dimension ref="A1:H18"/>
  <sheetViews>
    <sheetView zoomScale="70" zoomScaleNormal="70" workbookViewId="0">
      <selection activeCell="E2" sqref="E2"/>
    </sheetView>
  </sheetViews>
  <sheetFormatPr defaultColWidth="0" defaultRowHeight="14.45"/>
  <cols>
    <col min="1" max="1" width="54.7109375" bestFit="1" customWidth="1"/>
    <col min="2" max="2" width="26.28515625" customWidth="1"/>
    <col min="3" max="3" width="51.7109375" customWidth="1"/>
    <col min="4" max="4" width="25.7109375" customWidth="1"/>
    <col min="5" max="5" width="14.28515625" customWidth="1"/>
    <col min="6" max="6" width="25.7109375" customWidth="1"/>
    <col min="7" max="7" width="29.5703125" customWidth="1"/>
    <col min="8" max="8" width="9.28515625" customWidth="1"/>
    <col min="9" max="16384" width="9.28515625" hidden="1"/>
  </cols>
  <sheetData>
    <row r="1" spans="1:7">
      <c r="A1" s="30" t="s">
        <v>3114</v>
      </c>
      <c r="B1" s="30"/>
      <c r="C1" s="30" t="s">
        <v>3115</v>
      </c>
      <c r="D1" s="30" t="s">
        <v>3054</v>
      </c>
      <c r="E1" s="30" t="s">
        <v>212</v>
      </c>
      <c r="F1" s="31" t="s">
        <v>3059</v>
      </c>
      <c r="G1" s="31" t="s">
        <v>3116</v>
      </c>
    </row>
    <row r="2" spans="1:7" ht="28.9">
      <c r="A2" s="9" t="s">
        <v>3117</v>
      </c>
      <c r="B2" s="23" t="s">
        <v>3118</v>
      </c>
      <c r="C2" s="19" t="s">
        <v>3119</v>
      </c>
      <c r="D2" s="9"/>
      <c r="E2" s="9"/>
      <c r="F2" s="9"/>
      <c r="G2" s="9"/>
    </row>
    <row r="3" spans="1:7" ht="28.9">
      <c r="A3" s="9" t="s">
        <v>3120</v>
      </c>
      <c r="B3" s="55">
        <v>0</v>
      </c>
      <c r="C3" s="19" t="s">
        <v>3121</v>
      </c>
      <c r="D3" s="9"/>
      <c r="E3" s="9"/>
      <c r="F3" s="9"/>
      <c r="G3" s="9"/>
    </row>
    <row r="4" spans="1:7">
      <c r="A4" s="9" t="s">
        <v>3122</v>
      </c>
      <c r="B4" s="23">
        <v>0</v>
      </c>
      <c r="C4" s="19"/>
      <c r="D4" s="9"/>
      <c r="E4" s="9"/>
      <c r="F4" s="9"/>
      <c r="G4" s="9"/>
    </row>
    <row r="5" spans="1:7">
      <c r="A5" s="9" t="s">
        <v>3123</v>
      </c>
      <c r="B5" s="23">
        <v>0</v>
      </c>
      <c r="C5" s="19"/>
      <c r="D5" s="9"/>
      <c r="E5" s="9"/>
      <c r="F5" s="9"/>
      <c r="G5" s="9"/>
    </row>
    <row r="6" spans="1:7">
      <c r="A6" s="9" t="s">
        <v>3124</v>
      </c>
      <c r="B6" s="23">
        <v>0</v>
      </c>
      <c r="C6" s="19"/>
      <c r="D6" s="9"/>
      <c r="E6" s="9"/>
      <c r="F6" s="9"/>
      <c r="G6" s="9"/>
    </row>
    <row r="7" spans="1:7" ht="32.25" customHeight="1">
      <c r="A7" s="9" t="s">
        <v>3125</v>
      </c>
      <c r="B7" s="33">
        <v>0</v>
      </c>
      <c r="C7" s="19" t="s">
        <v>3126</v>
      </c>
      <c r="D7" s="9"/>
      <c r="E7" s="9"/>
      <c r="F7" s="9"/>
      <c r="G7" s="9"/>
    </row>
    <row r="8" spans="1:7" ht="28.5" customHeight="1">
      <c r="A8" s="9" t="s">
        <v>3127</v>
      </c>
      <c r="B8" s="9">
        <v>0</v>
      </c>
      <c r="C8" s="19" t="s">
        <v>3128</v>
      </c>
      <c r="D8" s="9"/>
      <c r="E8" s="9"/>
      <c r="F8" s="9"/>
      <c r="G8" s="9"/>
    </row>
    <row r="9" spans="1:7" ht="26.25" customHeight="1">
      <c r="A9" s="9" t="s">
        <v>3129</v>
      </c>
      <c r="B9" s="54" t="s">
        <v>60</v>
      </c>
      <c r="C9" s="19" t="s">
        <v>3130</v>
      </c>
      <c r="D9" s="9"/>
      <c r="E9" s="9"/>
      <c r="F9" s="9"/>
      <c r="G9" s="9"/>
    </row>
    <row r="10" spans="1:7">
      <c r="A10" s="9" t="s">
        <v>3131</v>
      </c>
      <c r="B10" s="56">
        <v>0</v>
      </c>
      <c r="C10" s="19" t="s">
        <v>3132</v>
      </c>
      <c r="D10" s="9"/>
      <c r="E10" s="9"/>
      <c r="F10" s="9"/>
      <c r="G10" s="9"/>
    </row>
    <row r="11" spans="1:7" ht="28.9">
      <c r="A11" s="9" t="s">
        <v>3133</v>
      </c>
      <c r="B11" s="28">
        <v>0</v>
      </c>
      <c r="C11" s="19" t="s">
        <v>3134</v>
      </c>
      <c r="D11" s="9"/>
      <c r="E11" s="9"/>
      <c r="F11" s="9"/>
      <c r="G11" s="9"/>
    </row>
    <row r="12" spans="1:7">
      <c r="A12" s="9" t="s">
        <v>3135</v>
      </c>
      <c r="B12" s="23" t="s">
        <v>60</v>
      </c>
      <c r="C12" s="19"/>
      <c r="D12" s="9"/>
      <c r="E12" s="9"/>
      <c r="F12" s="9"/>
      <c r="G12" s="9"/>
    </row>
    <row r="13" spans="1:7">
      <c r="A13" s="9" t="s">
        <v>3136</v>
      </c>
      <c r="B13" s="28" t="s">
        <v>60</v>
      </c>
      <c r="C13" s="19"/>
      <c r="D13" s="9"/>
      <c r="E13" s="9"/>
      <c r="F13" s="9"/>
      <c r="G13" s="9" t="s">
        <v>3137</v>
      </c>
    </row>
    <row r="14" spans="1:7">
      <c r="A14" s="9" t="s">
        <v>3138</v>
      </c>
      <c r="B14" s="9" t="s">
        <v>60</v>
      </c>
      <c r="C14" s="19"/>
      <c r="D14" s="9"/>
      <c r="E14" s="9"/>
      <c r="F14" s="9"/>
      <c r="G14" s="9" t="s">
        <v>3137</v>
      </c>
    </row>
    <row r="15" spans="1:7">
      <c r="A15" s="9" t="s">
        <v>3139</v>
      </c>
      <c r="B15" s="23" t="s">
        <v>3140</v>
      </c>
      <c r="C15" s="19"/>
      <c r="D15" s="9"/>
      <c r="E15" s="9"/>
      <c r="F15" s="9"/>
      <c r="G15" s="9"/>
    </row>
    <row r="16" spans="1:7">
      <c r="A16" s="9" t="s">
        <v>3141</v>
      </c>
      <c r="B16" s="9"/>
      <c r="C16" s="9"/>
      <c r="D16" s="9"/>
      <c r="E16" s="9"/>
      <c r="F16" s="9"/>
      <c r="G16" s="9"/>
    </row>
    <row r="17" spans="1:7">
      <c r="A17" s="9"/>
      <c r="B17" s="9"/>
      <c r="C17" s="9"/>
      <c r="D17" s="9"/>
      <c r="E17" s="9"/>
      <c r="F17" s="9"/>
      <c r="G17" s="9"/>
    </row>
    <row r="18" spans="1:7">
      <c r="A18" s="9"/>
      <c r="B18" s="9"/>
      <c r="C18" s="9"/>
      <c r="D18" s="9"/>
      <c r="E18" s="9"/>
      <c r="F18" s="9"/>
      <c r="G18" s="9"/>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D9071-FA73-4C48-95C4-03B33B77465A}">
  <sheetPr codeName="Sheet18"/>
  <dimension ref="A2:N223"/>
  <sheetViews>
    <sheetView zoomScale="85" zoomScaleNormal="85" workbookViewId="0">
      <selection activeCell="E17" sqref="E17"/>
    </sheetView>
  </sheetViews>
  <sheetFormatPr defaultRowHeight="14.45"/>
  <cols>
    <col min="1" max="1" width="19.7109375" bestFit="1" customWidth="1"/>
    <col min="2" max="2" width="5.7109375" bestFit="1" customWidth="1"/>
    <col min="3" max="3" width="16.5703125" customWidth="1"/>
    <col min="4" max="4" width="13.28515625" bestFit="1" customWidth="1"/>
    <col min="5" max="5" width="53.28515625" bestFit="1" customWidth="1"/>
    <col min="6" max="6" width="9" bestFit="1" customWidth="1"/>
    <col min="7" max="7" width="15.7109375" bestFit="1" customWidth="1"/>
    <col min="8" max="8" width="24.28515625" bestFit="1" customWidth="1"/>
    <col min="9" max="9" width="10.42578125" bestFit="1" customWidth="1"/>
    <col min="10" max="10" width="22.28515625" bestFit="1" customWidth="1"/>
    <col min="11" max="11" width="5.5703125" bestFit="1" customWidth="1"/>
    <col min="12" max="12" width="11.7109375" bestFit="1" customWidth="1"/>
    <col min="13" max="13" width="3.42578125" bestFit="1" customWidth="1"/>
    <col min="14" max="14" width="172.28515625" bestFit="1" customWidth="1"/>
  </cols>
  <sheetData>
    <row r="2" spans="1:14">
      <c r="B2" s="111" t="s">
        <v>3142</v>
      </c>
      <c r="C2" s="111" t="s">
        <v>20</v>
      </c>
      <c r="D2" s="111" t="s">
        <v>3142</v>
      </c>
      <c r="E2" s="111" t="s">
        <v>3143</v>
      </c>
      <c r="F2" s="111"/>
      <c r="G2" s="111"/>
      <c r="H2" s="111" t="s">
        <v>3144</v>
      </c>
      <c r="I2" s="111"/>
      <c r="J2" s="111" t="s">
        <v>3145</v>
      </c>
      <c r="K2" s="111" t="s">
        <v>3142</v>
      </c>
      <c r="L2" s="111" t="s">
        <v>3146</v>
      </c>
    </row>
    <row r="3" spans="1:14">
      <c r="A3" t="s">
        <v>3147</v>
      </c>
      <c r="B3" s="9" t="s">
        <v>3148</v>
      </c>
      <c r="C3" s="9" t="str">
        <f>'Volume &amp; Price List'!A10</f>
        <v>V60SKU1</v>
      </c>
      <c r="D3" s="9" t="s">
        <v>3149</v>
      </c>
      <c r="E3" s="9" t="str">
        <f>'Volume &amp; Price List'!B10</f>
        <v>Aspen</v>
      </c>
      <c r="F3" s="9" t="s">
        <v>3150</v>
      </c>
      <c r="G3" s="9" t="s">
        <v>3151</v>
      </c>
      <c r="H3" s="9" t="str">
        <f>'Volume &amp; Price List'!G10</f>
        <v>JTI</v>
      </c>
      <c r="I3" s="9" t="s">
        <v>3152</v>
      </c>
      <c r="J3" s="9">
        <f>'Volume &amp; Price List'!I10</f>
        <v>10</v>
      </c>
      <c r="K3" s="9" t="s">
        <v>3153</v>
      </c>
      <c r="L3" s="9">
        <f>'Volume &amp; Price List'!K10</f>
        <v>0</v>
      </c>
      <c r="M3" s="9" t="s">
        <v>3154</v>
      </c>
      <c r="N3" s="9" t="str">
        <f>CONCATENATE(B3,A3,C3,A3,D3,E3,F3,E3,G3,H3,I3,J3,K3,L3,M3)</f>
        <v>{ "v": "V60SKU1", "n": { "EN": "Aspen", "SYS":"Aspen "}, "company": "JTI", "conv": [10,0] },</v>
      </c>
    </row>
    <row r="4" spans="1:14">
      <c r="A4" t="s">
        <v>3147</v>
      </c>
      <c r="B4" s="9" t="s">
        <v>3148</v>
      </c>
      <c r="C4" s="9" t="str">
        <f>'Volume &amp; Price List'!A11</f>
        <v>V60SKU2</v>
      </c>
      <c r="D4" s="9" t="s">
        <v>3149</v>
      </c>
      <c r="E4" s="9" t="str">
        <f>'Volume &amp; Price List'!B11</f>
        <v>Winston</v>
      </c>
      <c r="F4" s="9" t="s">
        <v>3150</v>
      </c>
      <c r="G4" s="9" t="s">
        <v>3151</v>
      </c>
      <c r="H4" s="9" t="str">
        <f>'Volume &amp; Price List'!G11</f>
        <v>JTI</v>
      </c>
      <c r="I4" s="9" t="s">
        <v>3152</v>
      </c>
      <c r="J4" s="9">
        <f>'Volume &amp; Price List'!I11</f>
        <v>10</v>
      </c>
      <c r="K4" s="9" t="s">
        <v>3153</v>
      </c>
      <c r="L4" s="9">
        <f>'Volume &amp; Price List'!K11</f>
        <v>0</v>
      </c>
      <c r="M4" s="9" t="s">
        <v>3154</v>
      </c>
      <c r="N4" s="9" t="str">
        <f t="shared" ref="N4:N11" si="0">CONCATENATE(B4,A4,C4,A4,D4,E4,F4,E4,G4,H4,I4,J4,K4,L4,M4)</f>
        <v>{ "v": "V60SKU2", "n": { "EN": "Winston", "SYS":"Winston "}, "company": "JTI", "conv": [10,0] },</v>
      </c>
    </row>
    <row r="5" spans="1:14">
      <c r="A5" t="s">
        <v>3147</v>
      </c>
      <c r="B5" s="9" t="s">
        <v>3148</v>
      </c>
      <c r="C5" s="9" t="str">
        <f>'Volume &amp; Price List'!A12</f>
        <v>V60SKU3</v>
      </c>
      <c r="D5" s="9" t="s">
        <v>3149</v>
      </c>
      <c r="E5" s="9" t="str">
        <f>'Volume &amp; Price List'!B12</f>
        <v>Marlboro</v>
      </c>
      <c r="F5" s="9" t="s">
        <v>3150</v>
      </c>
      <c r="G5" s="9" t="s">
        <v>3151</v>
      </c>
      <c r="H5" s="9" t="str">
        <f>'Volume &amp; Price List'!G12</f>
        <v>PMI</v>
      </c>
      <c r="I5" s="9" t="s">
        <v>3152</v>
      </c>
      <c r="J5" s="9">
        <f>'Volume &amp; Price List'!I12</f>
        <v>10</v>
      </c>
      <c r="K5" s="9" t="s">
        <v>3153</v>
      </c>
      <c r="L5" s="9">
        <f>'Volume &amp; Price List'!K12</f>
        <v>0</v>
      </c>
      <c r="M5" s="9" t="s">
        <v>3154</v>
      </c>
      <c r="N5" s="9" t="str">
        <f t="shared" si="0"/>
        <v>{ "v": "V60SKU3", "n": { "EN": "Marlboro", "SYS":"Marlboro "}, "company": "PMI", "conv": [10,0] },</v>
      </c>
    </row>
    <row r="6" spans="1:14">
      <c r="A6" t="s">
        <v>3147</v>
      </c>
      <c r="B6" s="9" t="s">
        <v>3148</v>
      </c>
      <c r="C6" s="9" t="e">
        <f>'Volume &amp; Price List'!#REF!</f>
        <v>#REF!</v>
      </c>
      <c r="D6" s="9" t="s">
        <v>3149</v>
      </c>
      <c r="E6" s="9" t="e">
        <f>'Volume &amp; Price List'!#REF!</f>
        <v>#REF!</v>
      </c>
      <c r="F6" s="9" t="s">
        <v>3150</v>
      </c>
      <c r="G6" s="9" t="s">
        <v>3151</v>
      </c>
      <c r="H6" s="9" t="e">
        <f>'Volume &amp; Price List'!#REF!</f>
        <v>#REF!</v>
      </c>
      <c r="I6" s="9" t="s">
        <v>3152</v>
      </c>
      <c r="J6" s="9" t="e">
        <f>'Volume &amp; Price List'!#REF!</f>
        <v>#REF!</v>
      </c>
      <c r="K6" s="9" t="s">
        <v>3153</v>
      </c>
      <c r="L6" s="9" t="e">
        <f>'Volume &amp; Price List'!#REF!</f>
        <v>#REF!</v>
      </c>
      <c r="M6" s="9" t="s">
        <v>3154</v>
      </c>
      <c r="N6" s="9" t="e">
        <f t="shared" si="0"/>
        <v>#REF!</v>
      </c>
    </row>
    <row r="7" spans="1:14">
      <c r="A7" t="s">
        <v>3147</v>
      </c>
      <c r="B7" s="9" t="s">
        <v>3148</v>
      </c>
      <c r="C7" s="9" t="str">
        <f>'Volume &amp; Price List'!A13</f>
        <v>V60SKU4</v>
      </c>
      <c r="D7" s="9" t="s">
        <v>3149</v>
      </c>
      <c r="E7" s="9" t="str">
        <f>'Volume &amp; Price List'!B13</f>
        <v>B&amp;H</v>
      </c>
      <c r="F7" s="9" t="s">
        <v>3150</v>
      </c>
      <c r="G7" s="9" t="s">
        <v>3151</v>
      </c>
      <c r="H7" s="9" t="str">
        <f>'Volume &amp; Price List'!G13</f>
        <v>BAT</v>
      </c>
      <c r="I7" s="9" t="s">
        <v>3152</v>
      </c>
      <c r="J7" s="9">
        <f>'Volume &amp; Price List'!I13</f>
        <v>10</v>
      </c>
      <c r="K7" s="9" t="s">
        <v>3153</v>
      </c>
      <c r="L7" s="9">
        <f>'Volume &amp; Price List'!K13</f>
        <v>0</v>
      </c>
      <c r="M7" s="9" t="s">
        <v>3154</v>
      </c>
      <c r="N7" s="9" t="str">
        <f t="shared" si="0"/>
        <v>{ "v": "V60SKU4", "n": { "EN": "B&amp;H", "SYS":"B&amp;H "}, "company": "BAT", "conv": [10,0] },</v>
      </c>
    </row>
    <row r="8" spans="1:14">
      <c r="A8" t="s">
        <v>3147</v>
      </c>
      <c r="B8" s="9" t="s">
        <v>3148</v>
      </c>
      <c r="C8" s="9" t="str">
        <f>'Volume &amp; Price List'!A14</f>
        <v>V60SKU5</v>
      </c>
      <c r="D8" s="9" t="s">
        <v>3149</v>
      </c>
      <c r="E8" s="9" t="str">
        <f>'Volume &amp; Price List'!B14</f>
        <v>L&amp;B</v>
      </c>
      <c r="F8" s="9" t="s">
        <v>3150</v>
      </c>
      <c r="G8" s="9" t="s">
        <v>3151</v>
      </c>
      <c r="H8" s="9" t="str">
        <f>'Volume &amp; Price List'!G14</f>
        <v>BAT</v>
      </c>
      <c r="I8" s="9" t="s">
        <v>3152</v>
      </c>
      <c r="J8" s="9">
        <f>'Volume &amp; Price List'!I14</f>
        <v>10</v>
      </c>
      <c r="K8" s="9" t="s">
        <v>3153</v>
      </c>
      <c r="L8" s="9">
        <f>'Volume &amp; Price List'!K14</f>
        <v>0</v>
      </c>
      <c r="M8" s="9" t="s">
        <v>3154</v>
      </c>
      <c r="N8" s="9" t="str">
        <f t="shared" si="0"/>
        <v>{ "v": "V60SKU5", "n": { "EN": "L&amp;B", "SYS":"L&amp;B "}, "company": "BAT", "conv": [10,0] },</v>
      </c>
    </row>
    <row r="9" spans="1:14">
      <c r="A9" t="s">
        <v>3147</v>
      </c>
      <c r="B9" s="9" t="s">
        <v>3148</v>
      </c>
      <c r="C9" s="9" t="str">
        <f>'Volume &amp; Price List'!A15</f>
        <v>V60SKU6</v>
      </c>
      <c r="D9" s="9" t="s">
        <v>3149</v>
      </c>
      <c r="E9" s="9" t="str">
        <f>'Volume &amp; Price List'!B15</f>
        <v>Rothmans</v>
      </c>
      <c r="F9" s="9" t="s">
        <v>3150</v>
      </c>
      <c r="G9" s="9" t="s">
        <v>3151</v>
      </c>
      <c r="H9" s="9" t="str">
        <f>'Volume &amp; Price List'!G15</f>
        <v>BAT</v>
      </c>
      <c r="I9" s="9" t="s">
        <v>3152</v>
      </c>
      <c r="J9" s="9">
        <f>'Volume &amp; Price List'!I15</f>
        <v>10</v>
      </c>
      <c r="K9" s="9" t="s">
        <v>3153</v>
      </c>
      <c r="L9" s="9">
        <f>'Volume &amp; Price List'!K15</f>
        <v>0</v>
      </c>
      <c r="M9" s="9" t="s">
        <v>3154</v>
      </c>
      <c r="N9" s="9" t="str">
        <f t="shared" si="0"/>
        <v>{ "v": "V60SKU6", "n": { "EN": "Rothmans", "SYS":"Rothmans "}, "company": "BAT", "conv": [10,0] },</v>
      </c>
    </row>
    <row r="10" spans="1:14">
      <c r="A10" t="s">
        <v>3147</v>
      </c>
      <c r="B10" s="9" t="s">
        <v>3148</v>
      </c>
      <c r="C10" s="9" t="str">
        <f>'Volume &amp; Price List'!A16</f>
        <v>V60SKU7</v>
      </c>
      <c r="D10" s="9" t="s">
        <v>3149</v>
      </c>
      <c r="E10" s="9" t="str">
        <f>'Volume &amp; Price List'!B16</f>
        <v>Diplomat</v>
      </c>
      <c r="F10" s="9" t="s">
        <v>3150</v>
      </c>
      <c r="G10" s="9" t="s">
        <v>3151</v>
      </c>
      <c r="H10" s="9" t="str">
        <f>'Volume &amp; Price List'!G16</f>
        <v>BAT</v>
      </c>
      <c r="I10" s="9" t="s">
        <v>3152</v>
      </c>
      <c r="J10" s="9">
        <f>'Volume &amp; Price List'!I16</f>
        <v>10</v>
      </c>
      <c r="K10" s="9" t="s">
        <v>3153</v>
      </c>
      <c r="L10" s="9">
        <f>'Volume &amp; Price List'!K16</f>
        <v>0</v>
      </c>
      <c r="M10" s="9" t="s">
        <v>3154</v>
      </c>
      <c r="N10" s="9" t="str">
        <f t="shared" si="0"/>
        <v>{ "v": "V60SKU7", "n": { "EN": "Diplomat", "SYS":"Diplomat "}, "company": "BAT", "conv": [10,0] },</v>
      </c>
    </row>
    <row r="11" spans="1:14">
      <c r="A11" t="s">
        <v>3147</v>
      </c>
      <c r="B11" s="9" t="s">
        <v>3148</v>
      </c>
      <c r="C11" s="9" t="str">
        <f>'Volume &amp; Price List'!A17</f>
        <v>V60SKU8</v>
      </c>
      <c r="D11" s="9" t="s">
        <v>3149</v>
      </c>
      <c r="E11" s="9" t="str">
        <f>'Volume &amp; Price List'!B17</f>
        <v>Gold Seal</v>
      </c>
      <c r="F11" s="9" t="s">
        <v>3150</v>
      </c>
      <c r="G11" s="9" t="s">
        <v>3151</v>
      </c>
      <c r="H11" s="9" t="str">
        <f>'Volume &amp; Price List'!G17</f>
        <v>Oriental</v>
      </c>
      <c r="I11" s="9" t="s">
        <v>3152</v>
      </c>
      <c r="J11" s="9">
        <f>'Volume &amp; Price List'!I17</f>
        <v>10</v>
      </c>
      <c r="K11" s="9" t="s">
        <v>3153</v>
      </c>
      <c r="L11" s="9">
        <f>'Volume &amp; Price List'!K17</f>
        <v>0</v>
      </c>
      <c r="M11" s="9" t="s">
        <v>3154</v>
      </c>
      <c r="N11" s="9" t="str">
        <f t="shared" si="0"/>
        <v>{ "v": "V60SKU8", "n": { "EN": "Gold Seal", "SYS":"Gold Seal "}, "company": "Oriental", "conv": [10,0] },</v>
      </c>
    </row>
    <row r="12" spans="1:14">
      <c r="B12" s="9" t="s">
        <v>3148</v>
      </c>
      <c r="C12" s="9" t="str">
        <f>'Volume &amp; Price List'!A18</f>
        <v>V60SKU9</v>
      </c>
      <c r="D12" s="9" t="s">
        <v>3149</v>
      </c>
      <c r="E12" s="9" t="str">
        <f>'Volume &amp; Price List'!B18</f>
        <v>Gold Pin</v>
      </c>
      <c r="F12" s="9" t="s">
        <v>3150</v>
      </c>
      <c r="G12" s="9" t="s">
        <v>3151</v>
      </c>
      <c r="H12" s="9" t="str">
        <f>'Volume &amp; Price List'!G18</f>
        <v>Oriental</v>
      </c>
      <c r="I12" s="9" t="s">
        <v>3152</v>
      </c>
      <c r="J12" s="9">
        <f>'Volume &amp; Price List'!I18</f>
        <v>10</v>
      </c>
      <c r="K12" s="9" t="s">
        <v>3153</v>
      </c>
      <c r="L12" s="9">
        <f>'Volume &amp; Price List'!K18</f>
        <v>0</v>
      </c>
      <c r="M12" s="9" t="s">
        <v>3154</v>
      </c>
      <c r="N12" s="9" t="str">
        <f>CONCATENATE(B12,A12,C12,A12,D12,E12,F12,E12,G12,H12,I12,J12,K12,L12,M12)</f>
        <v>{ "v": V60SKU9, "n": { "EN": "Gold Pin", "SYS":"Gold Pin "}, "company": "Oriental", "conv": [10,0] },</v>
      </c>
    </row>
    <row r="13" spans="1:14">
      <c r="B13" s="9" t="s">
        <v>3148</v>
      </c>
      <c r="C13" s="9" t="str">
        <f>'Volume &amp; Price List'!A19</f>
        <v>V60SKU10</v>
      </c>
      <c r="D13" s="9" t="s">
        <v>3149</v>
      </c>
      <c r="E13" s="9" t="str">
        <f>'Volume &amp; Price List'!B19</f>
        <v>Oris</v>
      </c>
      <c r="F13" s="9" t="s">
        <v>3150</v>
      </c>
      <c r="G13" s="9" t="s">
        <v>3151</v>
      </c>
      <c r="H13" s="9" t="str">
        <f>'Volume &amp; Price List'!G19</f>
        <v>Oriental</v>
      </c>
      <c r="I13" s="9" t="s">
        <v>3152</v>
      </c>
      <c r="J13" s="9">
        <f>'Volume &amp; Price List'!I19</f>
        <v>10</v>
      </c>
      <c r="K13" s="9" t="s">
        <v>3153</v>
      </c>
      <c r="L13" s="9">
        <f>'Volume &amp; Price List'!K19</f>
        <v>0</v>
      </c>
      <c r="M13" s="9" t="s">
        <v>3154</v>
      </c>
      <c r="N13" s="9" t="str">
        <f t="shared" ref="N13:N67" si="1">CONCATENATE(B13,A13,C13,A13,D13,E13,F13,E13,G13,H13,I13,J13,K13,L13,M13)</f>
        <v>{ "v": V60SKU10, "n": { "EN": "Oris", "SYS":"Oris "}, "company": "Oriental", "conv": [10,0] },</v>
      </c>
    </row>
    <row r="14" spans="1:14">
      <c r="B14" s="9" t="s">
        <v>3148</v>
      </c>
      <c r="C14" s="9" t="str">
        <f>'Volume &amp; Price List'!A20</f>
        <v>V60SKU11</v>
      </c>
      <c r="D14" s="9" t="s">
        <v>3149</v>
      </c>
      <c r="E14" s="9" t="str">
        <f>'Volume &amp; Price List'!B20</f>
        <v>D&amp;J</v>
      </c>
      <c r="F14" s="9" t="s">
        <v>3150</v>
      </c>
      <c r="G14" s="9" t="s">
        <v>3151</v>
      </c>
      <c r="H14" s="9" t="str">
        <f>'Volume &amp; Price List'!G20</f>
        <v>Oriental</v>
      </c>
      <c r="I14" s="9" t="s">
        <v>3152</v>
      </c>
      <c r="J14" s="9">
        <f>'Volume &amp; Price List'!I20</f>
        <v>10</v>
      </c>
      <c r="K14" s="9" t="s">
        <v>3153</v>
      </c>
      <c r="L14" s="9">
        <f>'Volume &amp; Price List'!K20</f>
        <v>0</v>
      </c>
      <c r="M14" s="9" t="s">
        <v>3154</v>
      </c>
      <c r="N14" s="9" t="str">
        <f t="shared" si="1"/>
        <v>{ "v": V60SKU11, "n": { "EN": "D&amp;J", "SYS":"D&amp;J "}, "company": "Oriental", "conv": [10,0] },</v>
      </c>
    </row>
    <row r="15" spans="1:14">
      <c r="B15" s="9" t="s">
        <v>3148</v>
      </c>
      <c r="C15" s="9" t="str">
        <f>'Volume &amp; Price List'!A21</f>
        <v>V60SKU12</v>
      </c>
      <c r="D15" s="9" t="s">
        <v>3149</v>
      </c>
      <c r="E15" s="9" t="str">
        <f>'Volume &amp; Price List'!B21</f>
        <v>Esse</v>
      </c>
      <c r="F15" s="9" t="s">
        <v>3150</v>
      </c>
      <c r="G15" s="9" t="s">
        <v>3151</v>
      </c>
      <c r="H15" s="9" t="str">
        <f>'Volume &amp; Price List'!G21</f>
        <v>KT&amp;G</v>
      </c>
      <c r="I15" s="9" t="s">
        <v>3152</v>
      </c>
      <c r="J15" s="9">
        <f>'Volume &amp; Price List'!I21</f>
        <v>10</v>
      </c>
      <c r="K15" s="9" t="s">
        <v>3153</v>
      </c>
      <c r="L15" s="9">
        <f>'Volume &amp; Price List'!K21</f>
        <v>0</v>
      </c>
      <c r="M15" s="9" t="s">
        <v>3154</v>
      </c>
      <c r="N15" s="9" t="str">
        <f t="shared" si="1"/>
        <v>{ "v": V60SKU12, "n": { "EN": "Esse", "SYS":"Esse "}, "company": "KT&amp;G", "conv": [10,0] },</v>
      </c>
    </row>
    <row r="16" spans="1:14">
      <c r="B16" s="9" t="s">
        <v>3148</v>
      </c>
      <c r="C16" s="9" t="str">
        <f>'Volume &amp; Price List'!A22</f>
        <v>V60SKU13</v>
      </c>
      <c r="D16" s="9" t="s">
        <v>3149</v>
      </c>
      <c r="E16" s="9" t="str">
        <f>'Volume &amp; Price List'!B22</f>
        <v>Time</v>
      </c>
      <c r="F16" s="9" t="s">
        <v>3150</v>
      </c>
      <c r="G16" s="9" t="s">
        <v>3151</v>
      </c>
      <c r="H16" s="9" t="str">
        <f>'Volume &amp; Price List'!G22</f>
        <v>KT&amp;G</v>
      </c>
      <c r="I16" s="9" t="s">
        <v>3152</v>
      </c>
      <c r="J16" s="9">
        <f>'Volume &amp; Price List'!I22</f>
        <v>10</v>
      </c>
      <c r="K16" s="9" t="s">
        <v>3153</v>
      </c>
      <c r="L16" s="9">
        <f>'Volume &amp; Price List'!K22</f>
        <v>0</v>
      </c>
      <c r="M16" s="9" t="s">
        <v>3154</v>
      </c>
      <c r="N16" s="9" t="str">
        <f t="shared" si="1"/>
        <v>{ "v": V60SKU13, "n": { "EN": "Time", "SYS":"Time "}, "company": "KT&amp;G", "conv": [10,0] },</v>
      </c>
    </row>
    <row r="17" spans="2:14">
      <c r="B17" s="9" t="s">
        <v>3148</v>
      </c>
      <c r="C17" s="9" t="str">
        <f>'Volume &amp; Price List'!A23</f>
        <v>V60SKU14</v>
      </c>
      <c r="D17" s="9" t="s">
        <v>3149</v>
      </c>
      <c r="E17" s="9" t="str">
        <f>'Volume &amp; Price List'!B23</f>
        <v>Vega</v>
      </c>
      <c r="F17" s="9" t="s">
        <v>3150</v>
      </c>
      <c r="G17" s="9" t="s">
        <v>3151</v>
      </c>
      <c r="H17" s="9" t="str">
        <f>'Volume &amp; Price List'!G23</f>
        <v xml:space="preserve">Others </v>
      </c>
      <c r="I17" s="9" t="s">
        <v>3152</v>
      </c>
      <c r="J17" s="9">
        <f>'Volume &amp; Price List'!I23</f>
        <v>10</v>
      </c>
      <c r="K17" s="9" t="s">
        <v>3153</v>
      </c>
      <c r="L17" s="9">
        <f>'Volume &amp; Price List'!K23</f>
        <v>0</v>
      </c>
      <c r="M17" s="9" t="s">
        <v>3154</v>
      </c>
      <c r="N17" s="9" t="str">
        <f t="shared" si="1"/>
        <v>{ "v": V60SKU14, "n": { "EN": "Vega", "SYS":"Vega "}, "company": "Others ", "conv": [10,0] },</v>
      </c>
    </row>
    <row r="18" spans="2:14">
      <c r="B18" s="9" t="s">
        <v>3148</v>
      </c>
      <c r="C18" s="9">
        <f>'Volume &amp; Price List'!A24</f>
        <v>0</v>
      </c>
      <c r="D18" s="9" t="s">
        <v>3149</v>
      </c>
      <c r="E18" s="9">
        <f>'Volume &amp; Price List'!B24</f>
        <v>0</v>
      </c>
      <c r="F18" s="9" t="s">
        <v>3150</v>
      </c>
      <c r="G18" s="9" t="s">
        <v>3151</v>
      </c>
      <c r="H18" s="9">
        <f>'Volume &amp; Price List'!G24</f>
        <v>0</v>
      </c>
      <c r="I18" s="9" t="s">
        <v>3152</v>
      </c>
      <c r="J18" s="9">
        <f>'Volume &amp; Price List'!I24</f>
        <v>10</v>
      </c>
      <c r="K18" s="9" t="s">
        <v>3153</v>
      </c>
      <c r="L18" s="9">
        <f>'Volume &amp; Price List'!K24</f>
        <v>0</v>
      </c>
      <c r="M18" s="9" t="s">
        <v>3154</v>
      </c>
      <c r="N18" s="9" t="str">
        <f t="shared" si="1"/>
        <v>{ "v": 0, "n": { "EN": "0", "SYS":"0 "}, "company": "0", "conv": [10,0] },</v>
      </c>
    </row>
    <row r="19" spans="2:14">
      <c r="B19" s="9" t="s">
        <v>3148</v>
      </c>
      <c r="C19" s="9">
        <f>'Volume &amp; Price List'!A25</f>
        <v>0</v>
      </c>
      <c r="D19" s="9" t="s">
        <v>3149</v>
      </c>
      <c r="E19" s="9">
        <f>'Volume &amp; Price List'!B25</f>
        <v>0</v>
      </c>
      <c r="F19" s="9" t="s">
        <v>3150</v>
      </c>
      <c r="G19" s="9" t="s">
        <v>3151</v>
      </c>
      <c r="H19" s="9">
        <f>'Volume &amp; Price List'!G25</f>
        <v>0</v>
      </c>
      <c r="I19" s="9" t="s">
        <v>3152</v>
      </c>
      <c r="J19" s="9">
        <f>'Volume &amp; Price List'!I25</f>
        <v>0</v>
      </c>
      <c r="K19" s="9" t="s">
        <v>3153</v>
      </c>
      <c r="L19" s="9">
        <f>'Volume &amp; Price List'!K25</f>
        <v>0</v>
      </c>
      <c r="M19" s="9" t="s">
        <v>3154</v>
      </c>
      <c r="N19" s="9" t="str">
        <f t="shared" si="1"/>
        <v>{ "v": 0, "n": { "EN": "0", "SYS":"0 "}, "company": "0", "conv": [0,0] },</v>
      </c>
    </row>
    <row r="20" spans="2:14">
      <c r="B20" s="9" t="s">
        <v>3148</v>
      </c>
      <c r="C20" s="9">
        <f>'Volume &amp; Price List'!A26</f>
        <v>0</v>
      </c>
      <c r="D20" s="9" t="s">
        <v>3149</v>
      </c>
      <c r="E20" s="9">
        <f>'Volume &amp; Price List'!B26</f>
        <v>0</v>
      </c>
      <c r="F20" s="9" t="s">
        <v>3150</v>
      </c>
      <c r="G20" s="9" t="s">
        <v>3151</v>
      </c>
      <c r="H20" s="9">
        <f>'Volume &amp; Price List'!G26</f>
        <v>0</v>
      </c>
      <c r="I20" s="9" t="s">
        <v>3152</v>
      </c>
      <c r="J20" s="9">
        <f>'Volume &amp; Price List'!I26</f>
        <v>0</v>
      </c>
      <c r="K20" s="9" t="s">
        <v>3153</v>
      </c>
      <c r="L20" s="9">
        <f>'Volume &amp; Price List'!K26</f>
        <v>0</v>
      </c>
      <c r="M20" s="9" t="s">
        <v>3154</v>
      </c>
      <c r="N20" s="9" t="str">
        <f t="shared" si="1"/>
        <v>{ "v": 0, "n": { "EN": "0", "SYS":"0 "}, "company": "0", "conv": [0,0] },</v>
      </c>
    </row>
    <row r="21" spans="2:14">
      <c r="B21" s="9" t="s">
        <v>3148</v>
      </c>
      <c r="C21" s="9">
        <f>'Volume &amp; Price List'!A27</f>
        <v>0</v>
      </c>
      <c r="D21" s="9" t="s">
        <v>3149</v>
      </c>
      <c r="E21" s="9">
        <f>'Volume &amp; Price List'!B27</f>
        <v>0</v>
      </c>
      <c r="F21" s="9" t="s">
        <v>3150</v>
      </c>
      <c r="G21" s="9" t="s">
        <v>3151</v>
      </c>
      <c r="H21" s="9">
        <f>'Volume &amp; Price List'!G27</f>
        <v>0</v>
      </c>
      <c r="I21" s="9" t="s">
        <v>3152</v>
      </c>
      <c r="J21" s="9">
        <f>'Volume &amp; Price List'!I27</f>
        <v>0</v>
      </c>
      <c r="K21" s="9" t="s">
        <v>3153</v>
      </c>
      <c r="L21" s="9">
        <f>'Volume &amp; Price List'!K27</f>
        <v>0</v>
      </c>
      <c r="M21" s="9" t="s">
        <v>3154</v>
      </c>
      <c r="N21" s="9" t="str">
        <f t="shared" si="1"/>
        <v>{ "v": 0, "n": { "EN": "0", "SYS":"0 "}, "company": "0", "conv": [0,0] },</v>
      </c>
    </row>
    <row r="22" spans="2:14">
      <c r="B22" s="9" t="s">
        <v>3148</v>
      </c>
      <c r="C22" s="9">
        <f>'Volume &amp; Price List'!A28</f>
        <v>0</v>
      </c>
      <c r="D22" s="9" t="s">
        <v>3149</v>
      </c>
      <c r="E22" s="9">
        <f>'Volume &amp; Price List'!B28</f>
        <v>0</v>
      </c>
      <c r="F22" s="9" t="s">
        <v>3150</v>
      </c>
      <c r="G22" s="9" t="s">
        <v>3151</v>
      </c>
      <c r="H22" s="9">
        <f>'Volume &amp; Price List'!G28</f>
        <v>0</v>
      </c>
      <c r="I22" s="9" t="s">
        <v>3152</v>
      </c>
      <c r="J22" s="9">
        <f>'Volume &amp; Price List'!I28</f>
        <v>0</v>
      </c>
      <c r="K22" s="9" t="s">
        <v>3153</v>
      </c>
      <c r="L22" s="9">
        <f>'Volume &amp; Price List'!K28</f>
        <v>0</v>
      </c>
      <c r="M22" s="9" t="s">
        <v>3154</v>
      </c>
      <c r="N22" s="9" t="str">
        <f t="shared" si="1"/>
        <v>{ "v": 0, "n": { "EN": "0", "SYS":"0 "}, "company": "0", "conv": [0,0] },</v>
      </c>
    </row>
    <row r="23" spans="2:14">
      <c r="B23" s="9" t="s">
        <v>3148</v>
      </c>
      <c r="C23" s="9">
        <f>'Volume &amp; Price List'!A29</f>
        <v>0</v>
      </c>
      <c r="D23" s="9" t="s">
        <v>3149</v>
      </c>
      <c r="E23" s="9">
        <f>'Volume &amp; Price List'!B29</f>
        <v>0</v>
      </c>
      <c r="F23" s="9" t="s">
        <v>3150</v>
      </c>
      <c r="G23" s="9" t="s">
        <v>3151</v>
      </c>
      <c r="H23" s="9">
        <f>'Volume &amp; Price List'!G29</f>
        <v>0</v>
      </c>
      <c r="I23" s="9" t="s">
        <v>3152</v>
      </c>
      <c r="J23" s="9">
        <f>'Volume &amp; Price List'!I29</f>
        <v>0</v>
      </c>
      <c r="K23" s="9" t="s">
        <v>3153</v>
      </c>
      <c r="L23" s="9">
        <f>'Volume &amp; Price List'!K29</f>
        <v>0</v>
      </c>
      <c r="M23" s="9" t="s">
        <v>3154</v>
      </c>
      <c r="N23" s="9" t="str">
        <f t="shared" si="1"/>
        <v>{ "v": 0, "n": { "EN": "0", "SYS":"0 "}, "company": "0", "conv": [0,0] },</v>
      </c>
    </row>
    <row r="24" spans="2:14">
      <c r="B24" s="9" t="s">
        <v>3148</v>
      </c>
      <c r="C24" s="9">
        <f>'Volume &amp; Price List'!A30</f>
        <v>0</v>
      </c>
      <c r="D24" s="9" t="s">
        <v>3149</v>
      </c>
      <c r="E24" s="9">
        <f>'Volume &amp; Price List'!B30</f>
        <v>0</v>
      </c>
      <c r="F24" s="9" t="s">
        <v>3150</v>
      </c>
      <c r="G24" s="9" t="s">
        <v>3151</v>
      </c>
      <c r="H24" s="9">
        <f>'Volume &amp; Price List'!G30</f>
        <v>0</v>
      </c>
      <c r="I24" s="9" t="s">
        <v>3152</v>
      </c>
      <c r="J24" s="9">
        <f>'Volume &amp; Price List'!I30</f>
        <v>0</v>
      </c>
      <c r="K24" s="9" t="s">
        <v>3153</v>
      </c>
      <c r="L24" s="9">
        <f>'Volume &amp; Price List'!K30</f>
        <v>0</v>
      </c>
      <c r="M24" s="9" t="s">
        <v>3154</v>
      </c>
      <c r="N24" s="9" t="str">
        <f t="shared" si="1"/>
        <v>{ "v": 0, "n": { "EN": "0", "SYS":"0 "}, "company": "0", "conv": [0,0] },</v>
      </c>
    </row>
    <row r="25" spans="2:14">
      <c r="B25" s="9" t="s">
        <v>3148</v>
      </c>
      <c r="C25" s="9">
        <f>'Volume &amp; Price List'!A31</f>
        <v>0</v>
      </c>
      <c r="D25" s="9" t="s">
        <v>3149</v>
      </c>
      <c r="E25" s="9">
        <f>'Volume &amp; Price List'!B31</f>
        <v>0</v>
      </c>
      <c r="F25" s="9" t="s">
        <v>3150</v>
      </c>
      <c r="G25" s="9" t="s">
        <v>3151</v>
      </c>
      <c r="H25" s="9">
        <f>'Volume &amp; Price List'!G31</f>
        <v>0</v>
      </c>
      <c r="I25" s="9" t="s">
        <v>3152</v>
      </c>
      <c r="J25" s="9">
        <f>'Volume &amp; Price List'!I31</f>
        <v>0</v>
      </c>
      <c r="K25" s="9" t="s">
        <v>3153</v>
      </c>
      <c r="L25" s="9">
        <f>'Volume &amp; Price List'!K31</f>
        <v>0</v>
      </c>
      <c r="M25" s="9" t="s">
        <v>3154</v>
      </c>
      <c r="N25" s="9" t="str">
        <f t="shared" si="1"/>
        <v>{ "v": 0, "n": { "EN": "0", "SYS":"0 "}, "company": "0", "conv": [0,0] },</v>
      </c>
    </row>
    <row r="26" spans="2:14">
      <c r="B26" s="9" t="s">
        <v>3148</v>
      </c>
      <c r="C26" s="9">
        <f>'Volume &amp; Price List'!A32</f>
        <v>0</v>
      </c>
      <c r="D26" s="9" t="s">
        <v>3149</v>
      </c>
      <c r="E26" s="9">
        <f>'Volume &amp; Price List'!B32</f>
        <v>0</v>
      </c>
      <c r="F26" s="9" t="s">
        <v>3150</v>
      </c>
      <c r="G26" s="9" t="s">
        <v>3151</v>
      </c>
      <c r="H26" s="9">
        <f>'Volume &amp; Price List'!G32</f>
        <v>0</v>
      </c>
      <c r="I26" s="9" t="s">
        <v>3152</v>
      </c>
      <c r="J26" s="9">
        <f>'Volume &amp; Price List'!I32</f>
        <v>0</v>
      </c>
      <c r="K26" s="9" t="s">
        <v>3153</v>
      </c>
      <c r="L26" s="9">
        <f>'Volume &amp; Price List'!K32</f>
        <v>0</v>
      </c>
      <c r="M26" s="9" t="s">
        <v>3154</v>
      </c>
      <c r="N26" s="9" t="str">
        <f t="shared" si="1"/>
        <v>{ "v": 0, "n": { "EN": "0", "SYS":"0 "}, "company": "0", "conv": [0,0] },</v>
      </c>
    </row>
    <row r="27" spans="2:14">
      <c r="B27" s="9" t="s">
        <v>3148</v>
      </c>
      <c r="C27" s="9">
        <f>'Volume &amp; Price List'!A33</f>
        <v>0</v>
      </c>
      <c r="D27" s="9" t="s">
        <v>3149</v>
      </c>
      <c r="E27" s="9">
        <f>'Volume &amp; Price List'!B33</f>
        <v>0</v>
      </c>
      <c r="F27" s="9" t="s">
        <v>3150</v>
      </c>
      <c r="G27" s="9" t="s">
        <v>3151</v>
      </c>
      <c r="H27" s="9">
        <f>'Volume &amp; Price List'!G33</f>
        <v>0</v>
      </c>
      <c r="I27" s="9" t="s">
        <v>3152</v>
      </c>
      <c r="J27" s="9">
        <f>'Volume &amp; Price List'!I33</f>
        <v>0</v>
      </c>
      <c r="K27" s="9" t="s">
        <v>3153</v>
      </c>
      <c r="L27" s="9">
        <f>'Volume &amp; Price List'!K33</f>
        <v>0</v>
      </c>
      <c r="M27" s="9" t="s">
        <v>3154</v>
      </c>
      <c r="N27" s="9" t="str">
        <f t="shared" si="1"/>
        <v>{ "v": 0, "n": { "EN": "0", "SYS":"0 "}, "company": "0", "conv": [0,0] },</v>
      </c>
    </row>
    <row r="28" spans="2:14">
      <c r="B28" s="9" t="s">
        <v>3148</v>
      </c>
      <c r="C28" s="9">
        <f>'Volume &amp; Price List'!A34</f>
        <v>27</v>
      </c>
      <c r="D28" s="9" t="s">
        <v>3149</v>
      </c>
      <c r="E28" s="9">
        <f>'Volume &amp; Price List'!B34</f>
        <v>0</v>
      </c>
      <c r="F28" s="9" t="s">
        <v>3150</v>
      </c>
      <c r="G28" s="9" t="s">
        <v>3151</v>
      </c>
      <c r="H28" s="9">
        <f>'Volume &amp; Price List'!G34</f>
        <v>0</v>
      </c>
      <c r="I28" s="9" t="s">
        <v>3152</v>
      </c>
      <c r="J28" s="9">
        <f>'Volume &amp; Price List'!I34</f>
        <v>0</v>
      </c>
      <c r="K28" s="9" t="s">
        <v>3153</v>
      </c>
      <c r="L28" s="9">
        <f>'Volume &amp; Price List'!K34</f>
        <v>0</v>
      </c>
      <c r="M28" s="9" t="s">
        <v>3154</v>
      </c>
      <c r="N28" s="9" t="str">
        <f t="shared" si="1"/>
        <v>{ "v": 27, "n": { "EN": "0", "SYS":"0 "}, "company": "0", "conv": [0,0] },</v>
      </c>
    </row>
    <row r="29" spans="2:14">
      <c r="B29" s="9" t="s">
        <v>3148</v>
      </c>
      <c r="C29" s="9">
        <f>'Volume &amp; Price List'!A35</f>
        <v>28</v>
      </c>
      <c r="D29" s="9" t="s">
        <v>3149</v>
      </c>
      <c r="E29" s="9">
        <f>'Volume &amp; Price List'!B35</f>
        <v>0</v>
      </c>
      <c r="F29" s="9" t="s">
        <v>3150</v>
      </c>
      <c r="G29" s="9" t="s">
        <v>3151</v>
      </c>
      <c r="H29" s="9">
        <f>'Volume &amp; Price List'!G35</f>
        <v>0</v>
      </c>
      <c r="I29" s="9" t="s">
        <v>3152</v>
      </c>
      <c r="J29" s="9">
        <f>'Volume &amp; Price List'!I35</f>
        <v>0</v>
      </c>
      <c r="K29" s="9" t="s">
        <v>3153</v>
      </c>
      <c r="L29" s="9">
        <f>'Volume &amp; Price List'!K35</f>
        <v>0</v>
      </c>
      <c r="M29" s="9" t="s">
        <v>3154</v>
      </c>
      <c r="N29" s="9" t="str">
        <f t="shared" si="1"/>
        <v>{ "v": 28, "n": { "EN": "0", "SYS":"0 "}, "company": "0", "conv": [0,0] },</v>
      </c>
    </row>
    <row r="30" spans="2:14">
      <c r="B30" s="9" t="s">
        <v>3148</v>
      </c>
      <c r="C30" s="9">
        <f>'Volume &amp; Price List'!A36</f>
        <v>29</v>
      </c>
      <c r="D30" s="9" t="s">
        <v>3149</v>
      </c>
      <c r="E30" s="9">
        <f>'Volume &amp; Price List'!B36</f>
        <v>0</v>
      </c>
      <c r="F30" s="9" t="s">
        <v>3150</v>
      </c>
      <c r="G30" s="9" t="s">
        <v>3151</v>
      </c>
      <c r="H30" s="9">
        <f>'Volume &amp; Price List'!G36</f>
        <v>0</v>
      </c>
      <c r="I30" s="9" t="s">
        <v>3152</v>
      </c>
      <c r="J30" s="9">
        <f>'Volume &amp; Price List'!I36</f>
        <v>0</v>
      </c>
      <c r="K30" s="9" t="s">
        <v>3153</v>
      </c>
      <c r="L30" s="9">
        <f>'Volume &amp; Price List'!K36</f>
        <v>0</v>
      </c>
      <c r="M30" s="9" t="s">
        <v>3154</v>
      </c>
      <c r="N30" s="9" t="str">
        <f t="shared" si="1"/>
        <v>{ "v": 29, "n": { "EN": "0", "SYS":"0 "}, "company": "0", "conv": [0,0] },</v>
      </c>
    </row>
    <row r="31" spans="2:14">
      <c r="B31" s="9" t="s">
        <v>3148</v>
      </c>
      <c r="C31" s="9">
        <f>'Volume &amp; Price List'!A37</f>
        <v>30</v>
      </c>
      <c r="D31" s="9" t="s">
        <v>3149</v>
      </c>
      <c r="E31" s="9">
        <f>'Volume &amp; Price List'!B37</f>
        <v>0</v>
      </c>
      <c r="F31" s="9" t="s">
        <v>3150</v>
      </c>
      <c r="G31" s="9" t="s">
        <v>3151</v>
      </c>
      <c r="H31" s="9">
        <f>'Volume &amp; Price List'!G37</f>
        <v>0</v>
      </c>
      <c r="I31" s="9" t="s">
        <v>3152</v>
      </c>
      <c r="J31" s="9">
        <f>'Volume &amp; Price List'!I37</f>
        <v>0</v>
      </c>
      <c r="K31" s="9" t="s">
        <v>3153</v>
      </c>
      <c r="L31" s="9">
        <f>'Volume &amp; Price List'!K37</f>
        <v>0</v>
      </c>
      <c r="M31" s="9" t="s">
        <v>3154</v>
      </c>
      <c r="N31" s="9" t="str">
        <f t="shared" si="1"/>
        <v>{ "v": 30, "n": { "EN": "0", "SYS":"0 "}, "company": "0", "conv": [0,0] },</v>
      </c>
    </row>
    <row r="32" spans="2:14">
      <c r="B32" s="9" t="s">
        <v>3148</v>
      </c>
      <c r="C32" s="9">
        <f>'Volume &amp; Price List'!A38</f>
        <v>31</v>
      </c>
      <c r="D32" s="9" t="s">
        <v>3149</v>
      </c>
      <c r="E32" s="9">
        <f>'Volume &amp; Price List'!B38</f>
        <v>0</v>
      </c>
      <c r="F32" s="9" t="s">
        <v>3150</v>
      </c>
      <c r="G32" s="9" t="s">
        <v>3151</v>
      </c>
      <c r="H32" s="9">
        <f>'Volume &amp; Price List'!G38</f>
        <v>0</v>
      </c>
      <c r="I32" s="9" t="s">
        <v>3152</v>
      </c>
      <c r="J32" s="9">
        <f>'Volume &amp; Price List'!I38</f>
        <v>0</v>
      </c>
      <c r="K32" s="9" t="s">
        <v>3153</v>
      </c>
      <c r="L32" s="9">
        <f>'Volume &amp; Price List'!K38</f>
        <v>0</v>
      </c>
      <c r="M32" s="9" t="s">
        <v>3154</v>
      </c>
      <c r="N32" s="9" t="str">
        <f t="shared" si="1"/>
        <v>{ "v": 31, "n": { "EN": "0", "SYS":"0 "}, "company": "0", "conv": [0,0] },</v>
      </c>
    </row>
    <row r="33" spans="2:14">
      <c r="B33" s="9" t="s">
        <v>3148</v>
      </c>
      <c r="C33" s="9">
        <f>'Volume &amp; Price List'!A39</f>
        <v>32</v>
      </c>
      <c r="D33" s="9" t="s">
        <v>3149</v>
      </c>
      <c r="E33" s="9">
        <f>'Volume &amp; Price List'!B39</f>
        <v>0</v>
      </c>
      <c r="F33" s="9" t="s">
        <v>3150</v>
      </c>
      <c r="G33" s="9" t="s">
        <v>3151</v>
      </c>
      <c r="H33" s="9">
        <f>'Volume &amp; Price List'!G39</f>
        <v>0</v>
      </c>
      <c r="I33" s="9" t="s">
        <v>3152</v>
      </c>
      <c r="J33" s="9">
        <f>'Volume &amp; Price List'!I39</f>
        <v>0</v>
      </c>
      <c r="K33" s="9" t="s">
        <v>3153</v>
      </c>
      <c r="L33" s="9">
        <f>'Volume &amp; Price List'!K39</f>
        <v>0</v>
      </c>
      <c r="M33" s="9" t="s">
        <v>3154</v>
      </c>
      <c r="N33" s="9" t="str">
        <f t="shared" si="1"/>
        <v>{ "v": 32, "n": { "EN": "0", "SYS":"0 "}, "company": "0", "conv": [0,0] },</v>
      </c>
    </row>
    <row r="34" spans="2:14">
      <c r="B34" s="9" t="s">
        <v>3148</v>
      </c>
      <c r="C34" s="9">
        <f>'Volume &amp; Price List'!A40</f>
        <v>33</v>
      </c>
      <c r="D34" s="9" t="s">
        <v>3149</v>
      </c>
      <c r="E34" s="9">
        <f>'Volume &amp; Price List'!B40</f>
        <v>0</v>
      </c>
      <c r="F34" s="9" t="s">
        <v>3150</v>
      </c>
      <c r="G34" s="9" t="s">
        <v>3151</v>
      </c>
      <c r="H34" s="9">
        <f>'Volume &amp; Price List'!G40</f>
        <v>0</v>
      </c>
      <c r="I34" s="9" t="s">
        <v>3152</v>
      </c>
      <c r="J34" s="9">
        <f>'Volume &amp; Price List'!I40</f>
        <v>0</v>
      </c>
      <c r="K34" s="9" t="s">
        <v>3153</v>
      </c>
      <c r="L34" s="9">
        <f>'Volume &amp; Price List'!K40</f>
        <v>0</v>
      </c>
      <c r="M34" s="9" t="s">
        <v>3154</v>
      </c>
      <c r="N34" s="9" t="str">
        <f t="shared" si="1"/>
        <v>{ "v": 33, "n": { "EN": "0", "SYS":"0 "}, "company": "0", "conv": [0,0] },</v>
      </c>
    </row>
    <row r="35" spans="2:14">
      <c r="B35" s="9" t="s">
        <v>3148</v>
      </c>
      <c r="C35" s="9">
        <f>'Volume &amp; Price List'!A41</f>
        <v>34</v>
      </c>
      <c r="D35" s="9" t="s">
        <v>3149</v>
      </c>
      <c r="E35" s="9">
        <f>'Volume &amp; Price List'!B41</f>
        <v>0</v>
      </c>
      <c r="F35" s="9" t="s">
        <v>3150</v>
      </c>
      <c r="G35" s="9" t="s">
        <v>3151</v>
      </c>
      <c r="H35" s="9">
        <f>'Volume &amp; Price List'!G41</f>
        <v>0</v>
      </c>
      <c r="I35" s="9" t="s">
        <v>3152</v>
      </c>
      <c r="J35" s="9">
        <f>'Volume &amp; Price List'!I41</f>
        <v>0</v>
      </c>
      <c r="K35" s="9" t="s">
        <v>3153</v>
      </c>
      <c r="L35" s="9">
        <f>'Volume &amp; Price List'!K41</f>
        <v>0</v>
      </c>
      <c r="M35" s="9" t="s">
        <v>3154</v>
      </c>
      <c r="N35" s="9" t="str">
        <f t="shared" si="1"/>
        <v>{ "v": 34, "n": { "EN": "0", "SYS":"0 "}, "company": "0", "conv": [0,0] },</v>
      </c>
    </row>
    <row r="36" spans="2:14">
      <c r="B36" s="9" t="s">
        <v>3148</v>
      </c>
      <c r="C36" s="9">
        <f>'Volume &amp; Price List'!A42</f>
        <v>35</v>
      </c>
      <c r="D36" s="9" t="s">
        <v>3149</v>
      </c>
      <c r="E36" s="9">
        <f>'Volume &amp; Price List'!B42</f>
        <v>0</v>
      </c>
      <c r="F36" s="9" t="s">
        <v>3150</v>
      </c>
      <c r="G36" s="9" t="s">
        <v>3151</v>
      </c>
      <c r="H36" s="9">
        <f>'Volume &amp; Price List'!G42</f>
        <v>0</v>
      </c>
      <c r="I36" s="9" t="s">
        <v>3152</v>
      </c>
      <c r="J36" s="9">
        <f>'Volume &amp; Price List'!I42</f>
        <v>0</v>
      </c>
      <c r="K36" s="9" t="s">
        <v>3153</v>
      </c>
      <c r="L36" s="9">
        <f>'Volume &amp; Price List'!K42</f>
        <v>0</v>
      </c>
      <c r="M36" s="9" t="s">
        <v>3154</v>
      </c>
      <c r="N36" s="9" t="str">
        <f t="shared" si="1"/>
        <v>{ "v": 35, "n": { "EN": "0", "SYS":"0 "}, "company": "0", "conv": [0,0] },</v>
      </c>
    </row>
    <row r="37" spans="2:14">
      <c r="B37" s="9" t="s">
        <v>3148</v>
      </c>
      <c r="C37" s="9">
        <f>'Volume &amp; Price List'!A43</f>
        <v>36</v>
      </c>
      <c r="D37" s="9" t="s">
        <v>3149</v>
      </c>
      <c r="E37" s="9">
        <f>'Volume &amp; Price List'!B43</f>
        <v>0</v>
      </c>
      <c r="F37" s="9" t="s">
        <v>3150</v>
      </c>
      <c r="G37" s="9" t="s">
        <v>3151</v>
      </c>
      <c r="H37" s="9">
        <f>'Volume &amp; Price List'!G43</f>
        <v>0</v>
      </c>
      <c r="I37" s="9" t="s">
        <v>3152</v>
      </c>
      <c r="J37" s="9">
        <f>'Volume &amp; Price List'!I43</f>
        <v>0</v>
      </c>
      <c r="K37" s="9" t="s">
        <v>3153</v>
      </c>
      <c r="L37" s="9">
        <f>'Volume &amp; Price List'!K43</f>
        <v>0</v>
      </c>
      <c r="M37" s="9" t="s">
        <v>3154</v>
      </c>
      <c r="N37" s="9" t="str">
        <f t="shared" si="1"/>
        <v>{ "v": 36, "n": { "EN": "0", "SYS":"0 "}, "company": "0", "conv": [0,0] },</v>
      </c>
    </row>
    <row r="38" spans="2:14">
      <c r="B38" s="9" t="s">
        <v>3148</v>
      </c>
      <c r="C38" s="9">
        <f>'Volume &amp; Price List'!A44</f>
        <v>37</v>
      </c>
      <c r="D38" s="9" t="s">
        <v>3149</v>
      </c>
      <c r="E38" s="9">
        <f>'Volume &amp; Price List'!B44</f>
        <v>0</v>
      </c>
      <c r="F38" s="9" t="s">
        <v>3150</v>
      </c>
      <c r="G38" s="9" t="s">
        <v>3151</v>
      </c>
      <c r="H38" s="9">
        <f>'Volume &amp; Price List'!G44</f>
        <v>0</v>
      </c>
      <c r="I38" s="9" t="s">
        <v>3152</v>
      </c>
      <c r="J38" s="9">
        <f>'Volume &amp; Price List'!I44</f>
        <v>0</v>
      </c>
      <c r="K38" s="9" t="s">
        <v>3153</v>
      </c>
      <c r="L38" s="9">
        <f>'Volume &amp; Price List'!K44</f>
        <v>0</v>
      </c>
      <c r="M38" s="9" t="s">
        <v>3154</v>
      </c>
      <c r="N38" s="9" t="str">
        <f t="shared" si="1"/>
        <v>{ "v": 37, "n": { "EN": "0", "SYS":"0 "}, "company": "0", "conv": [0,0] },</v>
      </c>
    </row>
    <row r="39" spans="2:14">
      <c r="B39" s="9" t="s">
        <v>3148</v>
      </c>
      <c r="C39" s="9">
        <f>'Volume &amp; Price List'!A45</f>
        <v>38</v>
      </c>
      <c r="D39" s="9" t="s">
        <v>3149</v>
      </c>
      <c r="E39" s="9">
        <f>'Volume &amp; Price List'!B45</f>
        <v>0</v>
      </c>
      <c r="F39" s="9" t="s">
        <v>3150</v>
      </c>
      <c r="G39" s="9" t="s">
        <v>3151</v>
      </c>
      <c r="H39" s="9">
        <f>'Volume &amp; Price List'!G45</f>
        <v>0</v>
      </c>
      <c r="I39" s="9" t="s">
        <v>3152</v>
      </c>
      <c r="J39" s="9">
        <f>'Volume &amp; Price List'!I45</f>
        <v>0</v>
      </c>
      <c r="K39" s="9" t="s">
        <v>3153</v>
      </c>
      <c r="L39" s="9">
        <f>'Volume &amp; Price List'!K45</f>
        <v>0</v>
      </c>
      <c r="M39" s="9" t="s">
        <v>3154</v>
      </c>
      <c r="N39" s="9" t="str">
        <f t="shared" si="1"/>
        <v>{ "v": 38, "n": { "EN": "0", "SYS":"0 "}, "company": "0", "conv": [0,0] },</v>
      </c>
    </row>
    <row r="40" spans="2:14">
      <c r="B40" s="9" t="s">
        <v>3148</v>
      </c>
      <c r="C40" s="9">
        <f>'Volume &amp; Price List'!A46</f>
        <v>39</v>
      </c>
      <c r="D40" s="9" t="s">
        <v>3149</v>
      </c>
      <c r="E40" s="9">
        <f>'Volume &amp; Price List'!B46</f>
        <v>0</v>
      </c>
      <c r="F40" s="9" t="s">
        <v>3150</v>
      </c>
      <c r="G40" s="9" t="s">
        <v>3151</v>
      </c>
      <c r="H40" s="9">
        <f>'Volume &amp; Price List'!G46</f>
        <v>0</v>
      </c>
      <c r="I40" s="9" t="s">
        <v>3152</v>
      </c>
      <c r="J40" s="9">
        <f>'Volume &amp; Price List'!I46</f>
        <v>0</v>
      </c>
      <c r="K40" s="9" t="s">
        <v>3153</v>
      </c>
      <c r="L40" s="9">
        <f>'Volume &amp; Price List'!K46</f>
        <v>0</v>
      </c>
      <c r="M40" s="9" t="s">
        <v>3154</v>
      </c>
      <c r="N40" s="9" t="str">
        <f t="shared" si="1"/>
        <v>{ "v": 39, "n": { "EN": "0", "SYS":"0 "}, "company": "0", "conv": [0,0] },</v>
      </c>
    </row>
    <row r="41" spans="2:14">
      <c r="B41" s="9" t="s">
        <v>3148</v>
      </c>
      <c r="C41" s="9">
        <f>'Volume &amp; Price List'!A47</f>
        <v>40</v>
      </c>
      <c r="D41" s="9" t="s">
        <v>3149</v>
      </c>
      <c r="E41" s="9">
        <f>'Volume &amp; Price List'!B47</f>
        <v>0</v>
      </c>
      <c r="F41" s="9" t="s">
        <v>3150</v>
      </c>
      <c r="G41" s="9" t="s">
        <v>3151</v>
      </c>
      <c r="H41" s="9">
        <f>'Volume &amp; Price List'!G47</f>
        <v>0</v>
      </c>
      <c r="I41" s="9" t="s">
        <v>3152</v>
      </c>
      <c r="J41" s="9">
        <f>'Volume &amp; Price List'!I47</f>
        <v>0</v>
      </c>
      <c r="K41" s="9" t="s">
        <v>3153</v>
      </c>
      <c r="L41" s="9">
        <f>'Volume &amp; Price List'!K47</f>
        <v>0</v>
      </c>
      <c r="M41" s="9" t="s">
        <v>3154</v>
      </c>
      <c r="N41" s="9" t="str">
        <f t="shared" si="1"/>
        <v>{ "v": 40, "n": { "EN": "0", "SYS":"0 "}, "company": "0", "conv": [0,0] },</v>
      </c>
    </row>
    <row r="42" spans="2:14">
      <c r="B42" s="9" t="s">
        <v>3148</v>
      </c>
      <c r="C42" s="9">
        <f>'Volume &amp; Price List'!A49</f>
        <v>42</v>
      </c>
      <c r="D42" s="9" t="s">
        <v>3149</v>
      </c>
      <c r="E42" s="9">
        <f>'Volume &amp; Price List'!B49</f>
        <v>0</v>
      </c>
      <c r="F42" s="9" t="s">
        <v>3150</v>
      </c>
      <c r="G42" s="9" t="s">
        <v>3151</v>
      </c>
      <c r="H42" s="9">
        <f>'Volume &amp; Price List'!G49</f>
        <v>0</v>
      </c>
      <c r="I42" s="9" t="s">
        <v>3152</v>
      </c>
      <c r="J42" s="9">
        <f>'Volume &amp; Price List'!I49</f>
        <v>0</v>
      </c>
      <c r="K42" s="9" t="s">
        <v>3153</v>
      </c>
      <c r="L42" s="9">
        <f>'Volume &amp; Price List'!K49</f>
        <v>0</v>
      </c>
      <c r="M42" s="9" t="s">
        <v>3154</v>
      </c>
      <c r="N42" s="9" t="str">
        <f t="shared" si="1"/>
        <v>{ "v": 42, "n": { "EN": "0", "SYS":"0 "}, "company": "0", "conv": [0,0] },</v>
      </c>
    </row>
    <row r="43" spans="2:14">
      <c r="B43" s="9" t="s">
        <v>3148</v>
      </c>
      <c r="C43" s="9">
        <f>'Volume &amp; Price List'!A50</f>
        <v>43</v>
      </c>
      <c r="D43" s="9" t="s">
        <v>3149</v>
      </c>
      <c r="E43" s="9">
        <f>'Volume &amp; Price List'!B50</f>
        <v>0</v>
      </c>
      <c r="F43" s="9" t="s">
        <v>3150</v>
      </c>
      <c r="G43" s="9" t="s">
        <v>3151</v>
      </c>
      <c r="H43" s="9">
        <f>'Volume &amp; Price List'!G50</f>
        <v>0</v>
      </c>
      <c r="I43" s="9" t="s">
        <v>3152</v>
      </c>
      <c r="J43" s="9">
        <f>'Volume &amp; Price List'!I50</f>
        <v>0</v>
      </c>
      <c r="K43" s="9" t="s">
        <v>3153</v>
      </c>
      <c r="L43" s="9">
        <f>'Volume &amp; Price List'!K50</f>
        <v>0</v>
      </c>
      <c r="M43" s="9" t="s">
        <v>3154</v>
      </c>
      <c r="N43" s="9" t="str">
        <f t="shared" si="1"/>
        <v>{ "v": 43, "n": { "EN": "0", "SYS":"0 "}, "company": "0", "conv": [0,0] },</v>
      </c>
    </row>
    <row r="44" spans="2:14">
      <c r="B44" s="9" t="s">
        <v>3148</v>
      </c>
      <c r="C44" s="9">
        <f>'Volume &amp; Price List'!A51</f>
        <v>44</v>
      </c>
      <c r="D44" s="9" t="s">
        <v>3149</v>
      </c>
      <c r="E44" s="9">
        <f>'Volume &amp; Price List'!B51</f>
        <v>0</v>
      </c>
      <c r="F44" s="9" t="s">
        <v>3150</v>
      </c>
      <c r="G44" s="9" t="s">
        <v>3151</v>
      </c>
      <c r="H44" s="9">
        <f>'Volume &amp; Price List'!G51</f>
        <v>0</v>
      </c>
      <c r="I44" s="9" t="s">
        <v>3152</v>
      </c>
      <c r="J44" s="9">
        <f>'Volume &amp; Price List'!I51</f>
        <v>0</v>
      </c>
      <c r="K44" s="9" t="s">
        <v>3153</v>
      </c>
      <c r="L44" s="9">
        <f>'Volume &amp; Price List'!K51</f>
        <v>0</v>
      </c>
      <c r="M44" s="9" t="s">
        <v>3154</v>
      </c>
      <c r="N44" s="9" t="str">
        <f t="shared" si="1"/>
        <v>{ "v": 44, "n": { "EN": "0", "SYS":"0 "}, "company": "0", "conv": [0,0] },</v>
      </c>
    </row>
    <row r="45" spans="2:14">
      <c r="B45" s="9" t="s">
        <v>3148</v>
      </c>
      <c r="C45" s="9">
        <f>'Volume &amp; Price List'!A52</f>
        <v>45</v>
      </c>
      <c r="D45" s="9" t="s">
        <v>3149</v>
      </c>
      <c r="E45" s="9">
        <f>'Volume &amp; Price List'!B52</f>
        <v>0</v>
      </c>
      <c r="F45" s="9" t="s">
        <v>3150</v>
      </c>
      <c r="G45" s="9" t="s">
        <v>3151</v>
      </c>
      <c r="H45" s="9">
        <f>'Volume &amp; Price List'!G52</f>
        <v>0</v>
      </c>
      <c r="I45" s="9" t="s">
        <v>3152</v>
      </c>
      <c r="J45" s="9">
        <f>'Volume &amp; Price List'!I52</f>
        <v>0</v>
      </c>
      <c r="K45" s="9" t="s">
        <v>3153</v>
      </c>
      <c r="L45" s="9">
        <f>'Volume &amp; Price List'!K52</f>
        <v>0</v>
      </c>
      <c r="M45" s="9" t="s">
        <v>3154</v>
      </c>
      <c r="N45" s="9" t="str">
        <f t="shared" si="1"/>
        <v>{ "v": 45, "n": { "EN": "0", "SYS":"0 "}, "company": "0", "conv": [0,0] },</v>
      </c>
    </row>
    <row r="46" spans="2:14">
      <c r="B46" s="9" t="s">
        <v>3148</v>
      </c>
      <c r="C46" s="9">
        <f>'Volume &amp; Price List'!A53</f>
        <v>46</v>
      </c>
      <c r="D46" s="9" t="s">
        <v>3149</v>
      </c>
      <c r="E46" s="9">
        <f>'Volume &amp; Price List'!B53</f>
        <v>0</v>
      </c>
      <c r="F46" s="9" t="s">
        <v>3150</v>
      </c>
      <c r="G46" s="9" t="s">
        <v>3151</v>
      </c>
      <c r="H46" s="9">
        <f>'Volume &amp; Price List'!G53</f>
        <v>0</v>
      </c>
      <c r="I46" s="9" t="s">
        <v>3152</v>
      </c>
      <c r="J46" s="9">
        <f>'Volume &amp; Price List'!I53</f>
        <v>0</v>
      </c>
      <c r="K46" s="9" t="s">
        <v>3153</v>
      </c>
      <c r="L46" s="9">
        <f>'Volume &amp; Price List'!K53</f>
        <v>0</v>
      </c>
      <c r="M46" s="9" t="s">
        <v>3154</v>
      </c>
      <c r="N46" s="9" t="str">
        <f t="shared" si="1"/>
        <v>{ "v": 46, "n": { "EN": "0", "SYS":"0 "}, "company": "0", "conv": [0,0] },</v>
      </c>
    </row>
    <row r="47" spans="2:14">
      <c r="B47" s="9" t="s">
        <v>3148</v>
      </c>
      <c r="C47" s="9">
        <f>'Volume &amp; Price List'!A54</f>
        <v>47</v>
      </c>
      <c r="D47" s="9" t="s">
        <v>3149</v>
      </c>
      <c r="E47" s="9">
        <f>'Volume &amp; Price List'!B54</f>
        <v>0</v>
      </c>
      <c r="F47" s="9" t="s">
        <v>3150</v>
      </c>
      <c r="G47" s="9" t="s">
        <v>3151</v>
      </c>
      <c r="H47" s="9">
        <f>'Volume &amp; Price List'!G54</f>
        <v>0</v>
      </c>
      <c r="I47" s="9" t="s">
        <v>3152</v>
      </c>
      <c r="J47" s="9">
        <f>'Volume &amp; Price List'!I54</f>
        <v>0</v>
      </c>
      <c r="K47" s="9" t="s">
        <v>3153</v>
      </c>
      <c r="L47" s="9">
        <f>'Volume &amp; Price List'!K54</f>
        <v>0</v>
      </c>
      <c r="M47" s="9" t="s">
        <v>3154</v>
      </c>
      <c r="N47" s="9" t="str">
        <f t="shared" si="1"/>
        <v>{ "v": 47, "n": { "EN": "0", "SYS":"0 "}, "company": "0", "conv": [0,0] },</v>
      </c>
    </row>
    <row r="48" spans="2:14">
      <c r="B48" s="9" t="s">
        <v>3148</v>
      </c>
      <c r="C48" s="9">
        <f>'Volume &amp; Price List'!A55</f>
        <v>48</v>
      </c>
      <c r="D48" s="9" t="s">
        <v>3149</v>
      </c>
      <c r="E48" s="9">
        <f>'Volume &amp; Price List'!B55</f>
        <v>0</v>
      </c>
      <c r="F48" s="9" t="s">
        <v>3150</v>
      </c>
      <c r="G48" s="9" t="s">
        <v>3151</v>
      </c>
      <c r="H48" s="9">
        <f>'Volume &amp; Price List'!G55</f>
        <v>0</v>
      </c>
      <c r="I48" s="9" t="s">
        <v>3152</v>
      </c>
      <c r="J48" s="9">
        <f>'Volume &amp; Price List'!I55</f>
        <v>0</v>
      </c>
      <c r="K48" s="9" t="s">
        <v>3153</v>
      </c>
      <c r="L48" s="9">
        <f>'Volume &amp; Price List'!K55</f>
        <v>0</v>
      </c>
      <c r="M48" s="9" t="s">
        <v>3154</v>
      </c>
      <c r="N48" s="9" t="str">
        <f t="shared" si="1"/>
        <v>{ "v": 48, "n": { "EN": "0", "SYS":"0 "}, "company": "0", "conv": [0,0] },</v>
      </c>
    </row>
    <row r="49" spans="2:14">
      <c r="B49" s="9" t="s">
        <v>3148</v>
      </c>
      <c r="C49" s="9">
        <f>'Volume &amp; Price List'!A56</f>
        <v>0</v>
      </c>
      <c r="D49" s="9" t="s">
        <v>3149</v>
      </c>
      <c r="E49" s="9">
        <f>'Volume &amp; Price List'!B56</f>
        <v>0</v>
      </c>
      <c r="F49" s="9" t="s">
        <v>3150</v>
      </c>
      <c r="G49" s="9" t="s">
        <v>3151</v>
      </c>
      <c r="H49" s="9">
        <f>'Volume &amp; Price List'!G56</f>
        <v>0</v>
      </c>
      <c r="I49" s="9" t="s">
        <v>3152</v>
      </c>
      <c r="J49" s="9">
        <f>'Volume &amp; Price List'!I56</f>
        <v>0</v>
      </c>
      <c r="K49" s="9" t="s">
        <v>3153</v>
      </c>
      <c r="L49" s="9">
        <f>'Volume &amp; Price List'!K56</f>
        <v>0</v>
      </c>
      <c r="M49" s="9" t="s">
        <v>3154</v>
      </c>
      <c r="N49" s="9" t="str">
        <f t="shared" si="1"/>
        <v>{ "v": 0, "n": { "EN": "0", "SYS":"0 "}, "company": "0", "conv": [0,0] },</v>
      </c>
    </row>
    <row r="50" spans="2:14">
      <c r="B50" s="9" t="s">
        <v>3148</v>
      </c>
      <c r="C50" s="9" t="str">
        <f>'Volume &amp; Price List'!A57</f>
        <v>V-70</v>
      </c>
      <c r="D50" s="9" t="s">
        <v>3149</v>
      </c>
      <c r="E50" s="9" t="str">
        <f>'Volume &amp; Price List'!B57</f>
        <v>Shisa</v>
      </c>
      <c r="F50" s="9" t="s">
        <v>3150</v>
      </c>
      <c r="G50" s="9" t="s">
        <v>3151</v>
      </c>
      <c r="H50" s="9" t="str">
        <f>'Volume &amp; Price List'!G57</f>
        <v>Company</v>
      </c>
      <c r="I50" s="9" t="s">
        <v>3152</v>
      </c>
      <c r="J50" s="9" t="str">
        <f>'Volume &amp; Price List'!I57</f>
        <v>Conversion Pack</v>
      </c>
      <c r="K50" s="9" t="s">
        <v>3153</v>
      </c>
      <c r="L50" s="9" t="str">
        <f>'Volume &amp; Price List'!K57</f>
        <v>Conversion Carton</v>
      </c>
      <c r="M50" s="9" t="s">
        <v>3154</v>
      </c>
      <c r="N50" s="9" t="str">
        <f t="shared" si="1"/>
        <v>{ "v": V-70, "n": { "EN": "Shisa", "SYS":"Shisa "}, "company": "Company", "conv": [Conversion Pack,Conversion Carton] },</v>
      </c>
    </row>
    <row r="51" spans="2:14">
      <c r="B51" s="9" t="s">
        <v>3148</v>
      </c>
      <c r="C51" s="9">
        <f>'Volume &amp; Price List'!A58</f>
        <v>1</v>
      </c>
      <c r="D51" s="9" t="s">
        <v>3149</v>
      </c>
      <c r="E51" s="9">
        <f>'Volume &amp; Price List'!B58</f>
        <v>0</v>
      </c>
      <c r="F51" s="9" t="s">
        <v>3150</v>
      </c>
      <c r="G51" s="9" t="s">
        <v>3151</v>
      </c>
      <c r="H51" s="9">
        <f>'Volume &amp; Price List'!G58</f>
        <v>0</v>
      </c>
      <c r="I51" s="9" t="s">
        <v>3152</v>
      </c>
      <c r="J51" s="9">
        <f>'Volume &amp; Price List'!I58</f>
        <v>0</v>
      </c>
      <c r="K51" s="9" t="s">
        <v>3153</v>
      </c>
      <c r="L51" s="9">
        <f>'Volume &amp; Price List'!K58</f>
        <v>0</v>
      </c>
      <c r="M51" s="9" t="s">
        <v>3154</v>
      </c>
      <c r="N51" s="9" t="str">
        <f t="shared" si="1"/>
        <v>{ "v": 1, "n": { "EN": "0", "SYS":"0 "}, "company": "0", "conv": [0,0] },</v>
      </c>
    </row>
    <row r="52" spans="2:14">
      <c r="B52" s="9" t="s">
        <v>3148</v>
      </c>
      <c r="C52" s="9">
        <f>'Volume &amp; Price List'!A59</f>
        <v>2</v>
      </c>
      <c r="D52" s="9" t="s">
        <v>3149</v>
      </c>
      <c r="E52" s="9">
        <f>'Volume &amp; Price List'!B59</f>
        <v>0</v>
      </c>
      <c r="F52" s="9" t="s">
        <v>3150</v>
      </c>
      <c r="G52" s="9" t="s">
        <v>3151</v>
      </c>
      <c r="H52" s="9">
        <f>'Volume &amp; Price List'!G59</f>
        <v>0</v>
      </c>
      <c r="I52" s="9" t="s">
        <v>3152</v>
      </c>
      <c r="J52" s="9">
        <f>'Volume &amp; Price List'!I59</f>
        <v>0</v>
      </c>
      <c r="K52" s="9" t="s">
        <v>3153</v>
      </c>
      <c r="L52" s="9">
        <f>'Volume &amp; Price List'!K59</f>
        <v>0</v>
      </c>
      <c r="M52" s="9" t="s">
        <v>3154</v>
      </c>
      <c r="N52" s="9" t="str">
        <f t="shared" si="1"/>
        <v>{ "v": 2, "n": { "EN": "0", "SYS":"0 "}, "company": "0", "conv": [0,0] },</v>
      </c>
    </row>
    <row r="53" spans="2:14">
      <c r="B53" s="9" t="s">
        <v>3148</v>
      </c>
      <c r="C53" s="9">
        <f>'Volume &amp; Price List'!A60</f>
        <v>3</v>
      </c>
      <c r="D53" s="9" t="s">
        <v>3149</v>
      </c>
      <c r="E53" s="9">
        <f>'Volume &amp; Price List'!B60</f>
        <v>0</v>
      </c>
      <c r="F53" s="9" t="s">
        <v>3150</v>
      </c>
      <c r="G53" s="9" t="s">
        <v>3151</v>
      </c>
      <c r="H53" s="9">
        <f>'Volume &amp; Price List'!G60</f>
        <v>0</v>
      </c>
      <c r="I53" s="9" t="s">
        <v>3152</v>
      </c>
      <c r="J53" s="9">
        <f>'Volume &amp; Price List'!I60</f>
        <v>0</v>
      </c>
      <c r="K53" s="9" t="s">
        <v>3153</v>
      </c>
      <c r="L53" s="9">
        <f>'Volume &amp; Price List'!K60</f>
        <v>0</v>
      </c>
      <c r="M53" s="9" t="s">
        <v>3154</v>
      </c>
      <c r="N53" s="9" t="str">
        <f t="shared" si="1"/>
        <v>{ "v": 3, "n": { "EN": "0", "SYS":"0 "}, "company": "0", "conv": [0,0] },</v>
      </c>
    </row>
    <row r="54" spans="2:14">
      <c r="B54" s="9" t="s">
        <v>3148</v>
      </c>
      <c r="C54" s="9">
        <f>'Volume &amp; Price List'!A61</f>
        <v>4</v>
      </c>
      <c r="D54" s="9" t="s">
        <v>3149</v>
      </c>
      <c r="E54" s="9">
        <f>'Volume &amp; Price List'!B61</f>
        <v>0</v>
      </c>
      <c r="F54" s="9" t="s">
        <v>3150</v>
      </c>
      <c r="G54" s="9" t="s">
        <v>3151</v>
      </c>
      <c r="H54" s="9">
        <f>'Volume &amp; Price List'!G61</f>
        <v>0</v>
      </c>
      <c r="I54" s="9" t="s">
        <v>3152</v>
      </c>
      <c r="J54" s="9">
        <f>'Volume &amp; Price List'!I61</f>
        <v>0</v>
      </c>
      <c r="K54" s="9" t="s">
        <v>3153</v>
      </c>
      <c r="L54" s="9">
        <f>'Volume &amp; Price List'!K61</f>
        <v>0</v>
      </c>
      <c r="M54" s="9" t="s">
        <v>3154</v>
      </c>
      <c r="N54" s="9" t="str">
        <f t="shared" si="1"/>
        <v>{ "v": 4, "n": { "EN": "0", "SYS":"0 "}, "company": "0", "conv": [0,0] },</v>
      </c>
    </row>
    <row r="55" spans="2:14">
      <c r="B55" s="9" t="s">
        <v>3148</v>
      </c>
      <c r="C55" s="9">
        <f>'Volume &amp; Price List'!A62</f>
        <v>5</v>
      </c>
      <c r="D55" s="9" t="s">
        <v>3149</v>
      </c>
      <c r="E55" s="9">
        <f>'Volume &amp; Price List'!B62</f>
        <v>0</v>
      </c>
      <c r="F55" s="9" t="s">
        <v>3150</v>
      </c>
      <c r="G55" s="9" t="s">
        <v>3151</v>
      </c>
      <c r="H55" s="9">
        <f>'Volume &amp; Price List'!G62</f>
        <v>0</v>
      </c>
      <c r="I55" s="9" t="s">
        <v>3152</v>
      </c>
      <c r="J55" s="9">
        <f>'Volume &amp; Price List'!I62</f>
        <v>0</v>
      </c>
      <c r="K55" s="9" t="s">
        <v>3153</v>
      </c>
      <c r="L55" s="9">
        <f>'Volume &amp; Price List'!K62</f>
        <v>0</v>
      </c>
      <c r="M55" s="9" t="s">
        <v>3154</v>
      </c>
      <c r="N55" s="9" t="str">
        <f t="shared" si="1"/>
        <v>{ "v": 5, "n": { "EN": "0", "SYS":"0 "}, "company": "0", "conv": [0,0] },</v>
      </c>
    </row>
    <row r="56" spans="2:14">
      <c r="B56" s="9" t="s">
        <v>3148</v>
      </c>
      <c r="C56" s="9">
        <f>'Volume &amp; Price List'!A63</f>
        <v>6</v>
      </c>
      <c r="D56" s="9" t="s">
        <v>3149</v>
      </c>
      <c r="E56" s="9">
        <f>'Volume &amp; Price List'!B63</f>
        <v>0</v>
      </c>
      <c r="F56" s="9" t="s">
        <v>3150</v>
      </c>
      <c r="G56" s="9" t="s">
        <v>3151</v>
      </c>
      <c r="H56" s="9">
        <f>'Volume &amp; Price List'!G63</f>
        <v>0</v>
      </c>
      <c r="I56" s="9" t="s">
        <v>3152</v>
      </c>
      <c r="J56" s="9">
        <f>'Volume &amp; Price List'!I63</f>
        <v>0</v>
      </c>
      <c r="K56" s="9" t="s">
        <v>3153</v>
      </c>
      <c r="L56" s="9">
        <f>'Volume &amp; Price List'!K63</f>
        <v>0</v>
      </c>
      <c r="M56" s="9" t="s">
        <v>3154</v>
      </c>
      <c r="N56" s="9" t="str">
        <f t="shared" si="1"/>
        <v>{ "v": 6, "n": { "EN": "0", "SYS":"0 "}, "company": "0", "conv": [0,0] },</v>
      </c>
    </row>
    <row r="57" spans="2:14">
      <c r="B57" s="9" t="s">
        <v>3148</v>
      </c>
      <c r="C57" s="9">
        <f>'Volume &amp; Price List'!A64</f>
        <v>7</v>
      </c>
      <c r="D57" s="9" t="s">
        <v>3149</v>
      </c>
      <c r="E57" s="9">
        <f>'Volume &amp; Price List'!B64</f>
        <v>0</v>
      </c>
      <c r="F57" s="9" t="s">
        <v>3150</v>
      </c>
      <c r="G57" s="9" t="s">
        <v>3151</v>
      </c>
      <c r="H57" s="9">
        <f>'Volume &amp; Price List'!G64</f>
        <v>0</v>
      </c>
      <c r="I57" s="9" t="s">
        <v>3152</v>
      </c>
      <c r="J57" s="9">
        <f>'Volume &amp; Price List'!I64</f>
        <v>0</v>
      </c>
      <c r="K57" s="9" t="s">
        <v>3153</v>
      </c>
      <c r="L57" s="9">
        <f>'Volume &amp; Price List'!K64</f>
        <v>0</v>
      </c>
      <c r="M57" s="9" t="s">
        <v>3154</v>
      </c>
      <c r="N57" s="9" t="str">
        <f t="shared" si="1"/>
        <v>{ "v": 7, "n": { "EN": "0", "SYS":"0 "}, "company": "0", "conv": [0,0] },</v>
      </c>
    </row>
    <row r="58" spans="2:14">
      <c r="B58" s="9" t="s">
        <v>3148</v>
      </c>
      <c r="C58" s="9">
        <f>'Volume &amp; Price List'!A65</f>
        <v>8</v>
      </c>
      <c r="D58" s="9" t="s">
        <v>3149</v>
      </c>
      <c r="E58" s="9">
        <f>'Volume &amp; Price List'!B65</f>
        <v>0</v>
      </c>
      <c r="F58" s="9" t="s">
        <v>3150</v>
      </c>
      <c r="G58" s="9" t="s">
        <v>3151</v>
      </c>
      <c r="H58" s="9">
        <f>'Volume &amp; Price List'!G65</f>
        <v>0</v>
      </c>
      <c r="I58" s="9" t="s">
        <v>3152</v>
      </c>
      <c r="J58" s="9">
        <f>'Volume &amp; Price List'!I65</f>
        <v>0</v>
      </c>
      <c r="K58" s="9" t="s">
        <v>3153</v>
      </c>
      <c r="L58" s="9">
        <f>'Volume &amp; Price List'!K65</f>
        <v>0</v>
      </c>
      <c r="M58" s="9" t="s">
        <v>3154</v>
      </c>
      <c r="N58" s="9" t="str">
        <f t="shared" si="1"/>
        <v>{ "v": 8, "n": { "EN": "0", "SYS":"0 "}, "company": "0", "conv": [0,0] },</v>
      </c>
    </row>
    <row r="59" spans="2:14">
      <c r="B59" s="9" t="s">
        <v>3148</v>
      </c>
      <c r="C59" s="9">
        <f>'Volume &amp; Price List'!A66</f>
        <v>9</v>
      </c>
      <c r="D59" s="9" t="s">
        <v>3149</v>
      </c>
      <c r="E59" s="9">
        <f>'Volume &amp; Price List'!B66</f>
        <v>0</v>
      </c>
      <c r="F59" s="9" t="s">
        <v>3150</v>
      </c>
      <c r="G59" s="9" t="s">
        <v>3151</v>
      </c>
      <c r="H59" s="9">
        <f>'Volume &amp; Price List'!G66</f>
        <v>0</v>
      </c>
      <c r="I59" s="9" t="s">
        <v>3152</v>
      </c>
      <c r="J59" s="9">
        <f>'Volume &amp; Price List'!I66</f>
        <v>0</v>
      </c>
      <c r="K59" s="9" t="s">
        <v>3153</v>
      </c>
      <c r="L59" s="9">
        <f>'Volume &amp; Price List'!K66</f>
        <v>0</v>
      </c>
      <c r="M59" s="9" t="s">
        <v>3154</v>
      </c>
      <c r="N59" s="9" t="str">
        <f t="shared" si="1"/>
        <v>{ "v": 9, "n": { "EN": "0", "SYS":"0 "}, "company": "0", "conv": [0,0] },</v>
      </c>
    </row>
    <row r="60" spans="2:14">
      <c r="B60" s="9" t="s">
        <v>3148</v>
      </c>
      <c r="C60" s="9">
        <f>'Volume &amp; Price List'!A67</f>
        <v>10</v>
      </c>
      <c r="D60" s="9" t="s">
        <v>3149</v>
      </c>
      <c r="E60" s="9">
        <f>'Volume &amp; Price List'!B67</f>
        <v>0</v>
      </c>
      <c r="F60" s="9" t="s">
        <v>3150</v>
      </c>
      <c r="G60" s="9" t="s">
        <v>3151</v>
      </c>
      <c r="H60" s="9">
        <f>'Volume &amp; Price List'!G67</f>
        <v>0</v>
      </c>
      <c r="I60" s="9" t="s">
        <v>3152</v>
      </c>
      <c r="J60" s="9">
        <f>'Volume &amp; Price List'!I67</f>
        <v>0</v>
      </c>
      <c r="K60" s="9" t="s">
        <v>3153</v>
      </c>
      <c r="L60" s="9">
        <f>'Volume &amp; Price List'!K67</f>
        <v>0</v>
      </c>
      <c r="M60" s="9" t="s">
        <v>3154</v>
      </c>
      <c r="N60" s="9" t="str">
        <f t="shared" si="1"/>
        <v>{ "v": 10, "n": { "EN": "0", "SYS":"0 "}, "company": "0", "conv": [0,0] },</v>
      </c>
    </row>
    <row r="61" spans="2:14">
      <c r="B61" s="9" t="s">
        <v>3148</v>
      </c>
      <c r="C61" s="9">
        <f>'Volume &amp; Price List'!A68</f>
        <v>11</v>
      </c>
      <c r="D61" s="9" t="s">
        <v>3149</v>
      </c>
      <c r="E61" s="9">
        <f>'Volume &amp; Price List'!B68</f>
        <v>0</v>
      </c>
      <c r="F61" s="9" t="s">
        <v>3150</v>
      </c>
      <c r="G61" s="9" t="s">
        <v>3151</v>
      </c>
      <c r="H61" s="9">
        <f>'Volume &amp; Price List'!G68</f>
        <v>0</v>
      </c>
      <c r="I61" s="9" t="s">
        <v>3152</v>
      </c>
      <c r="J61" s="9">
        <f>'Volume &amp; Price List'!I68</f>
        <v>0</v>
      </c>
      <c r="K61" s="9" t="s">
        <v>3153</v>
      </c>
      <c r="L61" s="9">
        <f>'Volume &amp; Price List'!K68</f>
        <v>0</v>
      </c>
      <c r="M61" s="9" t="s">
        <v>3154</v>
      </c>
      <c r="N61" s="9" t="str">
        <f t="shared" si="1"/>
        <v>{ "v": 11, "n": { "EN": "0", "SYS":"0 "}, "company": "0", "conv": [0,0] },</v>
      </c>
    </row>
    <row r="62" spans="2:14">
      <c r="B62" s="9" t="s">
        <v>3148</v>
      </c>
      <c r="C62" s="9">
        <f>'Volume &amp; Price List'!A69</f>
        <v>12</v>
      </c>
      <c r="D62" s="9" t="s">
        <v>3149</v>
      </c>
      <c r="E62" s="9">
        <f>'Volume &amp; Price List'!B69</f>
        <v>0</v>
      </c>
      <c r="F62" s="9" t="s">
        <v>3150</v>
      </c>
      <c r="G62" s="9" t="s">
        <v>3151</v>
      </c>
      <c r="H62" s="9">
        <f>'Volume &amp; Price List'!G69</f>
        <v>0</v>
      </c>
      <c r="I62" s="9" t="s">
        <v>3152</v>
      </c>
      <c r="J62" s="9">
        <f>'Volume &amp; Price List'!I69</f>
        <v>0</v>
      </c>
      <c r="K62" s="9" t="s">
        <v>3153</v>
      </c>
      <c r="L62" s="9">
        <f>'Volume &amp; Price List'!K69</f>
        <v>0</v>
      </c>
      <c r="M62" s="9" t="s">
        <v>3154</v>
      </c>
      <c r="N62" s="9" t="str">
        <f t="shared" si="1"/>
        <v>{ "v": 12, "n": { "EN": "0", "SYS":"0 "}, "company": "0", "conv": [0,0] },</v>
      </c>
    </row>
    <row r="63" spans="2:14">
      <c r="B63" s="9" t="s">
        <v>3148</v>
      </c>
      <c r="C63" s="9">
        <f>'Volume &amp; Price List'!A70</f>
        <v>13</v>
      </c>
      <c r="D63" s="9" t="s">
        <v>3149</v>
      </c>
      <c r="E63" s="9">
        <f>'Volume &amp; Price List'!B70</f>
        <v>0</v>
      </c>
      <c r="F63" s="9" t="s">
        <v>3150</v>
      </c>
      <c r="G63" s="9" t="s">
        <v>3151</v>
      </c>
      <c r="H63" s="9">
        <f>'Volume &amp; Price List'!G70</f>
        <v>0</v>
      </c>
      <c r="I63" s="9" t="s">
        <v>3152</v>
      </c>
      <c r="J63" s="9">
        <f>'Volume &amp; Price List'!I70</f>
        <v>0</v>
      </c>
      <c r="K63" s="9" t="s">
        <v>3153</v>
      </c>
      <c r="L63" s="9">
        <f>'Volume &amp; Price List'!K70</f>
        <v>0</v>
      </c>
      <c r="M63" s="9" t="s">
        <v>3154</v>
      </c>
      <c r="N63" s="9" t="str">
        <f t="shared" si="1"/>
        <v>{ "v": 13, "n": { "EN": "0", "SYS":"0 "}, "company": "0", "conv": [0,0] },</v>
      </c>
    </row>
    <row r="64" spans="2:14">
      <c r="B64" s="9" t="s">
        <v>3148</v>
      </c>
      <c r="C64" s="9">
        <f>'Volume &amp; Price List'!A71</f>
        <v>14</v>
      </c>
      <c r="D64" s="9" t="s">
        <v>3149</v>
      </c>
      <c r="E64" s="9">
        <f>'Volume &amp; Price List'!B71</f>
        <v>0</v>
      </c>
      <c r="F64" s="9" t="s">
        <v>3150</v>
      </c>
      <c r="G64" s="9" t="s">
        <v>3151</v>
      </c>
      <c r="H64" s="9">
        <f>'Volume &amp; Price List'!G71</f>
        <v>0</v>
      </c>
      <c r="I64" s="9" t="s">
        <v>3152</v>
      </c>
      <c r="J64" s="9">
        <f>'Volume &amp; Price List'!I71</f>
        <v>0</v>
      </c>
      <c r="K64" s="9" t="s">
        <v>3153</v>
      </c>
      <c r="L64" s="9">
        <f>'Volume &amp; Price List'!K71</f>
        <v>0</v>
      </c>
      <c r="M64" s="9" t="s">
        <v>3154</v>
      </c>
      <c r="N64" s="9" t="str">
        <f t="shared" si="1"/>
        <v>{ "v": 14, "n": { "EN": "0", "SYS":"0 "}, "company": "0", "conv": [0,0] },</v>
      </c>
    </row>
    <row r="65" spans="2:14">
      <c r="B65" s="9" t="s">
        <v>3148</v>
      </c>
      <c r="C65" s="9">
        <f>'Volume &amp; Price List'!A72</f>
        <v>15</v>
      </c>
      <c r="D65" s="9" t="s">
        <v>3149</v>
      </c>
      <c r="E65" s="9">
        <f>'Volume &amp; Price List'!B72</f>
        <v>0</v>
      </c>
      <c r="F65" s="9" t="s">
        <v>3150</v>
      </c>
      <c r="G65" s="9" t="s">
        <v>3151</v>
      </c>
      <c r="H65" s="9">
        <f>'Volume &amp; Price List'!G72</f>
        <v>0</v>
      </c>
      <c r="I65" s="9" t="s">
        <v>3152</v>
      </c>
      <c r="J65" s="9">
        <f>'Volume &amp; Price List'!I72</f>
        <v>0</v>
      </c>
      <c r="K65" s="9" t="s">
        <v>3153</v>
      </c>
      <c r="L65" s="9">
        <f>'Volume &amp; Price List'!K72</f>
        <v>0</v>
      </c>
      <c r="M65" s="9" t="s">
        <v>3154</v>
      </c>
      <c r="N65" s="9" t="str">
        <f t="shared" si="1"/>
        <v>{ "v": 15, "n": { "EN": "0", "SYS":"0 "}, "company": "0", "conv": [0,0] },</v>
      </c>
    </row>
    <row r="66" spans="2:14">
      <c r="B66" s="9" t="s">
        <v>3148</v>
      </c>
      <c r="C66" s="9">
        <f>'Volume &amp; Price List'!A73</f>
        <v>16</v>
      </c>
      <c r="D66" s="9" t="s">
        <v>3149</v>
      </c>
      <c r="E66" s="9">
        <f>'Volume &amp; Price List'!B73</f>
        <v>0</v>
      </c>
      <c r="F66" s="9" t="s">
        <v>3150</v>
      </c>
      <c r="G66" s="9" t="s">
        <v>3151</v>
      </c>
      <c r="H66" s="9">
        <f>'Volume &amp; Price List'!G73</f>
        <v>0</v>
      </c>
      <c r="I66" s="9" t="s">
        <v>3152</v>
      </c>
      <c r="J66" s="9">
        <f>'Volume &amp; Price List'!I73</f>
        <v>0</v>
      </c>
      <c r="K66" s="9" t="s">
        <v>3153</v>
      </c>
      <c r="L66" s="9">
        <f>'Volume &amp; Price List'!K73</f>
        <v>0</v>
      </c>
      <c r="M66" s="9" t="s">
        <v>3154</v>
      </c>
      <c r="N66" s="9" t="str">
        <f t="shared" si="1"/>
        <v>{ "v": 16, "n": { "EN": "0", "SYS":"0 "}, "company": "0", "conv": [0,0] },</v>
      </c>
    </row>
    <row r="67" spans="2:14">
      <c r="B67" s="9" t="s">
        <v>3148</v>
      </c>
      <c r="C67" s="9">
        <f>'Volume &amp; Price List'!A74</f>
        <v>17</v>
      </c>
      <c r="D67" s="9" t="s">
        <v>3149</v>
      </c>
      <c r="E67" s="9">
        <f>'Volume &amp; Price List'!B74</f>
        <v>0</v>
      </c>
      <c r="F67" s="9" t="s">
        <v>3150</v>
      </c>
      <c r="G67" s="9" t="s">
        <v>3151</v>
      </c>
      <c r="H67" s="9">
        <f>'Volume &amp; Price List'!G74</f>
        <v>0</v>
      </c>
      <c r="I67" s="9" t="s">
        <v>3152</v>
      </c>
      <c r="J67" s="9">
        <f>'Volume &amp; Price List'!I74</f>
        <v>0</v>
      </c>
      <c r="K67" s="9" t="s">
        <v>3153</v>
      </c>
      <c r="L67" s="9">
        <f>'Volume &amp; Price List'!K74</f>
        <v>0</v>
      </c>
      <c r="M67" s="9" t="s">
        <v>3154</v>
      </c>
      <c r="N67" s="9" t="str">
        <f t="shared" si="1"/>
        <v>{ "v": 17, "n": { "EN": "0", "SYS":"0 "}, "company": "0", "conv": [0,0] },</v>
      </c>
    </row>
    <row r="68" spans="2:14">
      <c r="B68" s="9" t="s">
        <v>3148</v>
      </c>
      <c r="C68" s="9">
        <f>'Volume &amp; Price List'!A75</f>
        <v>18</v>
      </c>
      <c r="D68" s="9" t="s">
        <v>3149</v>
      </c>
      <c r="E68" s="9">
        <f>'Volume &amp; Price List'!B75</f>
        <v>0</v>
      </c>
      <c r="F68" s="9" t="s">
        <v>3150</v>
      </c>
      <c r="G68" s="9" t="s">
        <v>3151</v>
      </c>
      <c r="H68" s="9">
        <f>'Volume &amp; Price List'!G75</f>
        <v>0</v>
      </c>
      <c r="I68" s="9" t="s">
        <v>3152</v>
      </c>
      <c r="J68" s="9">
        <f>'Volume &amp; Price List'!I75</f>
        <v>0</v>
      </c>
      <c r="K68" s="9" t="s">
        <v>3153</v>
      </c>
      <c r="L68" s="9">
        <f>'Volume &amp; Price List'!K75</f>
        <v>0</v>
      </c>
      <c r="M68" s="9" t="s">
        <v>3154</v>
      </c>
      <c r="N68" s="9" t="str">
        <f t="shared" ref="N68:N99" si="2">CONCATENATE(B68,A68,C68,A68,D68,E68,F68,E68,G68,H68,I68,J68,K68,L68,M68)</f>
        <v>{ "v": 18, "n": { "EN": "0", "SYS":"0 "}, "company": "0", "conv": [0,0] },</v>
      </c>
    </row>
    <row r="69" spans="2:14">
      <c r="B69" s="9" t="s">
        <v>3148</v>
      </c>
      <c r="C69" s="9">
        <f>'Volume &amp; Price List'!A76</f>
        <v>19</v>
      </c>
      <c r="D69" s="9" t="s">
        <v>3149</v>
      </c>
      <c r="E69" s="9">
        <f>'Volume &amp; Price List'!B76</f>
        <v>0</v>
      </c>
      <c r="F69" s="9" t="s">
        <v>3150</v>
      </c>
      <c r="G69" s="9" t="s">
        <v>3151</v>
      </c>
      <c r="H69" s="9">
        <f>'Volume &amp; Price List'!G76</f>
        <v>0</v>
      </c>
      <c r="I69" s="9" t="s">
        <v>3152</v>
      </c>
      <c r="J69" s="9">
        <f>'Volume &amp; Price List'!I76</f>
        <v>0</v>
      </c>
      <c r="K69" s="9" t="s">
        <v>3153</v>
      </c>
      <c r="L69" s="9">
        <f>'Volume &amp; Price List'!K76</f>
        <v>0</v>
      </c>
      <c r="M69" s="9" t="s">
        <v>3154</v>
      </c>
      <c r="N69" s="9" t="str">
        <f t="shared" si="2"/>
        <v>{ "v": 19, "n": { "EN": "0", "SYS":"0 "}, "company": "0", "conv": [0,0] },</v>
      </c>
    </row>
    <row r="70" spans="2:14">
      <c r="B70" s="9" t="s">
        <v>3148</v>
      </c>
      <c r="C70" s="9">
        <f>'Volume &amp; Price List'!A77</f>
        <v>20</v>
      </c>
      <c r="D70" s="9" t="s">
        <v>3149</v>
      </c>
      <c r="E70" s="9">
        <f>'Volume &amp; Price List'!B77</f>
        <v>0</v>
      </c>
      <c r="F70" s="9" t="s">
        <v>3150</v>
      </c>
      <c r="G70" s="9" t="s">
        <v>3151</v>
      </c>
      <c r="H70" s="9">
        <f>'Volume &amp; Price List'!G77</f>
        <v>0</v>
      </c>
      <c r="I70" s="9" t="s">
        <v>3152</v>
      </c>
      <c r="J70" s="9">
        <f>'Volume &amp; Price List'!I77</f>
        <v>0</v>
      </c>
      <c r="K70" s="9" t="s">
        <v>3153</v>
      </c>
      <c r="L70" s="9">
        <f>'Volume &amp; Price List'!K77</f>
        <v>0</v>
      </c>
      <c r="M70" s="9" t="s">
        <v>3154</v>
      </c>
      <c r="N70" s="9" t="str">
        <f t="shared" si="2"/>
        <v>{ "v": 20, "n": { "EN": "0", "SYS":"0 "}, "company": "0", "conv": [0,0] },</v>
      </c>
    </row>
    <row r="71" spans="2:14">
      <c r="B71" s="9" t="s">
        <v>3148</v>
      </c>
      <c r="C71" s="9">
        <f>'Volume &amp; Price List'!A78</f>
        <v>21</v>
      </c>
      <c r="D71" s="9" t="s">
        <v>3149</v>
      </c>
      <c r="E71" s="9">
        <f>'Volume &amp; Price List'!B78</f>
        <v>0</v>
      </c>
      <c r="F71" s="9" t="s">
        <v>3150</v>
      </c>
      <c r="G71" s="9" t="s">
        <v>3151</v>
      </c>
      <c r="H71" s="9">
        <f>'Volume &amp; Price List'!G78</f>
        <v>0</v>
      </c>
      <c r="I71" s="9" t="s">
        <v>3152</v>
      </c>
      <c r="J71" s="9">
        <f>'Volume &amp; Price List'!I78</f>
        <v>0</v>
      </c>
      <c r="K71" s="9" t="s">
        <v>3153</v>
      </c>
      <c r="L71" s="9">
        <f>'Volume &amp; Price List'!K78</f>
        <v>0</v>
      </c>
      <c r="M71" s="9"/>
      <c r="N71" s="9" t="str">
        <f t="shared" si="2"/>
        <v>{ "v": 21, "n": { "EN": "0", "SYS":"0 "}, "company": "0", "conv": [0,0</v>
      </c>
    </row>
    <row r="72" spans="2:14">
      <c r="B72" s="9" t="s">
        <v>3148</v>
      </c>
      <c r="C72" s="9">
        <f>'Volume &amp; Price List'!A79</f>
        <v>22</v>
      </c>
      <c r="D72" s="9" t="s">
        <v>3149</v>
      </c>
      <c r="E72" s="9">
        <f>'Volume &amp; Price List'!B79</f>
        <v>0</v>
      </c>
      <c r="F72" s="9" t="s">
        <v>3150</v>
      </c>
      <c r="G72" s="9" t="s">
        <v>3151</v>
      </c>
      <c r="H72" s="9">
        <f>'Volume &amp; Price List'!G79</f>
        <v>0</v>
      </c>
      <c r="I72" s="9" t="s">
        <v>3152</v>
      </c>
      <c r="J72" s="9">
        <f>'Volume &amp; Price List'!I79</f>
        <v>0</v>
      </c>
      <c r="K72" s="9" t="s">
        <v>3153</v>
      </c>
      <c r="L72" s="9">
        <f>'Volume &amp; Price List'!K79</f>
        <v>0</v>
      </c>
      <c r="M72" s="9"/>
      <c r="N72" s="9" t="str">
        <f t="shared" si="2"/>
        <v>{ "v": 22, "n": { "EN": "0", "SYS":"0 "}, "company": "0", "conv": [0,0</v>
      </c>
    </row>
    <row r="73" spans="2:14">
      <c r="B73" s="9" t="s">
        <v>3148</v>
      </c>
      <c r="C73" s="9">
        <f>'Volume &amp; Price List'!A80</f>
        <v>23</v>
      </c>
      <c r="D73" s="9" t="s">
        <v>3149</v>
      </c>
      <c r="E73" s="9">
        <f>'Volume &amp; Price List'!B80</f>
        <v>0</v>
      </c>
      <c r="F73" s="9" t="s">
        <v>3150</v>
      </c>
      <c r="G73" s="9" t="s">
        <v>3151</v>
      </c>
      <c r="H73" s="9">
        <f>'Volume &amp; Price List'!G80</f>
        <v>0</v>
      </c>
      <c r="I73" s="9" t="s">
        <v>3152</v>
      </c>
      <c r="J73" s="9">
        <f>'Volume &amp; Price List'!I80</f>
        <v>0</v>
      </c>
      <c r="K73" s="9" t="s">
        <v>3153</v>
      </c>
      <c r="L73" s="9">
        <f>'Volume &amp; Price List'!K80</f>
        <v>0</v>
      </c>
      <c r="M73" s="9"/>
      <c r="N73" s="9" t="str">
        <f t="shared" si="2"/>
        <v>{ "v": 23, "n": { "EN": "0", "SYS":"0 "}, "company": "0", "conv": [0,0</v>
      </c>
    </row>
    <row r="74" spans="2:14">
      <c r="B74" s="9" t="s">
        <v>3148</v>
      </c>
      <c r="C74" s="9">
        <f>'Volume &amp; Price List'!A81</f>
        <v>24</v>
      </c>
      <c r="D74" s="9" t="s">
        <v>3149</v>
      </c>
      <c r="E74" s="9">
        <f>'Volume &amp; Price List'!B81</f>
        <v>0</v>
      </c>
      <c r="F74" s="9" t="s">
        <v>3150</v>
      </c>
      <c r="G74" s="9" t="s">
        <v>3151</v>
      </c>
      <c r="H74" s="9">
        <f>'Volume &amp; Price List'!G81</f>
        <v>0</v>
      </c>
      <c r="I74" s="9" t="s">
        <v>3152</v>
      </c>
      <c r="J74" s="9">
        <f>'Volume &amp; Price List'!I81</f>
        <v>0</v>
      </c>
      <c r="K74" s="9" t="s">
        <v>3153</v>
      </c>
      <c r="L74" s="9">
        <f>'Volume &amp; Price List'!K81</f>
        <v>0</v>
      </c>
      <c r="M74" s="9"/>
      <c r="N74" s="9" t="str">
        <f t="shared" si="2"/>
        <v>{ "v": 24, "n": { "EN": "0", "SYS":"0 "}, "company": "0", "conv": [0,0</v>
      </c>
    </row>
    <row r="75" spans="2:14">
      <c r="B75" s="9" t="s">
        <v>3148</v>
      </c>
      <c r="C75" s="9">
        <f>'Volume &amp; Price List'!A82</f>
        <v>25</v>
      </c>
      <c r="D75" s="9" t="s">
        <v>3149</v>
      </c>
      <c r="E75" s="9">
        <f>'Volume &amp; Price List'!B82</f>
        <v>0</v>
      </c>
      <c r="F75" s="9" t="s">
        <v>3150</v>
      </c>
      <c r="G75" s="9" t="s">
        <v>3151</v>
      </c>
      <c r="H75" s="9">
        <f>'Volume &amp; Price List'!G82</f>
        <v>0</v>
      </c>
      <c r="I75" s="9" t="s">
        <v>3152</v>
      </c>
      <c r="J75" s="9">
        <f>'Volume &amp; Price List'!I82</f>
        <v>0</v>
      </c>
      <c r="K75" s="9" t="s">
        <v>3153</v>
      </c>
      <c r="L75" s="9">
        <f>'Volume &amp; Price List'!K82</f>
        <v>0</v>
      </c>
      <c r="M75" s="9"/>
      <c r="N75" s="9" t="str">
        <f t="shared" si="2"/>
        <v>{ "v": 25, "n": { "EN": "0", "SYS":"0 "}, "company": "0", "conv": [0,0</v>
      </c>
    </row>
    <row r="76" spans="2:14">
      <c r="B76" s="9" t="s">
        <v>3148</v>
      </c>
      <c r="C76" s="9">
        <f>'Volume &amp; Price List'!A83</f>
        <v>26</v>
      </c>
      <c r="D76" s="9" t="s">
        <v>3149</v>
      </c>
      <c r="E76" s="9">
        <f>'Volume &amp; Price List'!B83</f>
        <v>0</v>
      </c>
      <c r="F76" s="9" t="s">
        <v>3150</v>
      </c>
      <c r="G76" s="9" t="s">
        <v>3151</v>
      </c>
      <c r="H76" s="9">
        <f>'Volume &amp; Price List'!G83</f>
        <v>0</v>
      </c>
      <c r="I76" s="9" t="s">
        <v>3152</v>
      </c>
      <c r="J76" s="9">
        <f>'Volume &amp; Price List'!I83</f>
        <v>0</v>
      </c>
      <c r="K76" s="9" t="s">
        <v>3153</v>
      </c>
      <c r="L76" s="9">
        <f>'Volume &amp; Price List'!K83</f>
        <v>0</v>
      </c>
      <c r="M76" s="9"/>
      <c r="N76" s="9" t="str">
        <f t="shared" si="2"/>
        <v>{ "v": 26, "n": { "EN": "0", "SYS":"0 "}, "company": "0", "conv": [0,0</v>
      </c>
    </row>
    <row r="77" spans="2:14">
      <c r="B77" s="9" t="s">
        <v>3148</v>
      </c>
      <c r="C77" s="9">
        <f>'Volume &amp; Price List'!A84</f>
        <v>27</v>
      </c>
      <c r="D77" s="9" t="s">
        <v>3149</v>
      </c>
      <c r="E77" s="9">
        <f>'Volume &amp; Price List'!B84</f>
        <v>0</v>
      </c>
      <c r="F77" s="9" t="s">
        <v>3150</v>
      </c>
      <c r="G77" s="9" t="s">
        <v>3151</v>
      </c>
      <c r="H77" s="9">
        <f>'Volume &amp; Price List'!G84</f>
        <v>0</v>
      </c>
      <c r="I77" s="9" t="s">
        <v>3152</v>
      </c>
      <c r="J77" s="9">
        <f>'Volume &amp; Price List'!I84</f>
        <v>0</v>
      </c>
      <c r="K77" s="9" t="s">
        <v>3153</v>
      </c>
      <c r="L77" s="9">
        <f>'Volume &amp; Price List'!K84</f>
        <v>0</v>
      </c>
      <c r="M77" s="9"/>
      <c r="N77" s="9" t="str">
        <f t="shared" si="2"/>
        <v>{ "v": 27, "n": { "EN": "0", "SYS":"0 "}, "company": "0", "conv": [0,0</v>
      </c>
    </row>
    <row r="78" spans="2:14">
      <c r="B78" s="9" t="s">
        <v>3148</v>
      </c>
      <c r="C78" s="9">
        <f>'Volume &amp; Price List'!A85</f>
        <v>28</v>
      </c>
      <c r="D78" s="9" t="s">
        <v>3149</v>
      </c>
      <c r="E78" s="9">
        <f>'Volume &amp; Price List'!B85</f>
        <v>0</v>
      </c>
      <c r="F78" s="9" t="s">
        <v>3150</v>
      </c>
      <c r="G78" s="9" t="s">
        <v>3151</v>
      </c>
      <c r="H78" s="9">
        <f>'Volume &amp; Price List'!G85</f>
        <v>0</v>
      </c>
      <c r="I78" s="9" t="s">
        <v>3152</v>
      </c>
      <c r="J78" s="9">
        <f>'Volume &amp; Price List'!I85</f>
        <v>0</v>
      </c>
      <c r="K78" s="9" t="s">
        <v>3153</v>
      </c>
      <c r="L78" s="9">
        <f>'Volume &amp; Price List'!K85</f>
        <v>0</v>
      </c>
      <c r="M78" s="9"/>
      <c r="N78" s="9" t="str">
        <f t="shared" si="2"/>
        <v>{ "v": 28, "n": { "EN": "0", "SYS":"0 "}, "company": "0", "conv": [0,0</v>
      </c>
    </row>
    <row r="79" spans="2:14">
      <c r="B79" s="9" t="s">
        <v>3148</v>
      </c>
      <c r="C79" s="9">
        <f>'Volume &amp; Price List'!A86</f>
        <v>29</v>
      </c>
      <c r="D79" s="9" t="s">
        <v>3149</v>
      </c>
      <c r="E79" s="9">
        <f>'Volume &amp; Price List'!B86</f>
        <v>0</v>
      </c>
      <c r="F79" s="9" t="s">
        <v>3150</v>
      </c>
      <c r="G79" s="9" t="s">
        <v>3151</v>
      </c>
      <c r="H79" s="9">
        <f>'Volume &amp; Price List'!G86</f>
        <v>0</v>
      </c>
      <c r="I79" s="9" t="s">
        <v>3152</v>
      </c>
      <c r="J79" s="9">
        <f>'Volume &amp; Price List'!I86</f>
        <v>0</v>
      </c>
      <c r="K79" s="9" t="s">
        <v>3153</v>
      </c>
      <c r="L79" s="9">
        <f>'Volume &amp; Price List'!K86</f>
        <v>0</v>
      </c>
      <c r="M79" s="9"/>
      <c r="N79" s="9" t="str">
        <f t="shared" si="2"/>
        <v>{ "v": 29, "n": { "EN": "0", "SYS":"0 "}, "company": "0", "conv": [0,0</v>
      </c>
    </row>
    <row r="80" spans="2:14">
      <c r="B80" s="9" t="s">
        <v>3148</v>
      </c>
      <c r="C80" s="9">
        <f>'Volume &amp; Price List'!A87</f>
        <v>30</v>
      </c>
      <c r="D80" s="9" t="s">
        <v>3149</v>
      </c>
      <c r="E80" s="9">
        <f>'Volume &amp; Price List'!B87</f>
        <v>0</v>
      </c>
      <c r="F80" s="9" t="s">
        <v>3150</v>
      </c>
      <c r="G80" s="9" t="s">
        <v>3151</v>
      </c>
      <c r="H80" s="9">
        <f>'Volume &amp; Price List'!G87</f>
        <v>0</v>
      </c>
      <c r="I80" s="9" t="s">
        <v>3152</v>
      </c>
      <c r="J80" s="9">
        <f>'Volume &amp; Price List'!I87</f>
        <v>0</v>
      </c>
      <c r="K80" s="9" t="s">
        <v>3153</v>
      </c>
      <c r="L80" s="9">
        <f>'Volume &amp; Price List'!K87</f>
        <v>0</v>
      </c>
      <c r="M80" s="9"/>
      <c r="N80" s="9" t="str">
        <f t="shared" si="2"/>
        <v>{ "v": 30, "n": { "EN": "0", "SYS":"0 "}, "company": "0", "conv": [0,0</v>
      </c>
    </row>
    <row r="81" spans="2:14">
      <c r="B81" s="9" t="s">
        <v>3148</v>
      </c>
      <c r="C81" s="9">
        <f>'Volume &amp; Price List'!A88</f>
        <v>31</v>
      </c>
      <c r="D81" s="9" t="s">
        <v>3149</v>
      </c>
      <c r="E81" s="9">
        <f>'Volume &amp; Price List'!B88</f>
        <v>0</v>
      </c>
      <c r="F81" s="9" t="s">
        <v>3150</v>
      </c>
      <c r="G81" s="9" t="s">
        <v>3151</v>
      </c>
      <c r="H81" s="9">
        <f>'Volume &amp; Price List'!G88</f>
        <v>0</v>
      </c>
      <c r="I81" s="9" t="s">
        <v>3152</v>
      </c>
      <c r="J81" s="9">
        <f>'Volume &amp; Price List'!I88</f>
        <v>0</v>
      </c>
      <c r="K81" s="9" t="s">
        <v>3153</v>
      </c>
      <c r="L81" s="9">
        <f>'Volume &amp; Price List'!K88</f>
        <v>0</v>
      </c>
      <c r="M81" s="9"/>
      <c r="N81" s="9" t="str">
        <f t="shared" si="2"/>
        <v>{ "v": 31, "n": { "EN": "0", "SYS":"0 "}, "company": "0", "conv": [0,0</v>
      </c>
    </row>
    <row r="82" spans="2:14">
      <c r="B82" s="9" t="s">
        <v>3148</v>
      </c>
      <c r="C82" s="9">
        <f>'Volume &amp; Price List'!A89</f>
        <v>32</v>
      </c>
      <c r="D82" s="9" t="s">
        <v>3149</v>
      </c>
      <c r="E82" s="9">
        <f>'Volume &amp; Price List'!B89</f>
        <v>0</v>
      </c>
      <c r="F82" s="9" t="s">
        <v>3150</v>
      </c>
      <c r="G82" s="9" t="s">
        <v>3151</v>
      </c>
      <c r="H82" s="9">
        <f>'Volume &amp; Price List'!G89</f>
        <v>0</v>
      </c>
      <c r="I82" s="9" t="s">
        <v>3152</v>
      </c>
      <c r="J82" s="9">
        <f>'Volume &amp; Price List'!I89</f>
        <v>0</v>
      </c>
      <c r="K82" s="9" t="s">
        <v>3153</v>
      </c>
      <c r="L82" s="9">
        <f>'Volume &amp; Price List'!K89</f>
        <v>0</v>
      </c>
      <c r="M82" s="9"/>
      <c r="N82" s="9" t="str">
        <f t="shared" si="2"/>
        <v>{ "v": 32, "n": { "EN": "0", "SYS":"0 "}, "company": "0", "conv": [0,0</v>
      </c>
    </row>
    <row r="83" spans="2:14">
      <c r="B83" s="9" t="s">
        <v>3148</v>
      </c>
      <c r="C83" s="9">
        <f>'Volume &amp; Price List'!A90</f>
        <v>33</v>
      </c>
      <c r="D83" s="9" t="s">
        <v>3149</v>
      </c>
      <c r="E83" s="9">
        <f>'Volume &amp; Price List'!B90</f>
        <v>0</v>
      </c>
      <c r="F83" s="9" t="s">
        <v>3150</v>
      </c>
      <c r="G83" s="9" t="s">
        <v>3151</v>
      </c>
      <c r="H83" s="9">
        <f>'Volume &amp; Price List'!G90</f>
        <v>0</v>
      </c>
      <c r="I83" s="9" t="s">
        <v>3152</v>
      </c>
      <c r="J83" s="9">
        <f>'Volume &amp; Price List'!I90</f>
        <v>0</v>
      </c>
      <c r="K83" s="9" t="s">
        <v>3153</v>
      </c>
      <c r="L83" s="9">
        <f>'Volume &amp; Price List'!K90</f>
        <v>0</v>
      </c>
      <c r="M83" s="9"/>
      <c r="N83" s="9" t="str">
        <f t="shared" si="2"/>
        <v>{ "v": 33, "n": { "EN": "0", "SYS":"0 "}, "company": "0", "conv": [0,0</v>
      </c>
    </row>
    <row r="84" spans="2:14">
      <c r="B84" s="9" t="s">
        <v>3148</v>
      </c>
      <c r="C84" s="9">
        <f>'Volume &amp; Price List'!A91</f>
        <v>34</v>
      </c>
      <c r="D84" s="9" t="s">
        <v>3149</v>
      </c>
      <c r="E84" s="9">
        <f>'Volume &amp; Price List'!B91</f>
        <v>0</v>
      </c>
      <c r="F84" s="9" t="s">
        <v>3150</v>
      </c>
      <c r="G84" s="9" t="s">
        <v>3151</v>
      </c>
      <c r="H84" s="9">
        <f>'Volume &amp; Price List'!G91</f>
        <v>0</v>
      </c>
      <c r="I84" s="9" t="s">
        <v>3152</v>
      </c>
      <c r="J84" s="9">
        <f>'Volume &amp; Price List'!I91</f>
        <v>0</v>
      </c>
      <c r="K84" s="9" t="s">
        <v>3153</v>
      </c>
      <c r="L84" s="9">
        <f>'Volume &amp; Price List'!K91</f>
        <v>0</v>
      </c>
      <c r="M84" s="9"/>
      <c r="N84" s="9" t="str">
        <f t="shared" si="2"/>
        <v>{ "v": 34, "n": { "EN": "0", "SYS":"0 "}, "company": "0", "conv": [0,0</v>
      </c>
    </row>
    <row r="85" spans="2:14">
      <c r="B85" s="9" t="s">
        <v>3148</v>
      </c>
      <c r="C85" s="9">
        <f>'Volume &amp; Price List'!A92</f>
        <v>35</v>
      </c>
      <c r="D85" s="9" t="s">
        <v>3149</v>
      </c>
      <c r="E85" s="9">
        <f>'Volume &amp; Price List'!B92</f>
        <v>0</v>
      </c>
      <c r="F85" s="9" t="s">
        <v>3150</v>
      </c>
      <c r="G85" s="9" t="s">
        <v>3151</v>
      </c>
      <c r="H85" s="9">
        <f>'Volume &amp; Price List'!G92</f>
        <v>0</v>
      </c>
      <c r="I85" s="9" t="s">
        <v>3152</v>
      </c>
      <c r="J85" s="9">
        <f>'Volume &amp; Price List'!I92</f>
        <v>0</v>
      </c>
      <c r="K85" s="9" t="s">
        <v>3153</v>
      </c>
      <c r="L85" s="9">
        <f>'Volume &amp; Price List'!K92</f>
        <v>0</v>
      </c>
      <c r="M85" s="9"/>
      <c r="N85" s="9" t="str">
        <f t="shared" si="2"/>
        <v>{ "v": 35, "n": { "EN": "0", "SYS":"0 "}, "company": "0", "conv": [0,0</v>
      </c>
    </row>
    <row r="86" spans="2:14">
      <c r="B86" s="9" t="s">
        <v>3148</v>
      </c>
      <c r="C86" s="9">
        <f>'Volume &amp; Price List'!A93</f>
        <v>36</v>
      </c>
      <c r="D86" s="9" t="s">
        <v>3149</v>
      </c>
      <c r="E86" s="9">
        <f>'Volume &amp; Price List'!B93</f>
        <v>0</v>
      </c>
      <c r="F86" s="9" t="s">
        <v>3150</v>
      </c>
      <c r="G86" s="9" t="s">
        <v>3151</v>
      </c>
      <c r="H86" s="9">
        <f>'Volume &amp; Price List'!G93</f>
        <v>0</v>
      </c>
      <c r="I86" s="9" t="s">
        <v>3152</v>
      </c>
      <c r="J86" s="9">
        <f>'Volume &amp; Price List'!I93</f>
        <v>0</v>
      </c>
      <c r="K86" s="9" t="s">
        <v>3153</v>
      </c>
      <c r="L86" s="9">
        <f>'Volume &amp; Price List'!K93</f>
        <v>0</v>
      </c>
      <c r="M86" s="9"/>
      <c r="N86" s="9" t="str">
        <f t="shared" si="2"/>
        <v>{ "v": 36, "n": { "EN": "0", "SYS":"0 "}, "company": "0", "conv": [0,0</v>
      </c>
    </row>
    <row r="87" spans="2:14">
      <c r="B87" s="9" t="s">
        <v>3148</v>
      </c>
      <c r="C87" s="9">
        <f>'Volume &amp; Price List'!A94</f>
        <v>37</v>
      </c>
      <c r="D87" s="9" t="s">
        <v>3149</v>
      </c>
      <c r="E87" s="9">
        <f>'Volume &amp; Price List'!B94</f>
        <v>0</v>
      </c>
      <c r="F87" s="9" t="s">
        <v>3150</v>
      </c>
      <c r="G87" s="9" t="s">
        <v>3151</v>
      </c>
      <c r="H87" s="9">
        <f>'Volume &amp; Price List'!G94</f>
        <v>0</v>
      </c>
      <c r="I87" s="9" t="s">
        <v>3152</v>
      </c>
      <c r="J87" s="9">
        <f>'Volume &amp; Price List'!I94</f>
        <v>0</v>
      </c>
      <c r="K87" s="9" t="s">
        <v>3153</v>
      </c>
      <c r="L87" s="9">
        <f>'Volume &amp; Price List'!K94</f>
        <v>0</v>
      </c>
      <c r="M87" s="9"/>
      <c r="N87" s="9" t="str">
        <f t="shared" si="2"/>
        <v>{ "v": 37, "n": { "EN": "0", "SYS":"0 "}, "company": "0", "conv": [0,0</v>
      </c>
    </row>
    <row r="88" spans="2:14">
      <c r="B88" s="9" t="s">
        <v>3148</v>
      </c>
      <c r="C88" s="9">
        <f>'Volume &amp; Price List'!A95</f>
        <v>38</v>
      </c>
      <c r="D88" s="9" t="s">
        <v>3149</v>
      </c>
      <c r="E88" s="9">
        <f>'Volume &amp; Price List'!B95</f>
        <v>0</v>
      </c>
      <c r="F88" s="9" t="s">
        <v>3150</v>
      </c>
      <c r="G88" s="9" t="s">
        <v>3151</v>
      </c>
      <c r="H88" s="9">
        <f>'Volume &amp; Price List'!G95</f>
        <v>0</v>
      </c>
      <c r="I88" s="9" t="s">
        <v>3152</v>
      </c>
      <c r="J88" s="9">
        <f>'Volume &amp; Price List'!I95</f>
        <v>0</v>
      </c>
      <c r="K88" s="9" t="s">
        <v>3153</v>
      </c>
      <c r="L88" s="9">
        <f>'Volume &amp; Price List'!K95</f>
        <v>0</v>
      </c>
      <c r="M88" s="9"/>
      <c r="N88" s="9" t="str">
        <f t="shared" si="2"/>
        <v>{ "v": 38, "n": { "EN": "0", "SYS":"0 "}, "company": "0", "conv": [0,0</v>
      </c>
    </row>
    <row r="89" spans="2:14">
      <c r="B89" s="9" t="s">
        <v>3148</v>
      </c>
      <c r="C89" s="9">
        <f>'Volume &amp; Price List'!A96</f>
        <v>39</v>
      </c>
      <c r="D89" s="9" t="s">
        <v>3149</v>
      </c>
      <c r="E89" s="9">
        <f>'Volume &amp; Price List'!B96</f>
        <v>0</v>
      </c>
      <c r="F89" s="9" t="s">
        <v>3150</v>
      </c>
      <c r="G89" s="9" t="s">
        <v>3151</v>
      </c>
      <c r="H89" s="9">
        <f>'Volume &amp; Price List'!G96</f>
        <v>0</v>
      </c>
      <c r="I89" s="9" t="s">
        <v>3152</v>
      </c>
      <c r="J89" s="9">
        <f>'Volume &amp; Price List'!I96</f>
        <v>0</v>
      </c>
      <c r="K89" s="9" t="s">
        <v>3153</v>
      </c>
      <c r="L89" s="9">
        <f>'Volume &amp; Price List'!K96</f>
        <v>0</v>
      </c>
      <c r="M89" s="9"/>
      <c r="N89" s="9" t="str">
        <f t="shared" si="2"/>
        <v>{ "v": 39, "n": { "EN": "0", "SYS":"0 "}, "company": "0", "conv": [0,0</v>
      </c>
    </row>
    <row r="90" spans="2:14">
      <c r="B90" s="9" t="s">
        <v>3148</v>
      </c>
      <c r="C90" s="9">
        <f>'Volume &amp; Price List'!A97</f>
        <v>40</v>
      </c>
      <c r="D90" s="9" t="s">
        <v>3149</v>
      </c>
      <c r="E90" s="9">
        <f>'Volume &amp; Price List'!B97</f>
        <v>0</v>
      </c>
      <c r="F90" s="9" t="s">
        <v>3150</v>
      </c>
      <c r="G90" s="9" t="s">
        <v>3151</v>
      </c>
      <c r="H90" s="9">
        <f>'Volume &amp; Price List'!G97</f>
        <v>0</v>
      </c>
      <c r="I90" s="9" t="s">
        <v>3152</v>
      </c>
      <c r="J90" s="9">
        <f>'Volume &amp; Price List'!I97</f>
        <v>0</v>
      </c>
      <c r="K90" s="9" t="s">
        <v>3153</v>
      </c>
      <c r="L90" s="9">
        <f>'Volume &amp; Price List'!K97</f>
        <v>0</v>
      </c>
      <c r="M90" s="9"/>
      <c r="N90" s="9" t="str">
        <f t="shared" si="2"/>
        <v>{ "v": 40, "n": { "EN": "0", "SYS":"0 "}, "company": "0", "conv": [0,0</v>
      </c>
    </row>
    <row r="91" spans="2:14">
      <c r="B91" s="9" t="s">
        <v>3148</v>
      </c>
      <c r="C91" s="9">
        <f>'Volume &amp; Price List'!A98</f>
        <v>41</v>
      </c>
      <c r="D91" s="9" t="s">
        <v>3149</v>
      </c>
      <c r="E91" s="9">
        <f>'Volume &amp; Price List'!B98</f>
        <v>0</v>
      </c>
      <c r="F91" s="9" t="s">
        <v>3150</v>
      </c>
      <c r="G91" s="9" t="s">
        <v>3151</v>
      </c>
      <c r="H91" s="9">
        <f>'Volume &amp; Price List'!G98</f>
        <v>0</v>
      </c>
      <c r="I91" s="9" t="s">
        <v>3152</v>
      </c>
      <c r="J91" s="9">
        <f>'Volume &amp; Price List'!I98</f>
        <v>0</v>
      </c>
      <c r="K91" s="9" t="s">
        <v>3153</v>
      </c>
      <c r="L91" s="9">
        <f>'Volume &amp; Price List'!K98</f>
        <v>0</v>
      </c>
      <c r="M91" s="9"/>
      <c r="N91" s="9" t="str">
        <f t="shared" si="2"/>
        <v>{ "v": 41, "n": { "EN": "0", "SYS":"0 "}, "company": "0", "conv": [0,0</v>
      </c>
    </row>
    <row r="92" spans="2:14">
      <c r="B92" s="9" t="s">
        <v>3148</v>
      </c>
      <c r="C92" s="9">
        <f>'Volume &amp; Price List'!A99</f>
        <v>42</v>
      </c>
      <c r="D92" s="9" t="s">
        <v>3149</v>
      </c>
      <c r="E92" s="9">
        <f>'Volume &amp; Price List'!B99</f>
        <v>0</v>
      </c>
      <c r="F92" s="9" t="s">
        <v>3150</v>
      </c>
      <c r="G92" s="9" t="s">
        <v>3151</v>
      </c>
      <c r="H92" s="9">
        <f>'Volume &amp; Price List'!G99</f>
        <v>0</v>
      </c>
      <c r="I92" s="9" t="s">
        <v>3152</v>
      </c>
      <c r="J92" s="9">
        <f>'Volume &amp; Price List'!I99</f>
        <v>0</v>
      </c>
      <c r="K92" s="9" t="s">
        <v>3153</v>
      </c>
      <c r="L92" s="9">
        <f>'Volume &amp; Price List'!K99</f>
        <v>0</v>
      </c>
      <c r="M92" s="9"/>
      <c r="N92" s="9" t="str">
        <f t="shared" si="2"/>
        <v>{ "v": 42, "n": { "EN": "0", "SYS":"0 "}, "company": "0", "conv": [0,0</v>
      </c>
    </row>
    <row r="93" spans="2:14">
      <c r="B93" s="9" t="s">
        <v>3148</v>
      </c>
      <c r="C93" s="9">
        <f>'Volume &amp; Price List'!A100</f>
        <v>43</v>
      </c>
      <c r="D93" s="9" t="s">
        <v>3149</v>
      </c>
      <c r="E93" s="9">
        <f>'Volume &amp; Price List'!B100</f>
        <v>0</v>
      </c>
      <c r="F93" s="9" t="s">
        <v>3150</v>
      </c>
      <c r="G93" s="9" t="s">
        <v>3151</v>
      </c>
      <c r="H93" s="9">
        <f>'Volume &amp; Price List'!G100</f>
        <v>0</v>
      </c>
      <c r="I93" s="9" t="s">
        <v>3152</v>
      </c>
      <c r="J93" s="9">
        <f>'Volume &amp; Price List'!I100</f>
        <v>0</v>
      </c>
      <c r="K93" s="9" t="s">
        <v>3153</v>
      </c>
      <c r="L93" s="9">
        <f>'Volume &amp; Price List'!K100</f>
        <v>0</v>
      </c>
      <c r="M93" s="9"/>
      <c r="N93" s="9" t="str">
        <f t="shared" si="2"/>
        <v>{ "v": 43, "n": { "EN": "0", "SYS":"0 "}, "company": "0", "conv": [0,0</v>
      </c>
    </row>
    <row r="94" spans="2:14">
      <c r="B94" s="9" t="s">
        <v>3148</v>
      </c>
      <c r="C94" s="9">
        <f>'Volume &amp; Price List'!A101</f>
        <v>44</v>
      </c>
      <c r="D94" s="9" t="s">
        <v>3149</v>
      </c>
      <c r="E94" s="9">
        <f>'Volume &amp; Price List'!B101</f>
        <v>0</v>
      </c>
      <c r="F94" s="9" t="s">
        <v>3150</v>
      </c>
      <c r="G94" s="9" t="s">
        <v>3151</v>
      </c>
      <c r="H94" s="9">
        <f>'Volume &amp; Price List'!G101</f>
        <v>0</v>
      </c>
      <c r="I94" s="9" t="s">
        <v>3152</v>
      </c>
      <c r="J94" s="9">
        <f>'Volume &amp; Price List'!I101</f>
        <v>0</v>
      </c>
      <c r="K94" s="9" t="s">
        <v>3153</v>
      </c>
      <c r="L94" s="9">
        <f>'Volume &amp; Price List'!K101</f>
        <v>0</v>
      </c>
      <c r="M94" s="9"/>
      <c r="N94" s="9" t="str">
        <f t="shared" si="2"/>
        <v>{ "v": 44, "n": { "EN": "0", "SYS":"0 "}, "company": "0", "conv": [0,0</v>
      </c>
    </row>
    <row r="95" spans="2:14">
      <c r="B95" s="9" t="s">
        <v>3148</v>
      </c>
      <c r="C95" s="9">
        <f>'Volume &amp; Price List'!A102</f>
        <v>45</v>
      </c>
      <c r="D95" s="9" t="s">
        <v>3149</v>
      </c>
      <c r="E95" s="9">
        <f>'Volume &amp; Price List'!B102</f>
        <v>0</v>
      </c>
      <c r="F95" s="9" t="s">
        <v>3150</v>
      </c>
      <c r="G95" s="9" t="s">
        <v>3151</v>
      </c>
      <c r="H95" s="9">
        <f>'Volume &amp; Price List'!G102</f>
        <v>0</v>
      </c>
      <c r="I95" s="9" t="s">
        <v>3152</v>
      </c>
      <c r="J95" s="9">
        <f>'Volume &amp; Price List'!I102</f>
        <v>0</v>
      </c>
      <c r="K95" s="9" t="s">
        <v>3153</v>
      </c>
      <c r="L95" s="9">
        <f>'Volume &amp; Price List'!K102</f>
        <v>0</v>
      </c>
      <c r="M95" s="9"/>
      <c r="N95" s="9" t="str">
        <f t="shared" si="2"/>
        <v>{ "v": 45, "n": { "EN": "0", "SYS":"0 "}, "company": "0", "conv": [0,0</v>
      </c>
    </row>
    <row r="96" spans="2:14">
      <c r="B96" s="9" t="s">
        <v>3148</v>
      </c>
      <c r="C96" s="9">
        <f>'Volume &amp; Price List'!A103</f>
        <v>46</v>
      </c>
      <c r="D96" s="9" t="s">
        <v>3149</v>
      </c>
      <c r="E96" s="9">
        <f>'Volume &amp; Price List'!B103</f>
        <v>0</v>
      </c>
      <c r="F96" s="9" t="s">
        <v>3150</v>
      </c>
      <c r="G96" s="9" t="s">
        <v>3151</v>
      </c>
      <c r="H96" s="9">
        <f>'Volume &amp; Price List'!G103</f>
        <v>0</v>
      </c>
      <c r="I96" s="9" t="s">
        <v>3152</v>
      </c>
      <c r="J96" s="9">
        <f>'Volume &amp; Price List'!I103</f>
        <v>0</v>
      </c>
      <c r="K96" s="9" t="s">
        <v>3153</v>
      </c>
      <c r="L96" s="9">
        <f>'Volume &amp; Price List'!K103</f>
        <v>0</v>
      </c>
      <c r="M96" s="9"/>
      <c r="N96" s="9" t="str">
        <f t="shared" si="2"/>
        <v>{ "v": 46, "n": { "EN": "0", "SYS":"0 "}, "company": "0", "conv": [0,0</v>
      </c>
    </row>
    <row r="97" spans="2:14">
      <c r="B97" s="9" t="s">
        <v>3148</v>
      </c>
      <c r="C97" s="9">
        <f>'Volume &amp; Price List'!A104</f>
        <v>47</v>
      </c>
      <c r="D97" s="9" t="s">
        <v>3149</v>
      </c>
      <c r="E97" s="9">
        <f>'Volume &amp; Price List'!B104</f>
        <v>0</v>
      </c>
      <c r="F97" s="9" t="s">
        <v>3150</v>
      </c>
      <c r="G97" s="9" t="s">
        <v>3151</v>
      </c>
      <c r="H97" s="9">
        <f>'Volume &amp; Price List'!G104</f>
        <v>0</v>
      </c>
      <c r="I97" s="9" t="s">
        <v>3152</v>
      </c>
      <c r="J97" s="9">
        <f>'Volume &amp; Price List'!I104</f>
        <v>0</v>
      </c>
      <c r="K97" s="9" t="s">
        <v>3153</v>
      </c>
      <c r="L97" s="9">
        <f>'Volume &amp; Price List'!K104</f>
        <v>0</v>
      </c>
      <c r="M97" s="9"/>
      <c r="N97" s="9" t="str">
        <f t="shared" si="2"/>
        <v>{ "v": 47, "n": { "EN": "0", "SYS":"0 "}, "company": "0", "conv": [0,0</v>
      </c>
    </row>
    <row r="98" spans="2:14">
      <c r="B98" s="9" t="s">
        <v>3148</v>
      </c>
      <c r="C98" s="9">
        <f>'Volume &amp; Price List'!A105</f>
        <v>48</v>
      </c>
      <c r="D98" s="9" t="s">
        <v>3149</v>
      </c>
      <c r="E98" s="9">
        <f>'Volume &amp; Price List'!B105</f>
        <v>0</v>
      </c>
      <c r="F98" s="9" t="s">
        <v>3150</v>
      </c>
      <c r="G98" s="9" t="s">
        <v>3151</v>
      </c>
      <c r="H98" s="9">
        <f>'Volume &amp; Price List'!G105</f>
        <v>0</v>
      </c>
      <c r="I98" s="9" t="s">
        <v>3152</v>
      </c>
      <c r="J98" s="9">
        <f>'Volume &amp; Price List'!I105</f>
        <v>0</v>
      </c>
      <c r="K98" s="9" t="s">
        <v>3153</v>
      </c>
      <c r="L98" s="9">
        <f>'Volume &amp; Price List'!K105</f>
        <v>0</v>
      </c>
      <c r="M98" s="9"/>
      <c r="N98" s="9" t="str">
        <f t="shared" si="2"/>
        <v>{ "v": 48, "n": { "EN": "0", "SYS":"0 "}, "company": "0", "conv": [0,0</v>
      </c>
    </row>
    <row r="99" spans="2:14">
      <c r="B99" s="9" t="s">
        <v>3148</v>
      </c>
      <c r="C99" s="9">
        <f>'Volume &amp; Price List'!A106</f>
        <v>0</v>
      </c>
      <c r="D99" s="9" t="s">
        <v>3149</v>
      </c>
      <c r="E99" s="9">
        <f>'Volume &amp; Price List'!B106</f>
        <v>0</v>
      </c>
      <c r="F99" s="9" t="s">
        <v>3150</v>
      </c>
      <c r="G99" s="9" t="s">
        <v>3151</v>
      </c>
      <c r="H99" s="9">
        <f>'Volume &amp; Price List'!G106</f>
        <v>0</v>
      </c>
      <c r="I99" s="9" t="s">
        <v>3152</v>
      </c>
      <c r="J99" s="9">
        <f>'Volume &amp; Price List'!I106</f>
        <v>0</v>
      </c>
      <c r="K99" s="9" t="s">
        <v>3153</v>
      </c>
      <c r="L99" s="9">
        <f>'Volume &amp; Price List'!K106</f>
        <v>0</v>
      </c>
      <c r="M99" s="9"/>
      <c r="N99" s="9" t="str">
        <f t="shared" si="2"/>
        <v>{ "v": 0, "n": { "EN": "0", "SYS":"0 "}, "company": "0", "conv": [0,0</v>
      </c>
    </row>
    <row r="105" spans="2:14">
      <c r="B105" s="9" t="s">
        <v>3148</v>
      </c>
      <c r="C105" s="9">
        <f>'Volume &amp; Price List'!A109</f>
        <v>0</v>
      </c>
      <c r="D105" s="9" t="s">
        <v>3149</v>
      </c>
      <c r="E105" s="9">
        <f>'Volume &amp; Price List'!B109</f>
        <v>0</v>
      </c>
      <c r="F105" s="9" t="s">
        <v>3150</v>
      </c>
      <c r="G105" s="9" t="s">
        <v>3151</v>
      </c>
      <c r="H105" s="9">
        <f>'Volume &amp; Price List'!G109</f>
        <v>0</v>
      </c>
      <c r="I105" s="9" t="s">
        <v>3152</v>
      </c>
      <c r="J105" s="9">
        <f>'Volume &amp; Price List'!I109</f>
        <v>0</v>
      </c>
      <c r="K105" s="9" t="s">
        <v>3153</v>
      </c>
      <c r="L105" s="9">
        <f>'Volume &amp; Price List'!K109</f>
        <v>0</v>
      </c>
      <c r="M105" s="9"/>
      <c r="N105" s="9" t="str">
        <f t="shared" ref="N105" si="3">CONCATENATE(B105,C105,D105,E105,F105,E105,G105,H105,I105,J105,K105,L105,M105)</f>
        <v>{ "v": 0, "n": { "EN": "0", "SYS":"0 "}, "company": "0", "conv": [0,0</v>
      </c>
    </row>
    <row r="106" spans="2:14">
      <c r="B106" s="9" t="s">
        <v>3148</v>
      </c>
      <c r="C106" s="9">
        <f>'Volume &amp; Price List'!A110</f>
        <v>0</v>
      </c>
      <c r="D106" s="9" t="s">
        <v>3149</v>
      </c>
      <c r="E106" s="9">
        <f>'Volume &amp; Price List'!B110</f>
        <v>0</v>
      </c>
      <c r="F106" s="9" t="s">
        <v>3150</v>
      </c>
      <c r="G106" s="9" t="s">
        <v>3151</v>
      </c>
      <c r="H106" s="9">
        <f>'Volume &amp; Price List'!G110</f>
        <v>0</v>
      </c>
      <c r="I106" s="9" t="s">
        <v>3152</v>
      </c>
      <c r="J106" s="9">
        <f>'Volume &amp; Price List'!I110</f>
        <v>0</v>
      </c>
      <c r="K106" s="9" t="s">
        <v>3153</v>
      </c>
      <c r="L106" s="9">
        <f>'Volume &amp; Price List'!K110</f>
        <v>0</v>
      </c>
      <c r="M106" s="9"/>
      <c r="N106" s="9" t="str">
        <f t="shared" ref="N106:N166" si="4">CONCATENATE(B106,C106,D106,E106,F106,E106,G106,H106,I106,J106,K106,L106,M106)</f>
        <v>{ "v": 0, "n": { "EN": "0", "SYS":"0 "}, "company": "0", "conv": [0,0</v>
      </c>
    </row>
    <row r="107" spans="2:14">
      <c r="B107" s="9" t="s">
        <v>3148</v>
      </c>
      <c r="C107" s="9">
        <f>'Volume &amp; Price List'!A111</f>
        <v>0</v>
      </c>
      <c r="D107" s="9" t="s">
        <v>3149</v>
      </c>
      <c r="E107" s="9">
        <f>'Volume &amp; Price List'!B111</f>
        <v>0</v>
      </c>
      <c r="F107" s="9" t="s">
        <v>3150</v>
      </c>
      <c r="G107" s="9" t="s">
        <v>3151</v>
      </c>
      <c r="H107" s="9">
        <f>'Volume &amp; Price List'!G111</f>
        <v>0</v>
      </c>
      <c r="I107" s="9" t="s">
        <v>3152</v>
      </c>
      <c r="J107" s="9">
        <f>'Volume &amp; Price List'!I111</f>
        <v>0</v>
      </c>
      <c r="K107" s="9" t="s">
        <v>3153</v>
      </c>
      <c r="L107" s="9">
        <f>'Volume &amp; Price List'!K111</f>
        <v>0</v>
      </c>
      <c r="M107" s="9"/>
      <c r="N107" s="9" t="str">
        <f t="shared" si="4"/>
        <v>{ "v": 0, "n": { "EN": "0", "SYS":"0 "}, "company": "0", "conv": [0,0</v>
      </c>
    </row>
    <row r="108" spans="2:14">
      <c r="B108" s="9" t="s">
        <v>3148</v>
      </c>
      <c r="C108" s="9">
        <f>'Volume &amp; Price List'!A112</f>
        <v>0</v>
      </c>
      <c r="D108" s="9" t="s">
        <v>3149</v>
      </c>
      <c r="E108" s="9">
        <f>'Volume &amp; Price List'!B112</f>
        <v>0</v>
      </c>
      <c r="F108" s="9" t="s">
        <v>3150</v>
      </c>
      <c r="G108" s="9" t="s">
        <v>3151</v>
      </c>
      <c r="H108" s="9">
        <f>'Volume &amp; Price List'!G112</f>
        <v>0</v>
      </c>
      <c r="I108" s="9" t="s">
        <v>3152</v>
      </c>
      <c r="J108" s="9">
        <f>'Volume &amp; Price List'!I112</f>
        <v>0</v>
      </c>
      <c r="K108" s="9" t="s">
        <v>3153</v>
      </c>
      <c r="L108" s="9">
        <f>'Volume &amp; Price List'!K112</f>
        <v>0</v>
      </c>
      <c r="M108" s="9"/>
      <c r="N108" s="9" t="str">
        <f t="shared" si="4"/>
        <v>{ "v": 0, "n": { "EN": "0", "SYS":"0 "}, "company": "0", "conv": [0,0</v>
      </c>
    </row>
    <row r="109" spans="2:14">
      <c r="B109" s="9" t="s">
        <v>3148</v>
      </c>
      <c r="C109" s="9">
        <f>'Volume &amp; Price List'!A113</f>
        <v>0</v>
      </c>
      <c r="D109" s="9" t="s">
        <v>3149</v>
      </c>
      <c r="E109" s="9">
        <f>'Volume &amp; Price List'!B113</f>
        <v>0</v>
      </c>
      <c r="F109" s="9" t="s">
        <v>3150</v>
      </c>
      <c r="G109" s="9" t="s">
        <v>3151</v>
      </c>
      <c r="H109" s="9">
        <f>'Volume &amp; Price List'!G113</f>
        <v>0</v>
      </c>
      <c r="I109" s="9" t="s">
        <v>3152</v>
      </c>
      <c r="J109" s="9">
        <f>'Volume &amp; Price List'!I113</f>
        <v>0</v>
      </c>
      <c r="K109" s="9" t="s">
        <v>3153</v>
      </c>
      <c r="L109" s="9">
        <f>'Volume &amp; Price List'!K113</f>
        <v>0</v>
      </c>
      <c r="M109" s="9"/>
      <c r="N109" s="9" t="str">
        <f t="shared" si="4"/>
        <v>{ "v": 0, "n": { "EN": "0", "SYS":"0 "}, "company": "0", "conv": [0,0</v>
      </c>
    </row>
    <row r="110" spans="2:14">
      <c r="B110" s="9" t="s">
        <v>3148</v>
      </c>
      <c r="C110" s="9">
        <f>'Volume &amp; Price List'!A114</f>
        <v>0</v>
      </c>
      <c r="D110" s="9" t="s">
        <v>3149</v>
      </c>
      <c r="E110" s="9">
        <f>'Volume &amp; Price List'!B114</f>
        <v>0</v>
      </c>
      <c r="F110" s="9" t="s">
        <v>3150</v>
      </c>
      <c r="G110" s="9" t="s">
        <v>3151</v>
      </c>
      <c r="H110" s="9">
        <f>'Volume &amp; Price List'!G114</f>
        <v>0</v>
      </c>
      <c r="I110" s="9" t="s">
        <v>3152</v>
      </c>
      <c r="J110" s="9">
        <f>'Volume &amp; Price List'!I114</f>
        <v>0</v>
      </c>
      <c r="K110" s="9" t="s">
        <v>3153</v>
      </c>
      <c r="L110" s="9">
        <f>'Volume &amp; Price List'!K114</f>
        <v>0</v>
      </c>
      <c r="M110" s="9"/>
      <c r="N110" s="9" t="str">
        <f t="shared" si="4"/>
        <v>{ "v": 0, "n": { "EN": "0", "SYS":"0 "}, "company": "0", "conv": [0,0</v>
      </c>
    </row>
    <row r="111" spans="2:14">
      <c r="B111" s="9" t="s">
        <v>3148</v>
      </c>
      <c r="C111" s="9">
        <f>'Volume &amp; Price List'!A115</f>
        <v>0</v>
      </c>
      <c r="D111" s="9" t="s">
        <v>3149</v>
      </c>
      <c r="E111" s="9">
        <f>'Volume &amp; Price List'!B115</f>
        <v>0</v>
      </c>
      <c r="F111" s="9" t="s">
        <v>3150</v>
      </c>
      <c r="G111" s="9" t="s">
        <v>3151</v>
      </c>
      <c r="H111" s="9">
        <f>'Volume &amp; Price List'!G115</f>
        <v>0</v>
      </c>
      <c r="I111" s="9" t="s">
        <v>3152</v>
      </c>
      <c r="J111" s="9">
        <f>'Volume &amp; Price List'!I115</f>
        <v>0</v>
      </c>
      <c r="K111" s="9" t="s">
        <v>3153</v>
      </c>
      <c r="L111" s="9">
        <f>'Volume &amp; Price List'!K115</f>
        <v>0</v>
      </c>
      <c r="M111" s="9"/>
      <c r="N111" s="9" t="str">
        <f t="shared" si="4"/>
        <v>{ "v": 0, "n": { "EN": "0", "SYS":"0 "}, "company": "0", "conv": [0,0</v>
      </c>
    </row>
    <row r="112" spans="2:14">
      <c r="B112" s="9" t="s">
        <v>3148</v>
      </c>
      <c r="C112" s="9">
        <f>'Volume &amp; Price List'!A116</f>
        <v>0</v>
      </c>
      <c r="D112" s="9" t="s">
        <v>3149</v>
      </c>
      <c r="E112" s="9">
        <f>'Volume &amp; Price List'!B116</f>
        <v>0</v>
      </c>
      <c r="F112" s="9" t="s">
        <v>3150</v>
      </c>
      <c r="G112" s="9" t="s">
        <v>3151</v>
      </c>
      <c r="H112" s="9">
        <f>'Volume &amp; Price List'!G116</f>
        <v>0</v>
      </c>
      <c r="I112" s="9" t="s">
        <v>3152</v>
      </c>
      <c r="J112" s="9">
        <f>'Volume &amp; Price List'!I116</f>
        <v>0</v>
      </c>
      <c r="K112" s="9" t="s">
        <v>3153</v>
      </c>
      <c r="L112" s="9">
        <f>'Volume &amp; Price List'!K116</f>
        <v>0</v>
      </c>
      <c r="M112" s="9"/>
      <c r="N112" s="9" t="str">
        <f t="shared" si="4"/>
        <v>{ "v": 0, "n": { "EN": "0", "SYS":"0 "}, "company": "0", "conv": [0,0</v>
      </c>
    </row>
    <row r="113" spans="2:14">
      <c r="B113" s="9" t="s">
        <v>3148</v>
      </c>
      <c r="C113" s="9">
        <f>'Volume &amp; Price List'!A117</f>
        <v>0</v>
      </c>
      <c r="D113" s="9" t="s">
        <v>3149</v>
      </c>
      <c r="E113" s="9">
        <f>'Volume &amp; Price List'!B117</f>
        <v>0</v>
      </c>
      <c r="F113" s="9" t="s">
        <v>3150</v>
      </c>
      <c r="G113" s="9" t="s">
        <v>3151</v>
      </c>
      <c r="H113" s="9">
        <f>'Volume &amp; Price List'!G117</f>
        <v>0</v>
      </c>
      <c r="I113" s="9" t="s">
        <v>3152</v>
      </c>
      <c r="J113" s="9">
        <f>'Volume &amp; Price List'!I117</f>
        <v>0</v>
      </c>
      <c r="K113" s="9" t="s">
        <v>3153</v>
      </c>
      <c r="L113" s="9">
        <f>'Volume &amp; Price List'!K117</f>
        <v>0</v>
      </c>
      <c r="M113" s="9"/>
      <c r="N113" s="9" t="str">
        <f t="shared" si="4"/>
        <v>{ "v": 0, "n": { "EN": "0", "SYS":"0 "}, "company": "0", "conv": [0,0</v>
      </c>
    </row>
    <row r="114" spans="2:14">
      <c r="B114" s="9" t="s">
        <v>3148</v>
      </c>
      <c r="C114" s="9">
        <f>'Volume &amp; Price List'!A118</f>
        <v>0</v>
      </c>
      <c r="D114" s="9" t="s">
        <v>3149</v>
      </c>
      <c r="E114" s="9">
        <f>'Volume &amp; Price List'!B118</f>
        <v>0</v>
      </c>
      <c r="F114" s="9" t="s">
        <v>3150</v>
      </c>
      <c r="G114" s="9" t="s">
        <v>3151</v>
      </c>
      <c r="H114" s="9">
        <f>'Volume &amp; Price List'!G118</f>
        <v>0</v>
      </c>
      <c r="I114" s="9" t="s">
        <v>3152</v>
      </c>
      <c r="J114" s="9">
        <f>'Volume &amp; Price List'!I118</f>
        <v>0</v>
      </c>
      <c r="K114" s="9" t="s">
        <v>3153</v>
      </c>
      <c r="L114" s="9">
        <f>'Volume &amp; Price List'!K118</f>
        <v>0</v>
      </c>
      <c r="M114" s="9"/>
      <c r="N114" s="9" t="str">
        <f t="shared" si="4"/>
        <v>{ "v": 0, "n": { "EN": "0", "SYS":"0 "}, "company": "0", "conv": [0,0</v>
      </c>
    </row>
    <row r="115" spans="2:14">
      <c r="B115" s="9" t="s">
        <v>3148</v>
      </c>
      <c r="C115" s="9">
        <f>'Volume &amp; Price List'!A119</f>
        <v>0</v>
      </c>
      <c r="D115" s="9" t="s">
        <v>3149</v>
      </c>
      <c r="E115" s="9">
        <f>'Volume &amp; Price List'!B119</f>
        <v>0</v>
      </c>
      <c r="F115" s="9" t="s">
        <v>3150</v>
      </c>
      <c r="G115" s="9" t="s">
        <v>3151</v>
      </c>
      <c r="H115" s="9">
        <f>'Volume &amp; Price List'!G119</f>
        <v>0</v>
      </c>
      <c r="I115" s="9" t="s">
        <v>3152</v>
      </c>
      <c r="J115" s="9">
        <f>'Volume &amp; Price List'!I119</f>
        <v>0</v>
      </c>
      <c r="K115" s="9" t="s">
        <v>3153</v>
      </c>
      <c r="L115" s="9">
        <f>'Volume &amp; Price List'!K119</f>
        <v>0</v>
      </c>
      <c r="M115" s="9"/>
      <c r="N115" s="9" t="str">
        <f t="shared" si="4"/>
        <v>{ "v": 0, "n": { "EN": "0", "SYS":"0 "}, "company": "0", "conv": [0,0</v>
      </c>
    </row>
    <row r="116" spans="2:14">
      <c r="B116" s="9" t="s">
        <v>3148</v>
      </c>
      <c r="C116" s="9">
        <f>'Volume &amp; Price List'!A120</f>
        <v>0</v>
      </c>
      <c r="D116" s="9" t="s">
        <v>3149</v>
      </c>
      <c r="E116" s="9">
        <f>'Volume &amp; Price List'!B120</f>
        <v>0</v>
      </c>
      <c r="F116" s="9" t="s">
        <v>3150</v>
      </c>
      <c r="G116" s="9" t="s">
        <v>3151</v>
      </c>
      <c r="H116" s="9">
        <f>'Volume &amp; Price List'!G120</f>
        <v>0</v>
      </c>
      <c r="I116" s="9" t="s">
        <v>3152</v>
      </c>
      <c r="J116" s="9">
        <f>'Volume &amp; Price List'!I120</f>
        <v>0</v>
      </c>
      <c r="K116" s="9" t="s">
        <v>3153</v>
      </c>
      <c r="L116" s="9">
        <f>'Volume &amp; Price List'!K120</f>
        <v>0</v>
      </c>
      <c r="M116" s="9"/>
      <c r="N116" s="9" t="str">
        <f t="shared" si="4"/>
        <v>{ "v": 0, "n": { "EN": "0", "SYS":"0 "}, "company": "0", "conv": [0,0</v>
      </c>
    </row>
    <row r="117" spans="2:14">
      <c r="B117" s="9" t="s">
        <v>3148</v>
      </c>
      <c r="C117" s="9">
        <f>'Volume &amp; Price List'!A121</f>
        <v>0</v>
      </c>
      <c r="D117" s="9" t="s">
        <v>3149</v>
      </c>
      <c r="E117" s="9">
        <f>'Volume &amp; Price List'!B121</f>
        <v>0</v>
      </c>
      <c r="F117" s="9" t="s">
        <v>3150</v>
      </c>
      <c r="G117" s="9" t="s">
        <v>3151</v>
      </c>
      <c r="H117" s="9">
        <f>'Volume &amp; Price List'!G121</f>
        <v>0</v>
      </c>
      <c r="I117" s="9" t="s">
        <v>3152</v>
      </c>
      <c r="J117" s="9">
        <f>'Volume &amp; Price List'!I121</f>
        <v>0</v>
      </c>
      <c r="K117" s="9" t="s">
        <v>3153</v>
      </c>
      <c r="L117" s="9">
        <f>'Volume &amp; Price List'!K121</f>
        <v>0</v>
      </c>
      <c r="M117" s="9"/>
      <c r="N117" s="9" t="str">
        <f t="shared" si="4"/>
        <v>{ "v": 0, "n": { "EN": "0", "SYS":"0 "}, "company": "0", "conv": [0,0</v>
      </c>
    </row>
    <row r="118" spans="2:14">
      <c r="B118" s="9" t="s">
        <v>3148</v>
      </c>
      <c r="C118" s="9">
        <f>'Volume &amp; Price List'!A122</f>
        <v>0</v>
      </c>
      <c r="D118" s="9" t="s">
        <v>3149</v>
      </c>
      <c r="E118" s="9">
        <f>'Volume &amp; Price List'!B122</f>
        <v>0</v>
      </c>
      <c r="F118" s="9" t="s">
        <v>3150</v>
      </c>
      <c r="G118" s="9" t="s">
        <v>3151</v>
      </c>
      <c r="H118" s="9">
        <f>'Volume &amp; Price List'!G122</f>
        <v>0</v>
      </c>
      <c r="I118" s="9" t="s">
        <v>3152</v>
      </c>
      <c r="J118" s="9">
        <f>'Volume &amp; Price List'!I122</f>
        <v>0</v>
      </c>
      <c r="K118" s="9" t="s">
        <v>3153</v>
      </c>
      <c r="L118" s="9">
        <f>'Volume &amp; Price List'!K122</f>
        <v>0</v>
      </c>
      <c r="M118" s="9"/>
      <c r="N118" s="9" t="str">
        <f t="shared" si="4"/>
        <v>{ "v": 0, "n": { "EN": "0", "SYS":"0 "}, "company": "0", "conv": [0,0</v>
      </c>
    </row>
    <row r="125" spans="2:14">
      <c r="B125" s="9" t="s">
        <v>3148</v>
      </c>
      <c r="C125" s="9">
        <f>'Volume &amp; Price List'!A128</f>
        <v>0</v>
      </c>
      <c r="D125" s="9" t="s">
        <v>3149</v>
      </c>
      <c r="E125" s="9">
        <f>'Volume &amp; Price List'!B128</f>
        <v>0</v>
      </c>
      <c r="F125" s="9" t="s">
        <v>3150</v>
      </c>
      <c r="G125" s="9" t="s">
        <v>3151</v>
      </c>
      <c r="H125" s="9">
        <f>'Volume &amp; Price List'!G128</f>
        <v>0</v>
      </c>
      <c r="I125" s="9" t="s">
        <v>3152</v>
      </c>
      <c r="J125" s="9">
        <f>'Volume &amp; Price List'!I128</f>
        <v>0</v>
      </c>
      <c r="K125" s="9" t="s">
        <v>3153</v>
      </c>
      <c r="L125" s="9">
        <f>'Volume &amp; Price List'!K128</f>
        <v>0</v>
      </c>
      <c r="M125" s="9"/>
      <c r="N125" s="9" t="str">
        <f t="shared" si="4"/>
        <v>{ "v": 0, "n": { "EN": "0", "SYS":"0 "}, "company": "0", "conv": [0,0</v>
      </c>
    </row>
    <row r="126" spans="2:14">
      <c r="B126" s="9" t="s">
        <v>3148</v>
      </c>
      <c r="C126" s="9">
        <f>'Volume &amp; Price List'!A129</f>
        <v>0</v>
      </c>
      <c r="D126" s="9" t="s">
        <v>3149</v>
      </c>
      <c r="E126" s="9">
        <f>'Volume &amp; Price List'!B129</f>
        <v>0</v>
      </c>
      <c r="F126" s="9" t="s">
        <v>3150</v>
      </c>
      <c r="G126" s="9" t="s">
        <v>3151</v>
      </c>
      <c r="H126" s="9">
        <f>'Volume &amp; Price List'!G129</f>
        <v>0</v>
      </c>
      <c r="I126" s="9" t="s">
        <v>3152</v>
      </c>
      <c r="J126" s="9">
        <f>'Volume &amp; Price List'!I129</f>
        <v>0</v>
      </c>
      <c r="K126" s="9" t="s">
        <v>3153</v>
      </c>
      <c r="L126" s="9">
        <f>'Volume &amp; Price List'!K129</f>
        <v>0</v>
      </c>
      <c r="M126" s="9"/>
      <c r="N126" s="9" t="str">
        <f t="shared" si="4"/>
        <v>{ "v": 0, "n": { "EN": "0", "SYS":"0 "}, "company": "0", "conv": [0,0</v>
      </c>
    </row>
    <row r="127" spans="2:14">
      <c r="B127" s="9" t="s">
        <v>3148</v>
      </c>
      <c r="C127" s="9">
        <f>'Volume &amp; Price List'!A130</f>
        <v>0</v>
      </c>
      <c r="D127" s="9" t="s">
        <v>3149</v>
      </c>
      <c r="E127" s="9">
        <f>'Volume &amp; Price List'!B130</f>
        <v>0</v>
      </c>
      <c r="F127" s="9" t="s">
        <v>3150</v>
      </c>
      <c r="G127" s="9" t="s">
        <v>3151</v>
      </c>
      <c r="H127" s="9">
        <f>'Volume &amp; Price List'!G130</f>
        <v>0</v>
      </c>
      <c r="I127" s="9" t="s">
        <v>3152</v>
      </c>
      <c r="J127" s="9">
        <f>'Volume &amp; Price List'!I130</f>
        <v>0</v>
      </c>
      <c r="K127" s="9" t="s">
        <v>3153</v>
      </c>
      <c r="L127" s="9">
        <f>'Volume &amp; Price List'!K130</f>
        <v>0</v>
      </c>
      <c r="M127" s="9"/>
      <c r="N127" s="9" t="str">
        <f t="shared" si="4"/>
        <v>{ "v": 0, "n": { "EN": "0", "SYS":"0 "}, "company": "0", "conv": [0,0</v>
      </c>
    </row>
    <row r="128" spans="2:14">
      <c r="B128" s="9" t="s">
        <v>3148</v>
      </c>
      <c r="C128" s="9">
        <f>'Volume &amp; Price List'!A131</f>
        <v>0</v>
      </c>
      <c r="D128" s="9" t="s">
        <v>3149</v>
      </c>
      <c r="E128" s="9">
        <f>'Volume &amp; Price List'!B131</f>
        <v>0</v>
      </c>
      <c r="F128" s="9" t="s">
        <v>3150</v>
      </c>
      <c r="G128" s="9" t="s">
        <v>3151</v>
      </c>
      <c r="H128" s="9">
        <f>'Volume &amp; Price List'!G131</f>
        <v>0</v>
      </c>
      <c r="I128" s="9" t="s">
        <v>3152</v>
      </c>
      <c r="J128" s="9">
        <f>'Volume &amp; Price List'!I131</f>
        <v>0</v>
      </c>
      <c r="K128" s="9" t="s">
        <v>3153</v>
      </c>
      <c r="L128" s="9">
        <f>'Volume &amp; Price List'!K131</f>
        <v>0</v>
      </c>
      <c r="M128" s="9"/>
      <c r="N128" s="9" t="str">
        <f t="shared" si="4"/>
        <v>{ "v": 0, "n": { "EN": "0", "SYS":"0 "}, "company": "0", "conv": [0,0</v>
      </c>
    </row>
    <row r="129" spans="2:14">
      <c r="B129" s="9" t="s">
        <v>3148</v>
      </c>
      <c r="C129" s="9">
        <f>'Volume &amp; Price List'!A132</f>
        <v>0</v>
      </c>
      <c r="D129" s="9" t="s">
        <v>3149</v>
      </c>
      <c r="E129" s="9">
        <f>'Volume &amp; Price List'!B132</f>
        <v>0</v>
      </c>
      <c r="F129" s="9" t="s">
        <v>3150</v>
      </c>
      <c r="G129" s="9" t="s">
        <v>3151</v>
      </c>
      <c r="H129" s="9">
        <f>'Volume &amp; Price List'!G132</f>
        <v>0</v>
      </c>
      <c r="I129" s="9" t="s">
        <v>3152</v>
      </c>
      <c r="J129" s="9">
        <f>'Volume &amp; Price List'!I132</f>
        <v>0</v>
      </c>
      <c r="K129" s="9" t="s">
        <v>3153</v>
      </c>
      <c r="L129" s="9">
        <f>'Volume &amp; Price List'!K132</f>
        <v>0</v>
      </c>
      <c r="M129" s="9"/>
      <c r="N129" s="9" t="str">
        <f t="shared" si="4"/>
        <v>{ "v": 0, "n": { "EN": "0", "SYS":"0 "}, "company": "0", "conv": [0,0</v>
      </c>
    </row>
    <row r="130" spans="2:14">
      <c r="B130" s="9" t="s">
        <v>3148</v>
      </c>
      <c r="C130" s="9">
        <f>'Volume &amp; Price List'!A133</f>
        <v>0</v>
      </c>
      <c r="D130" s="9" t="s">
        <v>3149</v>
      </c>
      <c r="E130" s="9">
        <f>'Volume &amp; Price List'!B133</f>
        <v>0</v>
      </c>
      <c r="F130" s="9" t="s">
        <v>3150</v>
      </c>
      <c r="G130" s="9" t="s">
        <v>3151</v>
      </c>
      <c r="H130" s="9">
        <f>'Volume &amp; Price List'!G133</f>
        <v>0</v>
      </c>
      <c r="I130" s="9" t="s">
        <v>3152</v>
      </c>
      <c r="J130" s="9">
        <f>'Volume &amp; Price List'!I133</f>
        <v>0</v>
      </c>
      <c r="K130" s="9" t="s">
        <v>3153</v>
      </c>
      <c r="L130" s="9">
        <f>'Volume &amp; Price List'!K133</f>
        <v>0</v>
      </c>
      <c r="M130" s="9"/>
      <c r="N130" s="9" t="str">
        <f t="shared" si="4"/>
        <v>{ "v": 0, "n": { "EN": "0", "SYS":"0 "}, "company": "0", "conv": [0,0</v>
      </c>
    </row>
    <row r="131" spans="2:14">
      <c r="B131" s="9" t="s">
        <v>3148</v>
      </c>
      <c r="C131" s="9">
        <f>'Volume &amp; Price List'!A134</f>
        <v>0</v>
      </c>
      <c r="D131" s="9" t="s">
        <v>3149</v>
      </c>
      <c r="E131" s="9">
        <f>'Volume &amp; Price List'!B134</f>
        <v>0</v>
      </c>
      <c r="F131" s="9" t="s">
        <v>3150</v>
      </c>
      <c r="G131" s="9" t="s">
        <v>3151</v>
      </c>
      <c r="H131" s="9">
        <f>'Volume &amp; Price List'!G134</f>
        <v>0</v>
      </c>
      <c r="I131" s="9" t="s">
        <v>3152</v>
      </c>
      <c r="J131" s="9">
        <f>'Volume &amp; Price List'!I134</f>
        <v>0</v>
      </c>
      <c r="K131" s="9" t="s">
        <v>3153</v>
      </c>
      <c r="L131" s="9">
        <f>'Volume &amp; Price List'!K134</f>
        <v>0</v>
      </c>
      <c r="M131" s="9"/>
      <c r="N131" s="9" t="str">
        <f t="shared" si="4"/>
        <v>{ "v": 0, "n": { "EN": "0", "SYS":"0 "}, "company": "0", "conv": [0,0</v>
      </c>
    </row>
    <row r="132" spans="2:14">
      <c r="B132" s="9" t="s">
        <v>3148</v>
      </c>
      <c r="C132" s="9">
        <f>'Volume &amp; Price List'!A135</f>
        <v>0</v>
      </c>
      <c r="D132" s="9" t="s">
        <v>3149</v>
      </c>
      <c r="E132" s="9">
        <f>'Volume &amp; Price List'!B135</f>
        <v>0</v>
      </c>
      <c r="F132" s="9" t="s">
        <v>3150</v>
      </c>
      <c r="G132" s="9" t="s">
        <v>3151</v>
      </c>
      <c r="H132" s="9">
        <f>'Volume &amp; Price List'!G135</f>
        <v>0</v>
      </c>
      <c r="I132" s="9" t="s">
        <v>3152</v>
      </c>
      <c r="J132" s="9">
        <f>'Volume &amp; Price List'!I135</f>
        <v>0</v>
      </c>
      <c r="K132" s="9" t="s">
        <v>3153</v>
      </c>
      <c r="L132" s="9">
        <f>'Volume &amp; Price List'!K135</f>
        <v>0</v>
      </c>
      <c r="M132" s="9"/>
      <c r="N132" s="9" t="str">
        <f t="shared" si="4"/>
        <v>{ "v": 0, "n": { "EN": "0", "SYS":"0 "}, "company": "0", "conv": [0,0</v>
      </c>
    </row>
    <row r="133" spans="2:14">
      <c r="B133" s="9" t="s">
        <v>3148</v>
      </c>
      <c r="C133" s="9">
        <f>'Volume &amp; Price List'!A136</f>
        <v>0</v>
      </c>
      <c r="D133" s="9" t="s">
        <v>3149</v>
      </c>
      <c r="E133" s="9">
        <f>'Volume &amp; Price List'!B136</f>
        <v>0</v>
      </c>
      <c r="F133" s="9" t="s">
        <v>3150</v>
      </c>
      <c r="G133" s="9" t="s">
        <v>3151</v>
      </c>
      <c r="H133" s="9">
        <f>'Volume &amp; Price List'!G136</f>
        <v>0</v>
      </c>
      <c r="I133" s="9" t="s">
        <v>3152</v>
      </c>
      <c r="J133" s="9">
        <f>'Volume &amp; Price List'!I136</f>
        <v>0</v>
      </c>
      <c r="K133" s="9" t="s">
        <v>3153</v>
      </c>
      <c r="L133" s="9">
        <f>'Volume &amp; Price List'!K136</f>
        <v>0</v>
      </c>
      <c r="M133" s="9"/>
      <c r="N133" s="9" t="str">
        <f t="shared" si="4"/>
        <v>{ "v": 0, "n": { "EN": "0", "SYS":"0 "}, "company": "0", "conv": [0,0</v>
      </c>
    </row>
    <row r="134" spans="2:14">
      <c r="B134" s="9" t="s">
        <v>3148</v>
      </c>
      <c r="C134" s="9">
        <f>'Volume &amp; Price List'!A137</f>
        <v>0</v>
      </c>
      <c r="D134" s="9" t="s">
        <v>3149</v>
      </c>
      <c r="E134" s="9">
        <f>'Volume &amp; Price List'!B137</f>
        <v>0</v>
      </c>
      <c r="F134" s="9" t="s">
        <v>3150</v>
      </c>
      <c r="G134" s="9" t="s">
        <v>3151</v>
      </c>
      <c r="H134" s="9">
        <f>'Volume &amp; Price List'!G137</f>
        <v>0</v>
      </c>
      <c r="I134" s="9" t="s">
        <v>3152</v>
      </c>
      <c r="J134" s="9">
        <f>'Volume &amp; Price List'!I137</f>
        <v>0</v>
      </c>
      <c r="K134" s="9" t="s">
        <v>3153</v>
      </c>
      <c r="L134" s="9">
        <f>'Volume &amp; Price List'!K137</f>
        <v>0</v>
      </c>
      <c r="M134" s="9"/>
      <c r="N134" s="9" t="str">
        <f t="shared" si="4"/>
        <v>{ "v": 0, "n": { "EN": "0", "SYS":"0 "}, "company": "0", "conv": [0,0</v>
      </c>
    </row>
    <row r="135" spans="2:14">
      <c r="B135" s="9" t="s">
        <v>3148</v>
      </c>
      <c r="C135" s="9">
        <f>'Volume &amp; Price List'!A138</f>
        <v>0</v>
      </c>
      <c r="D135" s="9" t="s">
        <v>3149</v>
      </c>
      <c r="E135" s="9">
        <f>'Volume &amp; Price List'!B138</f>
        <v>0</v>
      </c>
      <c r="F135" s="9" t="s">
        <v>3150</v>
      </c>
      <c r="G135" s="9" t="s">
        <v>3151</v>
      </c>
      <c r="H135" s="9">
        <f>'Volume &amp; Price List'!G138</f>
        <v>0</v>
      </c>
      <c r="I135" s="9" t="s">
        <v>3152</v>
      </c>
      <c r="J135" s="9">
        <f>'Volume &amp; Price List'!I138</f>
        <v>0</v>
      </c>
      <c r="K135" s="9" t="s">
        <v>3153</v>
      </c>
      <c r="L135" s="9">
        <f>'Volume &amp; Price List'!K138</f>
        <v>0</v>
      </c>
      <c r="M135" s="9"/>
      <c r="N135" s="9" t="str">
        <f t="shared" si="4"/>
        <v>{ "v": 0, "n": { "EN": "0", "SYS":"0 "}, "company": "0", "conv": [0,0</v>
      </c>
    </row>
    <row r="136" spans="2:14">
      <c r="B136" s="9" t="s">
        <v>3148</v>
      </c>
      <c r="C136" s="9">
        <f>'Volume &amp; Price List'!A139</f>
        <v>0</v>
      </c>
      <c r="D136" s="9" t="s">
        <v>3149</v>
      </c>
      <c r="E136" s="9">
        <f>'Volume &amp; Price List'!B139</f>
        <v>0</v>
      </c>
      <c r="F136" s="9" t="s">
        <v>3150</v>
      </c>
      <c r="G136" s="9" t="s">
        <v>3151</v>
      </c>
      <c r="H136" s="9">
        <f>'Volume &amp; Price List'!G139</f>
        <v>0</v>
      </c>
      <c r="I136" s="9" t="s">
        <v>3152</v>
      </c>
      <c r="J136" s="9">
        <f>'Volume &amp; Price List'!I139</f>
        <v>0</v>
      </c>
      <c r="K136" s="9" t="s">
        <v>3153</v>
      </c>
      <c r="L136" s="9">
        <f>'Volume &amp; Price List'!K139</f>
        <v>0</v>
      </c>
      <c r="M136" s="9"/>
      <c r="N136" s="9" t="str">
        <f t="shared" si="4"/>
        <v>{ "v": 0, "n": { "EN": "0", "SYS":"0 "}, "company": "0", "conv": [0,0</v>
      </c>
    </row>
    <row r="137" spans="2:14">
      <c r="B137" s="9" t="s">
        <v>3148</v>
      </c>
      <c r="C137" s="9">
        <f>'Volume &amp; Price List'!A140</f>
        <v>0</v>
      </c>
      <c r="D137" s="9" t="s">
        <v>3149</v>
      </c>
      <c r="E137" s="9">
        <f>'Volume &amp; Price List'!B140</f>
        <v>0</v>
      </c>
      <c r="F137" s="9" t="s">
        <v>3150</v>
      </c>
      <c r="G137" s="9" t="s">
        <v>3151</v>
      </c>
      <c r="H137" s="9">
        <f>'Volume &amp; Price List'!G140</f>
        <v>0</v>
      </c>
      <c r="I137" s="9" t="s">
        <v>3152</v>
      </c>
      <c r="J137" s="9">
        <f>'Volume &amp; Price List'!I140</f>
        <v>0</v>
      </c>
      <c r="K137" s="9" t="s">
        <v>3153</v>
      </c>
      <c r="L137" s="9">
        <f>'Volume &amp; Price List'!K140</f>
        <v>0</v>
      </c>
      <c r="M137" s="9"/>
      <c r="N137" s="9" t="str">
        <f t="shared" si="4"/>
        <v>{ "v": 0, "n": { "EN": "0", "SYS":"0 "}, "company": "0", "conv": [0,0</v>
      </c>
    </row>
    <row r="138" spans="2:14">
      <c r="B138" s="9" t="s">
        <v>3148</v>
      </c>
      <c r="C138" s="9">
        <f>'Volume &amp; Price List'!A141</f>
        <v>0</v>
      </c>
      <c r="D138" s="9" t="s">
        <v>3149</v>
      </c>
      <c r="E138" s="9">
        <f>'Volume &amp; Price List'!B141</f>
        <v>0</v>
      </c>
      <c r="F138" s="9" t="s">
        <v>3150</v>
      </c>
      <c r="G138" s="9" t="s">
        <v>3151</v>
      </c>
      <c r="H138" s="9">
        <f>'Volume &amp; Price List'!G141</f>
        <v>0</v>
      </c>
      <c r="I138" s="9" t="s">
        <v>3152</v>
      </c>
      <c r="J138" s="9">
        <f>'Volume &amp; Price List'!I141</f>
        <v>0</v>
      </c>
      <c r="K138" s="9" t="s">
        <v>3153</v>
      </c>
      <c r="L138" s="9">
        <f>'Volume &amp; Price List'!K141</f>
        <v>0</v>
      </c>
      <c r="M138" s="9"/>
      <c r="N138" s="9" t="str">
        <f t="shared" si="4"/>
        <v>{ "v": 0, "n": { "EN": "0", "SYS":"0 "}, "company": "0", "conv": [0,0</v>
      </c>
    </row>
    <row r="139" spans="2:14">
      <c r="B139" s="9" t="s">
        <v>3148</v>
      </c>
      <c r="C139" s="9">
        <f>'Volume &amp; Price List'!A142</f>
        <v>0</v>
      </c>
      <c r="D139" s="9" t="s">
        <v>3149</v>
      </c>
      <c r="E139" s="9">
        <f>'Volume &amp; Price List'!B142</f>
        <v>0</v>
      </c>
      <c r="F139" s="9" t="s">
        <v>3150</v>
      </c>
      <c r="G139" s="9" t="s">
        <v>3151</v>
      </c>
      <c r="H139" s="9">
        <f>'Volume &amp; Price List'!G142</f>
        <v>0</v>
      </c>
      <c r="I139" s="9" t="s">
        <v>3152</v>
      </c>
      <c r="J139" s="9">
        <f>'Volume &amp; Price List'!I142</f>
        <v>0</v>
      </c>
      <c r="K139" s="9" t="s">
        <v>3153</v>
      </c>
      <c r="L139" s="9">
        <f>'Volume &amp; Price List'!K142</f>
        <v>0</v>
      </c>
      <c r="M139" s="9"/>
      <c r="N139" s="9" t="str">
        <f t="shared" si="4"/>
        <v>{ "v": 0, "n": { "EN": "0", "SYS":"0 "}, "company": "0", "conv": [0,0</v>
      </c>
    </row>
    <row r="140" spans="2:14">
      <c r="B140" s="9" t="s">
        <v>3148</v>
      </c>
      <c r="C140" s="9">
        <f>'Volume &amp; Price List'!A143</f>
        <v>0</v>
      </c>
      <c r="D140" s="9" t="s">
        <v>3149</v>
      </c>
      <c r="E140" s="9">
        <f>'Volume &amp; Price List'!B143</f>
        <v>0</v>
      </c>
      <c r="F140" s="9" t="s">
        <v>3150</v>
      </c>
      <c r="G140" s="9" t="s">
        <v>3151</v>
      </c>
      <c r="H140" s="9">
        <f>'Volume &amp; Price List'!G143</f>
        <v>0</v>
      </c>
      <c r="I140" s="9" t="s">
        <v>3152</v>
      </c>
      <c r="J140" s="9">
        <f>'Volume &amp; Price List'!I143</f>
        <v>0</v>
      </c>
      <c r="K140" s="9" t="s">
        <v>3153</v>
      </c>
      <c r="L140" s="9">
        <f>'Volume &amp; Price List'!K143</f>
        <v>0</v>
      </c>
      <c r="M140" s="9"/>
      <c r="N140" s="9" t="str">
        <f t="shared" si="4"/>
        <v>{ "v": 0, "n": { "EN": "0", "SYS":"0 "}, "company": "0", "conv": [0,0</v>
      </c>
    </row>
    <row r="141" spans="2:14">
      <c r="B141" s="9" t="s">
        <v>3148</v>
      </c>
      <c r="C141" s="9">
        <f>'Volume &amp; Price List'!A144</f>
        <v>0</v>
      </c>
      <c r="D141" s="9" t="s">
        <v>3149</v>
      </c>
      <c r="E141" s="9">
        <f>'Volume &amp; Price List'!B144</f>
        <v>0</v>
      </c>
      <c r="F141" s="9" t="s">
        <v>3150</v>
      </c>
      <c r="G141" s="9" t="s">
        <v>3151</v>
      </c>
      <c r="H141" s="9">
        <f>'Volume &amp; Price List'!G144</f>
        <v>0</v>
      </c>
      <c r="I141" s="9" t="s">
        <v>3152</v>
      </c>
      <c r="J141" s="9">
        <f>'Volume &amp; Price List'!I144</f>
        <v>0</v>
      </c>
      <c r="K141" s="9" t="s">
        <v>3153</v>
      </c>
      <c r="L141" s="9">
        <f>'Volume &amp; Price List'!K144</f>
        <v>0</v>
      </c>
      <c r="M141" s="9"/>
      <c r="N141" s="9" t="str">
        <f t="shared" si="4"/>
        <v>{ "v": 0, "n": { "EN": "0", "SYS":"0 "}, "company": "0", "conv": [0,0</v>
      </c>
    </row>
    <row r="142" spans="2:14">
      <c r="B142" s="9" t="s">
        <v>3148</v>
      </c>
      <c r="C142" s="9">
        <f>'Volume &amp; Price List'!A145</f>
        <v>0</v>
      </c>
      <c r="D142" s="9" t="s">
        <v>3149</v>
      </c>
      <c r="E142" s="9">
        <f>'Volume &amp; Price List'!B145</f>
        <v>0</v>
      </c>
      <c r="F142" s="9" t="s">
        <v>3150</v>
      </c>
      <c r="G142" s="9" t="s">
        <v>3151</v>
      </c>
      <c r="H142" s="9">
        <f>'Volume &amp; Price List'!G145</f>
        <v>0</v>
      </c>
      <c r="I142" s="9" t="s">
        <v>3152</v>
      </c>
      <c r="J142" s="9">
        <f>'Volume &amp; Price List'!I145</f>
        <v>0</v>
      </c>
      <c r="K142" s="9" t="s">
        <v>3153</v>
      </c>
      <c r="L142" s="9">
        <f>'Volume &amp; Price List'!K145</f>
        <v>0</v>
      </c>
      <c r="M142" s="9"/>
      <c r="N142" s="9" t="str">
        <f t="shared" si="4"/>
        <v>{ "v": 0, "n": { "EN": "0", "SYS":"0 "}, "company": "0", "conv": [0,0</v>
      </c>
    </row>
    <row r="143" spans="2:14">
      <c r="B143" s="9" t="s">
        <v>3148</v>
      </c>
      <c r="C143" s="9">
        <f>'Volume &amp; Price List'!A146</f>
        <v>0</v>
      </c>
      <c r="D143" s="9" t="s">
        <v>3149</v>
      </c>
      <c r="E143" s="9">
        <f>'Volume &amp; Price List'!B146</f>
        <v>0</v>
      </c>
      <c r="F143" s="9" t="s">
        <v>3150</v>
      </c>
      <c r="G143" s="9" t="s">
        <v>3151</v>
      </c>
      <c r="H143" s="9">
        <f>'Volume &amp; Price List'!G146</f>
        <v>0</v>
      </c>
      <c r="I143" s="9" t="s">
        <v>3152</v>
      </c>
      <c r="J143" s="9">
        <f>'Volume &amp; Price List'!I146</f>
        <v>0</v>
      </c>
      <c r="K143" s="9" t="s">
        <v>3153</v>
      </c>
      <c r="L143" s="9">
        <f>'Volume &amp; Price List'!K146</f>
        <v>0</v>
      </c>
      <c r="M143" s="9"/>
      <c r="N143" s="9" t="str">
        <f t="shared" si="4"/>
        <v>{ "v": 0, "n": { "EN": "0", "SYS":"0 "}, "company": "0", "conv": [0,0</v>
      </c>
    </row>
    <row r="144" spans="2:14">
      <c r="B144" s="9" t="s">
        <v>3148</v>
      </c>
      <c r="C144" s="9">
        <f>'Volume &amp; Price List'!A147</f>
        <v>0</v>
      </c>
      <c r="D144" s="9" t="s">
        <v>3149</v>
      </c>
      <c r="E144" s="9">
        <f>'Volume &amp; Price List'!B147</f>
        <v>0</v>
      </c>
      <c r="F144" s="9" t="s">
        <v>3150</v>
      </c>
      <c r="G144" s="9" t="s">
        <v>3151</v>
      </c>
      <c r="H144" s="9">
        <f>'Volume &amp; Price List'!G147</f>
        <v>0</v>
      </c>
      <c r="I144" s="9" t="s">
        <v>3152</v>
      </c>
      <c r="J144" s="9">
        <f>'Volume &amp; Price List'!I147</f>
        <v>0</v>
      </c>
      <c r="K144" s="9" t="s">
        <v>3153</v>
      </c>
      <c r="L144" s="9">
        <f>'Volume &amp; Price List'!K147</f>
        <v>0</v>
      </c>
      <c r="M144" s="9"/>
      <c r="N144" s="9" t="str">
        <f t="shared" si="4"/>
        <v>{ "v": 0, "n": { "EN": "0", "SYS":"0 "}, "company": "0", "conv": [0,0</v>
      </c>
    </row>
    <row r="145" spans="2:14">
      <c r="B145" s="9" t="s">
        <v>3148</v>
      </c>
      <c r="C145" s="9">
        <f>'Volume &amp; Price List'!A148</f>
        <v>0</v>
      </c>
      <c r="D145" s="9" t="s">
        <v>3149</v>
      </c>
      <c r="E145" s="9">
        <f>'Volume &amp; Price List'!B148</f>
        <v>0</v>
      </c>
      <c r="F145" s="9" t="s">
        <v>3150</v>
      </c>
      <c r="G145" s="9" t="s">
        <v>3151</v>
      </c>
      <c r="H145" s="9">
        <f>'Volume &amp; Price List'!G148</f>
        <v>0</v>
      </c>
      <c r="I145" s="9" t="s">
        <v>3152</v>
      </c>
      <c r="J145" s="9">
        <f>'Volume &amp; Price List'!I148</f>
        <v>0</v>
      </c>
      <c r="K145" s="9" t="s">
        <v>3153</v>
      </c>
      <c r="L145" s="9">
        <f>'Volume &amp; Price List'!K148</f>
        <v>0</v>
      </c>
      <c r="M145" s="9"/>
      <c r="N145" s="9" t="str">
        <f t="shared" si="4"/>
        <v>{ "v": 0, "n": { "EN": "0", "SYS":"0 "}, "company": "0", "conv": [0,0</v>
      </c>
    </row>
    <row r="146" spans="2:14">
      <c r="B146" s="9" t="s">
        <v>3148</v>
      </c>
      <c r="C146" s="9">
        <f>'Volume &amp; Price List'!A149</f>
        <v>0</v>
      </c>
      <c r="D146" s="9" t="s">
        <v>3149</v>
      </c>
      <c r="E146" s="9">
        <f>'Volume &amp; Price List'!B149</f>
        <v>0</v>
      </c>
      <c r="F146" s="9" t="s">
        <v>3150</v>
      </c>
      <c r="G146" s="9" t="s">
        <v>3151</v>
      </c>
      <c r="H146" s="9">
        <f>'Volume &amp; Price List'!G149</f>
        <v>0</v>
      </c>
      <c r="I146" s="9" t="s">
        <v>3152</v>
      </c>
      <c r="J146" s="9">
        <f>'Volume &amp; Price List'!I149</f>
        <v>0</v>
      </c>
      <c r="K146" s="9" t="s">
        <v>3153</v>
      </c>
      <c r="L146" s="9">
        <f>'Volume &amp; Price List'!K149</f>
        <v>0</v>
      </c>
      <c r="M146" s="9"/>
      <c r="N146" s="9" t="str">
        <f t="shared" si="4"/>
        <v>{ "v": 0, "n": { "EN": "0", "SYS":"0 "}, "company": "0", "conv": [0,0</v>
      </c>
    </row>
    <row r="147" spans="2:14">
      <c r="B147" s="9" t="s">
        <v>3148</v>
      </c>
      <c r="C147" s="9">
        <f>'Volume &amp; Price List'!A150</f>
        <v>0</v>
      </c>
      <c r="D147" s="9" t="s">
        <v>3149</v>
      </c>
      <c r="E147" s="9">
        <f>'Volume &amp; Price List'!B150</f>
        <v>0</v>
      </c>
      <c r="F147" s="9" t="s">
        <v>3150</v>
      </c>
      <c r="G147" s="9" t="s">
        <v>3151</v>
      </c>
      <c r="H147" s="9">
        <f>'Volume &amp; Price List'!G150</f>
        <v>0</v>
      </c>
      <c r="I147" s="9" t="s">
        <v>3152</v>
      </c>
      <c r="J147" s="9">
        <f>'Volume &amp; Price List'!I150</f>
        <v>0</v>
      </c>
      <c r="K147" s="9" t="s">
        <v>3153</v>
      </c>
      <c r="L147" s="9">
        <f>'Volume &amp; Price List'!K150</f>
        <v>0</v>
      </c>
      <c r="M147" s="9"/>
      <c r="N147" s="9" t="str">
        <f t="shared" si="4"/>
        <v>{ "v": 0, "n": { "EN": "0", "SYS":"0 "}, "company": "0", "conv": [0,0</v>
      </c>
    </row>
    <row r="148" spans="2:14">
      <c r="B148" s="9" t="s">
        <v>3148</v>
      </c>
      <c r="C148" s="9">
        <f>'Volume &amp; Price List'!A151</f>
        <v>0</v>
      </c>
      <c r="D148" s="9" t="s">
        <v>3149</v>
      </c>
      <c r="E148" s="9">
        <f>'Volume &amp; Price List'!B151</f>
        <v>0</v>
      </c>
      <c r="F148" s="9" t="s">
        <v>3150</v>
      </c>
      <c r="G148" s="9" t="s">
        <v>3151</v>
      </c>
      <c r="H148" s="9">
        <f>'Volume &amp; Price List'!G151</f>
        <v>0</v>
      </c>
      <c r="I148" s="9" t="s">
        <v>3152</v>
      </c>
      <c r="J148" s="9">
        <f>'Volume &amp; Price List'!I151</f>
        <v>0</v>
      </c>
      <c r="K148" s="9" t="s">
        <v>3153</v>
      </c>
      <c r="L148" s="9">
        <f>'Volume &amp; Price List'!K151</f>
        <v>0</v>
      </c>
      <c r="M148" s="9"/>
      <c r="N148" s="9" t="str">
        <f t="shared" si="4"/>
        <v>{ "v": 0, "n": { "EN": "0", "SYS":"0 "}, "company": "0", "conv": [0,0</v>
      </c>
    </row>
    <row r="149" spans="2:14">
      <c r="B149" s="9" t="s">
        <v>3148</v>
      </c>
      <c r="C149" s="9">
        <f>'Volume &amp; Price List'!A152</f>
        <v>0</v>
      </c>
      <c r="D149" s="9" t="s">
        <v>3149</v>
      </c>
      <c r="E149" s="9">
        <f>'Volume &amp; Price List'!B152</f>
        <v>0</v>
      </c>
      <c r="F149" s="9" t="s">
        <v>3150</v>
      </c>
      <c r="G149" s="9" t="s">
        <v>3151</v>
      </c>
      <c r="H149" s="9">
        <f>'Volume &amp; Price List'!G152</f>
        <v>0</v>
      </c>
      <c r="I149" s="9" t="s">
        <v>3152</v>
      </c>
      <c r="J149" s="9">
        <f>'Volume &amp; Price List'!I152</f>
        <v>0</v>
      </c>
      <c r="K149" s="9" t="s">
        <v>3153</v>
      </c>
      <c r="L149" s="9">
        <f>'Volume &amp; Price List'!K152</f>
        <v>0</v>
      </c>
      <c r="M149" s="9"/>
      <c r="N149" s="9" t="str">
        <f t="shared" si="4"/>
        <v>{ "v": 0, "n": { "EN": "0", "SYS":"0 "}, "company": "0", "conv": [0,0</v>
      </c>
    </row>
    <row r="150" spans="2:14">
      <c r="B150" s="9" t="s">
        <v>3148</v>
      </c>
      <c r="C150" s="9">
        <f>'Volume &amp; Price List'!A153</f>
        <v>0</v>
      </c>
      <c r="D150" s="9" t="s">
        <v>3149</v>
      </c>
      <c r="E150" s="9">
        <f>'Volume &amp; Price List'!B153</f>
        <v>0</v>
      </c>
      <c r="F150" s="9" t="s">
        <v>3150</v>
      </c>
      <c r="G150" s="9" t="s">
        <v>3151</v>
      </c>
      <c r="H150" s="9">
        <f>'Volume &amp; Price List'!G153</f>
        <v>0</v>
      </c>
      <c r="I150" s="9" t="s">
        <v>3152</v>
      </c>
      <c r="J150" s="9">
        <f>'Volume &amp; Price List'!I153</f>
        <v>0</v>
      </c>
      <c r="K150" s="9" t="s">
        <v>3153</v>
      </c>
      <c r="L150" s="9">
        <f>'Volume &amp; Price List'!K153</f>
        <v>0</v>
      </c>
      <c r="M150" s="9"/>
      <c r="N150" s="9" t="str">
        <f t="shared" si="4"/>
        <v>{ "v": 0, "n": { "EN": "0", "SYS":"0 "}, "company": "0", "conv": [0,0</v>
      </c>
    </row>
    <row r="151" spans="2:14">
      <c r="B151" s="9" t="s">
        <v>3148</v>
      </c>
      <c r="C151" s="9">
        <f>'Volume &amp; Price List'!A154</f>
        <v>0</v>
      </c>
      <c r="D151" s="9" t="s">
        <v>3149</v>
      </c>
      <c r="E151" s="9">
        <f>'Volume &amp; Price List'!B154</f>
        <v>0</v>
      </c>
      <c r="F151" s="9" t="s">
        <v>3150</v>
      </c>
      <c r="G151" s="9" t="s">
        <v>3151</v>
      </c>
      <c r="H151" s="9">
        <f>'Volume &amp; Price List'!G154</f>
        <v>0</v>
      </c>
      <c r="I151" s="9" t="s">
        <v>3152</v>
      </c>
      <c r="J151" s="9">
        <f>'Volume &amp; Price List'!I154</f>
        <v>0</v>
      </c>
      <c r="K151" s="9" t="s">
        <v>3153</v>
      </c>
      <c r="L151" s="9">
        <f>'Volume &amp; Price List'!K154</f>
        <v>0</v>
      </c>
      <c r="M151" s="9"/>
      <c r="N151" s="9" t="str">
        <f t="shared" si="4"/>
        <v>{ "v": 0, "n": { "EN": "0", "SYS":"0 "}, "company": "0", "conv": [0,0</v>
      </c>
    </row>
    <row r="152" spans="2:14">
      <c r="B152" s="9" t="s">
        <v>3148</v>
      </c>
      <c r="C152" s="9">
        <f>'Volume &amp; Price List'!A155</f>
        <v>0</v>
      </c>
      <c r="D152" s="9" t="s">
        <v>3149</v>
      </c>
      <c r="E152" s="9">
        <f>'Volume &amp; Price List'!B155</f>
        <v>0</v>
      </c>
      <c r="F152" s="9" t="s">
        <v>3150</v>
      </c>
      <c r="G152" s="9" t="s">
        <v>3151</v>
      </c>
      <c r="H152" s="9">
        <f>'Volume &amp; Price List'!G155</f>
        <v>0</v>
      </c>
      <c r="I152" s="9" t="s">
        <v>3152</v>
      </c>
      <c r="J152" s="9">
        <f>'Volume &amp; Price List'!I155</f>
        <v>0</v>
      </c>
      <c r="K152" s="9" t="s">
        <v>3153</v>
      </c>
      <c r="L152" s="9">
        <f>'Volume &amp; Price List'!K155</f>
        <v>0</v>
      </c>
      <c r="M152" s="9"/>
      <c r="N152" s="9" t="str">
        <f t="shared" si="4"/>
        <v>{ "v": 0, "n": { "EN": "0", "SYS":"0 "}, "company": "0", "conv": [0,0</v>
      </c>
    </row>
    <row r="153" spans="2:14">
      <c r="B153" s="9" t="s">
        <v>3148</v>
      </c>
      <c r="C153" s="9">
        <f>'Volume &amp; Price List'!A156</f>
        <v>0</v>
      </c>
      <c r="D153" s="9" t="s">
        <v>3149</v>
      </c>
      <c r="E153" s="9">
        <f>'Volume &amp; Price List'!B156</f>
        <v>0</v>
      </c>
      <c r="F153" s="9" t="s">
        <v>3150</v>
      </c>
      <c r="G153" s="9" t="s">
        <v>3151</v>
      </c>
      <c r="H153" s="9">
        <f>'Volume &amp; Price List'!G156</f>
        <v>0</v>
      </c>
      <c r="I153" s="9" t="s">
        <v>3152</v>
      </c>
      <c r="J153" s="9">
        <f>'Volume &amp; Price List'!I156</f>
        <v>0</v>
      </c>
      <c r="K153" s="9" t="s">
        <v>3153</v>
      </c>
      <c r="L153" s="9">
        <f>'Volume &amp; Price List'!K156</f>
        <v>0</v>
      </c>
      <c r="M153" s="9"/>
      <c r="N153" s="9" t="str">
        <f t="shared" si="4"/>
        <v>{ "v": 0, "n": { "EN": "0", "SYS":"0 "}, "company": "0", "conv": [0,0</v>
      </c>
    </row>
    <row r="154" spans="2:14">
      <c r="B154" s="9" t="s">
        <v>3148</v>
      </c>
      <c r="C154" s="9">
        <f>'Volume &amp; Price List'!A157</f>
        <v>0</v>
      </c>
      <c r="D154" s="9" t="s">
        <v>3149</v>
      </c>
      <c r="E154" s="9">
        <f>'Volume &amp; Price List'!B157</f>
        <v>0</v>
      </c>
      <c r="F154" s="9" t="s">
        <v>3150</v>
      </c>
      <c r="G154" s="9" t="s">
        <v>3151</v>
      </c>
      <c r="H154" s="9">
        <f>'Volume &amp; Price List'!G157</f>
        <v>0</v>
      </c>
      <c r="I154" s="9" t="s">
        <v>3152</v>
      </c>
      <c r="J154" s="9">
        <f>'Volume &amp; Price List'!I157</f>
        <v>0</v>
      </c>
      <c r="K154" s="9" t="s">
        <v>3153</v>
      </c>
      <c r="L154" s="9">
        <f>'Volume &amp; Price List'!K157</f>
        <v>0</v>
      </c>
      <c r="M154" s="9"/>
      <c r="N154" s="9" t="str">
        <f t="shared" si="4"/>
        <v>{ "v": 0, "n": { "EN": "0", "SYS":"0 "}, "company": "0", "conv": [0,0</v>
      </c>
    </row>
    <row r="155" spans="2:14">
      <c r="B155" s="9" t="s">
        <v>3148</v>
      </c>
      <c r="C155" s="9">
        <f>'Volume &amp; Price List'!A158</f>
        <v>0</v>
      </c>
      <c r="D155" s="9" t="s">
        <v>3149</v>
      </c>
      <c r="E155" s="9">
        <f>'Volume &amp; Price List'!B158</f>
        <v>0</v>
      </c>
      <c r="F155" s="9" t="s">
        <v>3150</v>
      </c>
      <c r="G155" s="9" t="s">
        <v>3151</v>
      </c>
      <c r="H155" s="9">
        <f>'Volume &amp; Price List'!G158</f>
        <v>0</v>
      </c>
      <c r="I155" s="9" t="s">
        <v>3152</v>
      </c>
      <c r="J155" s="9">
        <f>'Volume &amp; Price List'!I158</f>
        <v>0</v>
      </c>
      <c r="K155" s="9" t="s">
        <v>3153</v>
      </c>
      <c r="L155" s="9">
        <f>'Volume &amp; Price List'!K158</f>
        <v>0</v>
      </c>
      <c r="M155" s="9"/>
      <c r="N155" s="9" t="str">
        <f t="shared" si="4"/>
        <v>{ "v": 0, "n": { "EN": "0", "SYS":"0 "}, "company": "0", "conv": [0,0</v>
      </c>
    </row>
    <row r="156" spans="2:14">
      <c r="B156" s="9" t="s">
        <v>3148</v>
      </c>
      <c r="C156" s="9">
        <f>'Volume &amp; Price List'!A159</f>
        <v>0</v>
      </c>
      <c r="D156" s="9" t="s">
        <v>3149</v>
      </c>
      <c r="E156" s="9">
        <f>'Volume &amp; Price List'!B159</f>
        <v>0</v>
      </c>
      <c r="F156" s="9" t="s">
        <v>3150</v>
      </c>
      <c r="G156" s="9" t="s">
        <v>3151</v>
      </c>
      <c r="H156" s="9">
        <f>'Volume &amp; Price List'!G159</f>
        <v>0</v>
      </c>
      <c r="I156" s="9" t="s">
        <v>3152</v>
      </c>
      <c r="J156" s="9">
        <f>'Volume &amp; Price List'!I159</f>
        <v>0</v>
      </c>
      <c r="K156" s="9" t="s">
        <v>3153</v>
      </c>
      <c r="L156" s="9">
        <f>'Volume &amp; Price List'!K159</f>
        <v>0</v>
      </c>
      <c r="M156" s="9"/>
      <c r="N156" s="9" t="str">
        <f t="shared" si="4"/>
        <v>{ "v": 0, "n": { "EN": "0", "SYS":"0 "}, "company": "0", "conv": [0,0</v>
      </c>
    </row>
    <row r="157" spans="2:14">
      <c r="B157" s="9" t="s">
        <v>3148</v>
      </c>
      <c r="C157" s="9">
        <f>'Volume &amp; Price List'!A160</f>
        <v>0</v>
      </c>
      <c r="D157" s="9" t="s">
        <v>3149</v>
      </c>
      <c r="E157" s="9">
        <f>'Volume &amp; Price List'!B160</f>
        <v>0</v>
      </c>
      <c r="F157" s="9" t="s">
        <v>3150</v>
      </c>
      <c r="G157" s="9" t="s">
        <v>3151</v>
      </c>
      <c r="H157" s="9">
        <f>'Volume &amp; Price List'!G160</f>
        <v>0</v>
      </c>
      <c r="I157" s="9" t="s">
        <v>3152</v>
      </c>
      <c r="J157" s="9">
        <f>'Volume &amp; Price List'!I160</f>
        <v>0</v>
      </c>
      <c r="K157" s="9" t="s">
        <v>3153</v>
      </c>
      <c r="L157" s="9">
        <f>'Volume &amp; Price List'!K160</f>
        <v>0</v>
      </c>
      <c r="M157" s="9"/>
      <c r="N157" s="9" t="str">
        <f t="shared" si="4"/>
        <v>{ "v": 0, "n": { "EN": "0", "SYS":"0 "}, "company": "0", "conv": [0,0</v>
      </c>
    </row>
    <row r="158" spans="2:14">
      <c r="B158" s="9" t="s">
        <v>3148</v>
      </c>
      <c r="C158" s="9">
        <f>'Volume &amp; Price List'!A161</f>
        <v>0</v>
      </c>
      <c r="D158" s="9" t="s">
        <v>3149</v>
      </c>
      <c r="E158" s="9">
        <f>'Volume &amp; Price List'!B161</f>
        <v>0</v>
      </c>
      <c r="F158" s="9" t="s">
        <v>3150</v>
      </c>
      <c r="G158" s="9" t="s">
        <v>3151</v>
      </c>
      <c r="H158" s="9">
        <f>'Volume &amp; Price List'!G161</f>
        <v>0</v>
      </c>
      <c r="I158" s="9" t="s">
        <v>3152</v>
      </c>
      <c r="J158" s="9">
        <f>'Volume &amp; Price List'!I161</f>
        <v>0</v>
      </c>
      <c r="K158" s="9" t="s">
        <v>3153</v>
      </c>
      <c r="L158" s="9">
        <f>'Volume &amp; Price List'!K161</f>
        <v>0</v>
      </c>
      <c r="M158" s="9"/>
      <c r="N158" s="9" t="str">
        <f t="shared" si="4"/>
        <v>{ "v": 0, "n": { "EN": "0", "SYS":"0 "}, "company": "0", "conv": [0,0</v>
      </c>
    </row>
    <row r="159" spans="2:14">
      <c r="B159" s="9" t="s">
        <v>3148</v>
      </c>
      <c r="C159" s="9">
        <f>'Volume &amp; Price List'!A162</f>
        <v>0</v>
      </c>
      <c r="D159" s="9" t="s">
        <v>3149</v>
      </c>
      <c r="E159" s="9">
        <f>'Volume &amp; Price List'!B162</f>
        <v>0</v>
      </c>
      <c r="F159" s="9" t="s">
        <v>3150</v>
      </c>
      <c r="G159" s="9" t="s">
        <v>3151</v>
      </c>
      <c r="H159" s="9">
        <f>'Volume &amp; Price List'!G162</f>
        <v>0</v>
      </c>
      <c r="I159" s="9" t="s">
        <v>3152</v>
      </c>
      <c r="J159" s="9">
        <f>'Volume &amp; Price List'!I162</f>
        <v>0</v>
      </c>
      <c r="K159" s="9" t="s">
        <v>3153</v>
      </c>
      <c r="L159" s="9">
        <f>'Volume &amp; Price List'!K162</f>
        <v>0</v>
      </c>
      <c r="M159" s="9"/>
      <c r="N159" s="9" t="str">
        <f t="shared" si="4"/>
        <v>{ "v": 0, "n": { "EN": "0", "SYS":"0 "}, "company": "0", "conv": [0,0</v>
      </c>
    </row>
    <row r="160" spans="2:14">
      <c r="B160" s="9" t="s">
        <v>3148</v>
      </c>
      <c r="C160" s="9">
        <f>'Volume &amp; Price List'!A163</f>
        <v>0</v>
      </c>
      <c r="D160" s="9" t="s">
        <v>3149</v>
      </c>
      <c r="E160" s="9">
        <f>'Volume &amp; Price List'!B163</f>
        <v>0</v>
      </c>
      <c r="F160" s="9" t="s">
        <v>3150</v>
      </c>
      <c r="G160" s="9" t="s">
        <v>3151</v>
      </c>
      <c r="H160" s="9">
        <f>'Volume &amp; Price List'!G163</f>
        <v>0</v>
      </c>
      <c r="I160" s="9" t="s">
        <v>3152</v>
      </c>
      <c r="J160" s="9">
        <f>'Volume &amp; Price List'!I163</f>
        <v>0</v>
      </c>
      <c r="K160" s="9" t="s">
        <v>3153</v>
      </c>
      <c r="L160" s="9">
        <f>'Volume &amp; Price List'!K163</f>
        <v>0</v>
      </c>
      <c r="M160" s="9"/>
      <c r="N160" s="9" t="str">
        <f t="shared" si="4"/>
        <v>{ "v": 0, "n": { "EN": "0", "SYS":"0 "}, "company": "0", "conv": [0,0</v>
      </c>
    </row>
    <row r="161" spans="2:14">
      <c r="B161" s="9" t="s">
        <v>3148</v>
      </c>
      <c r="C161" s="9">
        <f>'Volume &amp; Price List'!A164</f>
        <v>0</v>
      </c>
      <c r="D161" s="9" t="s">
        <v>3149</v>
      </c>
      <c r="E161" s="9">
        <f>'Volume &amp; Price List'!B164</f>
        <v>0</v>
      </c>
      <c r="F161" s="9" t="s">
        <v>3150</v>
      </c>
      <c r="G161" s="9" t="s">
        <v>3151</v>
      </c>
      <c r="H161" s="9">
        <f>'Volume &amp; Price List'!G164</f>
        <v>0</v>
      </c>
      <c r="I161" s="9" t="s">
        <v>3152</v>
      </c>
      <c r="J161" s="9">
        <f>'Volume &amp; Price List'!I164</f>
        <v>0</v>
      </c>
      <c r="K161" s="9" t="s">
        <v>3153</v>
      </c>
      <c r="L161" s="9">
        <f>'Volume &amp; Price List'!K164</f>
        <v>0</v>
      </c>
      <c r="M161" s="9"/>
      <c r="N161" s="9" t="str">
        <f t="shared" si="4"/>
        <v>{ "v": 0, "n": { "EN": "0", "SYS":"0 "}, "company": "0", "conv": [0,0</v>
      </c>
    </row>
    <row r="162" spans="2:14">
      <c r="B162" s="9" t="s">
        <v>3148</v>
      </c>
      <c r="C162" s="9">
        <f>'Volume &amp; Price List'!A165</f>
        <v>0</v>
      </c>
      <c r="D162" s="9" t="s">
        <v>3149</v>
      </c>
      <c r="E162" s="9">
        <f>'Volume &amp; Price List'!B165</f>
        <v>0</v>
      </c>
      <c r="F162" s="9" t="s">
        <v>3150</v>
      </c>
      <c r="G162" s="9" t="s">
        <v>3151</v>
      </c>
      <c r="H162" s="9">
        <f>'Volume &amp; Price List'!G165</f>
        <v>0</v>
      </c>
      <c r="I162" s="9" t="s">
        <v>3152</v>
      </c>
      <c r="J162" s="9">
        <f>'Volume &amp; Price List'!I165</f>
        <v>0</v>
      </c>
      <c r="K162" s="9" t="s">
        <v>3153</v>
      </c>
      <c r="L162" s="9">
        <f>'Volume &amp; Price List'!K165</f>
        <v>0</v>
      </c>
      <c r="M162" s="9"/>
      <c r="N162" s="9" t="str">
        <f t="shared" si="4"/>
        <v>{ "v": 0, "n": { "EN": "0", "SYS":"0 "}, "company": "0", "conv": [0,0</v>
      </c>
    </row>
    <row r="163" spans="2:14">
      <c r="B163" s="9" t="s">
        <v>3148</v>
      </c>
      <c r="C163" s="9">
        <f>'Volume &amp; Price List'!A166</f>
        <v>0</v>
      </c>
      <c r="D163" s="9" t="s">
        <v>3149</v>
      </c>
      <c r="E163" s="9">
        <f>'Volume &amp; Price List'!B166</f>
        <v>0</v>
      </c>
      <c r="F163" s="9" t="s">
        <v>3150</v>
      </c>
      <c r="G163" s="9" t="s">
        <v>3151</v>
      </c>
      <c r="H163" s="9">
        <f>'Volume &amp; Price List'!G166</f>
        <v>0</v>
      </c>
      <c r="I163" s="9" t="s">
        <v>3152</v>
      </c>
      <c r="J163" s="9">
        <f>'Volume &amp; Price List'!I166</f>
        <v>0</v>
      </c>
      <c r="K163" s="9" t="s">
        <v>3153</v>
      </c>
      <c r="L163" s="9">
        <f>'Volume &amp; Price List'!K166</f>
        <v>0</v>
      </c>
      <c r="M163" s="9"/>
      <c r="N163" s="9" t="str">
        <f t="shared" si="4"/>
        <v>{ "v": 0, "n": { "EN": "0", "SYS":"0 "}, "company": "0", "conv": [0,0</v>
      </c>
    </row>
    <row r="164" spans="2:14">
      <c r="B164" s="9" t="s">
        <v>3148</v>
      </c>
      <c r="C164" s="9">
        <f>'Volume &amp; Price List'!A167</f>
        <v>0</v>
      </c>
      <c r="D164" s="9" t="s">
        <v>3149</v>
      </c>
      <c r="E164" s="9">
        <f>'Volume &amp; Price List'!B167</f>
        <v>0</v>
      </c>
      <c r="F164" s="9" t="s">
        <v>3150</v>
      </c>
      <c r="G164" s="9" t="s">
        <v>3151</v>
      </c>
      <c r="H164" s="9">
        <f>'Volume &amp; Price List'!G167</f>
        <v>0</v>
      </c>
      <c r="I164" s="9" t="s">
        <v>3152</v>
      </c>
      <c r="J164" s="9">
        <f>'Volume &amp; Price List'!I167</f>
        <v>0</v>
      </c>
      <c r="K164" s="9" t="s">
        <v>3153</v>
      </c>
      <c r="L164" s="9">
        <f>'Volume &amp; Price List'!K167</f>
        <v>0</v>
      </c>
      <c r="M164" s="9"/>
      <c r="N164" s="9" t="str">
        <f t="shared" si="4"/>
        <v>{ "v": 0, "n": { "EN": "0", "SYS":"0 "}, "company": "0", "conv": [0,0</v>
      </c>
    </row>
    <row r="165" spans="2:14">
      <c r="B165" s="9" t="s">
        <v>3148</v>
      </c>
      <c r="C165" s="9">
        <f>'Volume &amp; Price List'!A168</f>
        <v>0</v>
      </c>
      <c r="D165" s="9" t="s">
        <v>3149</v>
      </c>
      <c r="E165" s="9">
        <f>'Volume &amp; Price List'!B168</f>
        <v>0</v>
      </c>
      <c r="F165" s="9" t="s">
        <v>3150</v>
      </c>
      <c r="G165" s="9" t="s">
        <v>3151</v>
      </c>
      <c r="H165" s="9">
        <f>'Volume &amp; Price List'!G168</f>
        <v>0</v>
      </c>
      <c r="I165" s="9" t="s">
        <v>3152</v>
      </c>
      <c r="J165" s="9">
        <f>'Volume &amp; Price List'!I168</f>
        <v>0</v>
      </c>
      <c r="K165" s="9" t="s">
        <v>3153</v>
      </c>
      <c r="L165" s="9">
        <f>'Volume &amp; Price List'!K168</f>
        <v>0</v>
      </c>
      <c r="M165" s="9"/>
      <c r="N165" s="9" t="str">
        <f t="shared" si="4"/>
        <v>{ "v": 0, "n": { "EN": "0", "SYS":"0 "}, "company": "0", "conv": [0,0</v>
      </c>
    </row>
    <row r="166" spans="2:14">
      <c r="B166" s="9" t="s">
        <v>3148</v>
      </c>
      <c r="C166" s="9">
        <f>'Volume &amp; Price List'!A169</f>
        <v>0</v>
      </c>
      <c r="D166" s="9" t="s">
        <v>3149</v>
      </c>
      <c r="E166" s="9">
        <f>'Volume &amp; Price List'!B169</f>
        <v>0</v>
      </c>
      <c r="F166" s="9" t="s">
        <v>3150</v>
      </c>
      <c r="G166" s="9" t="s">
        <v>3151</v>
      </c>
      <c r="H166" s="9">
        <f>'Volume &amp; Price List'!G169</f>
        <v>0</v>
      </c>
      <c r="I166" s="9" t="s">
        <v>3152</v>
      </c>
      <c r="J166" s="9">
        <f>'Volume &amp; Price List'!I169</f>
        <v>0</v>
      </c>
      <c r="K166" s="9" t="s">
        <v>3153</v>
      </c>
      <c r="L166" s="9">
        <f>'Volume &amp; Price List'!K169</f>
        <v>0</v>
      </c>
      <c r="M166" s="9"/>
      <c r="N166" s="9" t="str">
        <f t="shared" si="4"/>
        <v>{ "v": 0, "n": { "EN": "0", "SYS":"0 "}, "company": "0", "conv": [0,0</v>
      </c>
    </row>
    <row r="167" spans="2:14">
      <c r="B167" s="9" t="s">
        <v>3148</v>
      </c>
      <c r="C167" s="9">
        <f>'Volume &amp; Price List'!A170</f>
        <v>0</v>
      </c>
      <c r="D167" s="9" t="s">
        <v>3149</v>
      </c>
      <c r="E167" s="9">
        <f>'Volume &amp; Price List'!B170</f>
        <v>0</v>
      </c>
      <c r="F167" s="9" t="s">
        <v>3150</v>
      </c>
      <c r="G167" s="9" t="s">
        <v>3151</v>
      </c>
      <c r="H167" s="9">
        <f>'Volume &amp; Price List'!G170</f>
        <v>0</v>
      </c>
      <c r="I167" s="9" t="s">
        <v>3152</v>
      </c>
      <c r="J167" s="9">
        <f>'Volume &amp; Price List'!I170</f>
        <v>0</v>
      </c>
      <c r="K167" s="9" t="s">
        <v>3153</v>
      </c>
      <c r="L167" s="9">
        <f>'Volume &amp; Price List'!K170</f>
        <v>0</v>
      </c>
      <c r="M167" s="9"/>
      <c r="N167" s="9" t="str">
        <f t="shared" ref="N167:N193" si="5">CONCATENATE(B167,C167,D167,E167,F167,E167,G167,H167,I167,J167,K167,L167,M167)</f>
        <v>{ "v": 0, "n": { "EN": "0", "SYS":"0 "}, "company": "0", "conv": [0,0</v>
      </c>
    </row>
    <row r="168" spans="2:14">
      <c r="B168" s="9" t="s">
        <v>3148</v>
      </c>
      <c r="C168" s="9">
        <f>'Volume &amp; Price List'!A171</f>
        <v>0</v>
      </c>
      <c r="D168" s="9" t="s">
        <v>3149</v>
      </c>
      <c r="E168" s="9">
        <f>'Volume &amp; Price List'!B171</f>
        <v>0</v>
      </c>
      <c r="F168" s="9" t="s">
        <v>3150</v>
      </c>
      <c r="G168" s="9" t="s">
        <v>3151</v>
      </c>
      <c r="H168" s="9">
        <f>'Volume &amp; Price List'!G171</f>
        <v>0</v>
      </c>
      <c r="I168" s="9" t="s">
        <v>3152</v>
      </c>
      <c r="J168" s="9">
        <f>'Volume &amp; Price List'!I171</f>
        <v>0</v>
      </c>
      <c r="K168" s="9" t="s">
        <v>3153</v>
      </c>
      <c r="L168" s="9">
        <f>'Volume &amp; Price List'!K171</f>
        <v>0</v>
      </c>
      <c r="M168" s="9"/>
      <c r="N168" s="9" t="str">
        <f t="shared" si="5"/>
        <v>{ "v": 0, "n": { "EN": "0", "SYS":"0 "}, "company": "0", "conv": [0,0</v>
      </c>
    </row>
    <row r="169" spans="2:14">
      <c r="B169" s="9" t="s">
        <v>3148</v>
      </c>
      <c r="C169" s="9">
        <f>'Volume &amp; Price List'!A172</f>
        <v>0</v>
      </c>
      <c r="D169" s="9" t="s">
        <v>3149</v>
      </c>
      <c r="E169" s="9">
        <f>'Volume &amp; Price List'!B172</f>
        <v>0</v>
      </c>
      <c r="F169" s="9" t="s">
        <v>3150</v>
      </c>
      <c r="G169" s="9" t="s">
        <v>3151</v>
      </c>
      <c r="H169" s="9">
        <f>'Volume &amp; Price List'!G172</f>
        <v>0</v>
      </c>
      <c r="I169" s="9" t="s">
        <v>3152</v>
      </c>
      <c r="J169" s="9">
        <f>'Volume &amp; Price List'!I172</f>
        <v>0</v>
      </c>
      <c r="K169" s="9" t="s">
        <v>3153</v>
      </c>
      <c r="L169" s="9">
        <f>'Volume &amp; Price List'!K172</f>
        <v>0</v>
      </c>
      <c r="M169" s="9"/>
      <c r="N169" s="9" t="str">
        <f t="shared" si="5"/>
        <v>{ "v": 0, "n": { "EN": "0", "SYS":"0 "}, "company": "0", "conv": [0,0</v>
      </c>
    </row>
    <row r="170" spans="2:14">
      <c r="B170" s="9" t="s">
        <v>3148</v>
      </c>
      <c r="C170" s="9">
        <f>'Volume &amp; Price List'!A173</f>
        <v>0</v>
      </c>
      <c r="D170" s="9" t="s">
        <v>3149</v>
      </c>
      <c r="E170" s="9">
        <f>'Volume &amp; Price List'!B173</f>
        <v>0</v>
      </c>
      <c r="F170" s="9" t="s">
        <v>3150</v>
      </c>
      <c r="G170" s="9" t="s">
        <v>3151</v>
      </c>
      <c r="H170" s="9">
        <f>'Volume &amp; Price List'!G173</f>
        <v>0</v>
      </c>
      <c r="I170" s="9" t="s">
        <v>3152</v>
      </c>
      <c r="J170" s="9">
        <f>'Volume &amp; Price List'!I173</f>
        <v>0</v>
      </c>
      <c r="K170" s="9" t="s">
        <v>3153</v>
      </c>
      <c r="L170" s="9">
        <f>'Volume &amp; Price List'!K173</f>
        <v>0</v>
      </c>
      <c r="M170" s="9"/>
      <c r="N170" s="9" t="str">
        <f t="shared" si="5"/>
        <v>{ "v": 0, "n": { "EN": "0", "SYS":"0 "}, "company": "0", "conv": [0,0</v>
      </c>
    </row>
    <row r="171" spans="2:14">
      <c r="B171" s="9" t="s">
        <v>3148</v>
      </c>
      <c r="C171" s="9">
        <f>'Volume &amp; Price List'!A174</f>
        <v>0</v>
      </c>
      <c r="D171" s="9" t="s">
        <v>3149</v>
      </c>
      <c r="E171" s="9">
        <f>'Volume &amp; Price List'!B174</f>
        <v>0</v>
      </c>
      <c r="F171" s="9" t="s">
        <v>3150</v>
      </c>
      <c r="G171" s="9" t="s">
        <v>3151</v>
      </c>
      <c r="H171" s="9">
        <f>'Volume &amp; Price List'!G174</f>
        <v>0</v>
      </c>
      <c r="I171" s="9" t="s">
        <v>3152</v>
      </c>
      <c r="J171" s="9">
        <f>'Volume &amp; Price List'!I174</f>
        <v>0</v>
      </c>
      <c r="K171" s="9" t="s">
        <v>3153</v>
      </c>
      <c r="L171" s="9">
        <f>'Volume &amp; Price List'!K174</f>
        <v>0</v>
      </c>
      <c r="M171" s="9"/>
      <c r="N171" s="9" t="str">
        <f t="shared" si="5"/>
        <v>{ "v": 0, "n": { "EN": "0", "SYS":"0 "}, "company": "0", "conv": [0,0</v>
      </c>
    </row>
    <row r="172" spans="2:14">
      <c r="B172" s="9" t="s">
        <v>3148</v>
      </c>
      <c r="C172" s="9">
        <f>'Volume &amp; Price List'!A175</f>
        <v>0</v>
      </c>
      <c r="D172" s="9" t="s">
        <v>3149</v>
      </c>
      <c r="E172" s="9">
        <f>'Volume &amp; Price List'!B175</f>
        <v>0</v>
      </c>
      <c r="F172" s="9" t="s">
        <v>3150</v>
      </c>
      <c r="G172" s="9" t="s">
        <v>3151</v>
      </c>
      <c r="H172" s="9">
        <f>'Volume &amp; Price List'!G175</f>
        <v>0</v>
      </c>
      <c r="I172" s="9" t="s">
        <v>3152</v>
      </c>
      <c r="J172" s="9">
        <f>'Volume &amp; Price List'!I175</f>
        <v>0</v>
      </c>
      <c r="K172" s="9" t="s">
        <v>3153</v>
      </c>
      <c r="L172" s="9">
        <f>'Volume &amp; Price List'!K175</f>
        <v>0</v>
      </c>
      <c r="M172" s="9"/>
      <c r="N172" s="9" t="str">
        <f t="shared" si="5"/>
        <v>{ "v": 0, "n": { "EN": "0", "SYS":"0 "}, "company": "0", "conv": [0,0</v>
      </c>
    </row>
    <row r="173" spans="2:14">
      <c r="B173" s="9" t="s">
        <v>3148</v>
      </c>
      <c r="C173" s="9">
        <f>'Volume &amp; Price List'!A176</f>
        <v>0</v>
      </c>
      <c r="D173" s="9" t="s">
        <v>3149</v>
      </c>
      <c r="E173" s="9">
        <f>'Volume &amp; Price List'!B176</f>
        <v>0</v>
      </c>
      <c r="F173" s="9" t="s">
        <v>3150</v>
      </c>
      <c r="G173" s="9" t="s">
        <v>3151</v>
      </c>
      <c r="H173" s="9">
        <f>'Volume &amp; Price List'!G176</f>
        <v>0</v>
      </c>
      <c r="I173" s="9" t="s">
        <v>3152</v>
      </c>
      <c r="J173" s="9">
        <f>'Volume &amp; Price List'!I176</f>
        <v>0</v>
      </c>
      <c r="K173" s="9" t="s">
        <v>3153</v>
      </c>
      <c r="L173" s="9">
        <f>'Volume &amp; Price List'!K176</f>
        <v>0</v>
      </c>
      <c r="M173" s="9"/>
      <c r="N173" s="9" t="str">
        <f t="shared" si="5"/>
        <v>{ "v": 0, "n": { "EN": "0", "SYS":"0 "}, "company": "0", "conv": [0,0</v>
      </c>
    </row>
    <row r="174" spans="2:14">
      <c r="B174" s="9" t="s">
        <v>3148</v>
      </c>
      <c r="C174" s="9">
        <f>'Volume &amp; Price List'!A177</f>
        <v>0</v>
      </c>
      <c r="D174" s="9" t="s">
        <v>3149</v>
      </c>
      <c r="E174" s="9">
        <f>'Volume &amp; Price List'!B177</f>
        <v>0</v>
      </c>
      <c r="F174" s="9" t="s">
        <v>3150</v>
      </c>
      <c r="G174" s="9" t="s">
        <v>3151</v>
      </c>
      <c r="H174" s="9">
        <f>'Volume &amp; Price List'!G177</f>
        <v>0</v>
      </c>
      <c r="I174" s="9" t="s">
        <v>3152</v>
      </c>
      <c r="J174" s="9">
        <f>'Volume &amp; Price List'!I177</f>
        <v>0</v>
      </c>
      <c r="K174" s="9" t="s">
        <v>3153</v>
      </c>
      <c r="L174" s="9">
        <f>'Volume &amp; Price List'!K177</f>
        <v>0</v>
      </c>
      <c r="M174" s="9"/>
      <c r="N174" s="9" t="str">
        <f t="shared" si="5"/>
        <v>{ "v": 0, "n": { "EN": "0", "SYS":"0 "}, "company": "0", "conv": [0,0</v>
      </c>
    </row>
    <row r="175" spans="2:14">
      <c r="B175" s="9" t="s">
        <v>3148</v>
      </c>
      <c r="C175" s="9">
        <f>'Volume &amp; Price List'!A178</f>
        <v>0</v>
      </c>
      <c r="D175" s="9" t="s">
        <v>3149</v>
      </c>
      <c r="E175" s="9">
        <f>'Volume &amp; Price List'!B178</f>
        <v>0</v>
      </c>
      <c r="F175" s="9" t="s">
        <v>3150</v>
      </c>
      <c r="G175" s="9" t="s">
        <v>3151</v>
      </c>
      <c r="H175" s="9">
        <f>'Volume &amp; Price List'!G178</f>
        <v>0</v>
      </c>
      <c r="I175" s="9" t="s">
        <v>3152</v>
      </c>
      <c r="J175" s="9">
        <f>'Volume &amp; Price List'!I178</f>
        <v>0</v>
      </c>
      <c r="K175" s="9" t="s">
        <v>3153</v>
      </c>
      <c r="L175" s="9">
        <f>'Volume &amp; Price List'!K178</f>
        <v>0</v>
      </c>
      <c r="M175" s="9"/>
      <c r="N175" s="9" t="str">
        <f t="shared" si="5"/>
        <v>{ "v": 0, "n": { "EN": "0", "SYS":"0 "}, "company": "0", "conv": [0,0</v>
      </c>
    </row>
    <row r="176" spans="2:14">
      <c r="B176" s="9" t="s">
        <v>3148</v>
      </c>
      <c r="C176" s="9">
        <f>'Volume &amp; Price List'!A179</f>
        <v>0</v>
      </c>
      <c r="D176" s="9" t="s">
        <v>3149</v>
      </c>
      <c r="E176" s="9">
        <f>'Volume &amp; Price List'!B179</f>
        <v>0</v>
      </c>
      <c r="F176" s="9" t="s">
        <v>3150</v>
      </c>
      <c r="G176" s="9" t="s">
        <v>3151</v>
      </c>
      <c r="H176" s="9">
        <f>'Volume &amp; Price List'!G179</f>
        <v>0</v>
      </c>
      <c r="I176" s="9" t="s">
        <v>3152</v>
      </c>
      <c r="J176" s="9">
        <f>'Volume &amp; Price List'!I179</f>
        <v>0</v>
      </c>
      <c r="K176" s="9" t="s">
        <v>3153</v>
      </c>
      <c r="L176" s="9">
        <f>'Volume &amp; Price List'!K179</f>
        <v>0</v>
      </c>
      <c r="M176" s="9"/>
      <c r="N176" s="9" t="str">
        <f t="shared" si="5"/>
        <v>{ "v": 0, "n": { "EN": "0", "SYS":"0 "}, "company": "0", "conv": [0,0</v>
      </c>
    </row>
    <row r="177" spans="2:14">
      <c r="B177" s="9" t="s">
        <v>3148</v>
      </c>
      <c r="C177" s="9">
        <f>'Volume &amp; Price List'!A180</f>
        <v>0</v>
      </c>
      <c r="D177" s="9" t="s">
        <v>3149</v>
      </c>
      <c r="E177" s="9">
        <f>'Volume &amp; Price List'!B180</f>
        <v>0</v>
      </c>
      <c r="F177" s="9" t="s">
        <v>3150</v>
      </c>
      <c r="G177" s="9" t="s">
        <v>3151</v>
      </c>
      <c r="H177" s="9">
        <f>'Volume &amp; Price List'!G180</f>
        <v>0</v>
      </c>
      <c r="I177" s="9" t="s">
        <v>3152</v>
      </c>
      <c r="J177" s="9">
        <f>'Volume &amp; Price List'!I180</f>
        <v>0</v>
      </c>
      <c r="K177" s="9" t="s">
        <v>3153</v>
      </c>
      <c r="L177" s="9">
        <f>'Volume &amp; Price List'!K180</f>
        <v>0</v>
      </c>
      <c r="M177" s="9"/>
      <c r="N177" s="9" t="str">
        <f t="shared" si="5"/>
        <v>{ "v": 0, "n": { "EN": "0", "SYS":"0 "}, "company": "0", "conv": [0,0</v>
      </c>
    </row>
    <row r="178" spans="2:14">
      <c r="B178" s="9" t="s">
        <v>3148</v>
      </c>
      <c r="C178" s="9">
        <f>'Volume &amp; Price List'!A181</f>
        <v>0</v>
      </c>
      <c r="D178" s="9" t="s">
        <v>3149</v>
      </c>
      <c r="E178" s="9">
        <f>'Volume &amp; Price List'!B181</f>
        <v>0</v>
      </c>
      <c r="F178" s="9" t="s">
        <v>3150</v>
      </c>
      <c r="G178" s="9" t="s">
        <v>3151</v>
      </c>
      <c r="H178" s="9">
        <f>'Volume &amp; Price List'!G181</f>
        <v>0</v>
      </c>
      <c r="I178" s="9" t="s">
        <v>3152</v>
      </c>
      <c r="J178" s="9">
        <f>'Volume &amp; Price List'!I181</f>
        <v>0</v>
      </c>
      <c r="K178" s="9" t="s">
        <v>3153</v>
      </c>
      <c r="L178" s="9">
        <f>'Volume &amp; Price List'!K181</f>
        <v>0</v>
      </c>
      <c r="M178" s="9"/>
      <c r="N178" s="9" t="str">
        <f t="shared" si="5"/>
        <v>{ "v": 0, "n": { "EN": "0", "SYS":"0 "}, "company": "0", "conv": [0,0</v>
      </c>
    </row>
    <row r="179" spans="2:14">
      <c r="B179" s="9" t="s">
        <v>3148</v>
      </c>
      <c r="C179" s="9">
        <f>'Volume &amp; Price List'!A182</f>
        <v>0</v>
      </c>
      <c r="D179" s="9" t="s">
        <v>3149</v>
      </c>
      <c r="E179" s="9">
        <f>'Volume &amp; Price List'!B182</f>
        <v>0</v>
      </c>
      <c r="F179" s="9" t="s">
        <v>3150</v>
      </c>
      <c r="G179" s="9" t="s">
        <v>3151</v>
      </c>
      <c r="H179" s="9">
        <f>'Volume &amp; Price List'!G182</f>
        <v>0</v>
      </c>
      <c r="I179" s="9" t="s">
        <v>3152</v>
      </c>
      <c r="J179" s="9">
        <f>'Volume &amp; Price List'!I182</f>
        <v>0</v>
      </c>
      <c r="K179" s="9" t="s">
        <v>3153</v>
      </c>
      <c r="L179" s="9">
        <f>'Volume &amp; Price List'!K182</f>
        <v>0</v>
      </c>
      <c r="M179" s="9"/>
      <c r="N179" s="9" t="str">
        <f t="shared" si="5"/>
        <v>{ "v": 0, "n": { "EN": "0", "SYS":"0 "}, "company": "0", "conv": [0,0</v>
      </c>
    </row>
    <row r="180" spans="2:14">
      <c r="B180" s="9" t="s">
        <v>3148</v>
      </c>
      <c r="C180" s="9">
        <f>'Volume &amp; Price List'!A183</f>
        <v>0</v>
      </c>
      <c r="D180" s="9" t="s">
        <v>3149</v>
      </c>
      <c r="E180" s="9">
        <f>'Volume &amp; Price List'!B183</f>
        <v>0</v>
      </c>
      <c r="F180" s="9" t="s">
        <v>3150</v>
      </c>
      <c r="G180" s="9" t="s">
        <v>3151</v>
      </c>
      <c r="H180" s="9">
        <f>'Volume &amp; Price List'!G183</f>
        <v>0</v>
      </c>
      <c r="I180" s="9" t="s">
        <v>3152</v>
      </c>
      <c r="J180" s="9">
        <f>'Volume &amp; Price List'!I183</f>
        <v>0</v>
      </c>
      <c r="K180" s="9" t="s">
        <v>3153</v>
      </c>
      <c r="L180" s="9">
        <f>'Volume &amp; Price List'!K183</f>
        <v>0</v>
      </c>
      <c r="M180" s="9"/>
      <c r="N180" s="9" t="str">
        <f t="shared" si="5"/>
        <v>{ "v": 0, "n": { "EN": "0", "SYS":"0 "}, "company": "0", "conv": [0,0</v>
      </c>
    </row>
    <row r="181" spans="2:14">
      <c r="B181" s="9" t="s">
        <v>3148</v>
      </c>
      <c r="C181" s="9">
        <f>'Volume &amp; Price List'!A184</f>
        <v>0</v>
      </c>
      <c r="D181" s="9" t="s">
        <v>3149</v>
      </c>
      <c r="E181" s="9">
        <f>'Volume &amp; Price List'!B184</f>
        <v>0</v>
      </c>
      <c r="F181" s="9" t="s">
        <v>3150</v>
      </c>
      <c r="G181" s="9" t="s">
        <v>3151</v>
      </c>
      <c r="H181" s="9">
        <f>'Volume &amp; Price List'!G184</f>
        <v>0</v>
      </c>
      <c r="I181" s="9" t="s">
        <v>3152</v>
      </c>
      <c r="J181" s="9">
        <f>'Volume &amp; Price List'!I184</f>
        <v>0</v>
      </c>
      <c r="K181" s="9" t="s">
        <v>3153</v>
      </c>
      <c r="L181" s="9">
        <f>'Volume &amp; Price List'!K184</f>
        <v>0</v>
      </c>
      <c r="M181" s="9"/>
      <c r="N181" s="9" t="str">
        <f t="shared" si="5"/>
        <v>{ "v": 0, "n": { "EN": "0", "SYS":"0 "}, "company": "0", "conv": [0,0</v>
      </c>
    </row>
    <row r="182" spans="2:14">
      <c r="B182" s="9" t="s">
        <v>3148</v>
      </c>
      <c r="C182" s="9">
        <f>'Volume &amp; Price List'!A185</f>
        <v>0</v>
      </c>
      <c r="D182" s="9" t="s">
        <v>3149</v>
      </c>
      <c r="E182" s="9">
        <f>'Volume &amp; Price List'!B185</f>
        <v>0</v>
      </c>
      <c r="F182" s="9" t="s">
        <v>3150</v>
      </c>
      <c r="G182" s="9" t="s">
        <v>3151</v>
      </c>
      <c r="H182" s="9">
        <f>'Volume &amp; Price List'!G185</f>
        <v>0</v>
      </c>
      <c r="I182" s="9" t="s">
        <v>3152</v>
      </c>
      <c r="J182" s="9">
        <f>'Volume &amp; Price List'!I185</f>
        <v>0</v>
      </c>
      <c r="K182" s="9" t="s">
        <v>3153</v>
      </c>
      <c r="L182" s="9">
        <f>'Volume &amp; Price List'!K185</f>
        <v>0</v>
      </c>
      <c r="M182" s="9"/>
      <c r="N182" s="9" t="str">
        <f t="shared" si="5"/>
        <v>{ "v": 0, "n": { "EN": "0", "SYS":"0 "}, "company": "0", "conv": [0,0</v>
      </c>
    </row>
    <row r="183" spans="2:14">
      <c r="B183" s="9" t="s">
        <v>3148</v>
      </c>
      <c r="C183" s="9">
        <f>'Volume &amp; Price List'!A186</f>
        <v>0</v>
      </c>
      <c r="D183" s="9" t="s">
        <v>3149</v>
      </c>
      <c r="E183" s="9">
        <f>'Volume &amp; Price List'!B186</f>
        <v>0</v>
      </c>
      <c r="F183" s="9" t="s">
        <v>3150</v>
      </c>
      <c r="G183" s="9" t="s">
        <v>3151</v>
      </c>
      <c r="H183" s="9">
        <f>'Volume &amp; Price List'!G186</f>
        <v>0</v>
      </c>
      <c r="I183" s="9" t="s">
        <v>3152</v>
      </c>
      <c r="J183" s="9">
        <f>'Volume &amp; Price List'!I186</f>
        <v>0</v>
      </c>
      <c r="K183" s="9" t="s">
        <v>3153</v>
      </c>
      <c r="L183" s="9">
        <f>'Volume &amp; Price List'!K186</f>
        <v>0</v>
      </c>
      <c r="M183" s="9"/>
      <c r="N183" s="9" t="str">
        <f t="shared" si="5"/>
        <v>{ "v": 0, "n": { "EN": "0", "SYS":"0 "}, "company": "0", "conv": [0,0</v>
      </c>
    </row>
    <row r="184" spans="2:14">
      <c r="B184" s="9" t="s">
        <v>3148</v>
      </c>
      <c r="C184" s="9">
        <f>'Volume &amp; Price List'!A187</f>
        <v>0</v>
      </c>
      <c r="D184" s="9" t="s">
        <v>3149</v>
      </c>
      <c r="E184" s="9">
        <f>'Volume &amp; Price List'!B187</f>
        <v>0</v>
      </c>
      <c r="F184" s="9" t="s">
        <v>3150</v>
      </c>
      <c r="G184" s="9" t="s">
        <v>3151</v>
      </c>
      <c r="H184" s="9">
        <f>'Volume &amp; Price List'!G187</f>
        <v>0</v>
      </c>
      <c r="I184" s="9" t="s">
        <v>3152</v>
      </c>
      <c r="J184" s="9">
        <f>'Volume &amp; Price List'!I187</f>
        <v>0</v>
      </c>
      <c r="K184" s="9" t="s">
        <v>3153</v>
      </c>
      <c r="L184" s="9">
        <f>'Volume &amp; Price List'!K187</f>
        <v>0</v>
      </c>
      <c r="M184" s="9"/>
      <c r="N184" s="9" t="str">
        <f t="shared" si="5"/>
        <v>{ "v": 0, "n": { "EN": "0", "SYS":"0 "}, "company": "0", "conv": [0,0</v>
      </c>
    </row>
    <row r="185" spans="2:14">
      <c r="B185" s="9" t="s">
        <v>3148</v>
      </c>
      <c r="C185" s="9">
        <f>'Volume &amp; Price List'!A188</f>
        <v>0</v>
      </c>
      <c r="D185" s="9" t="s">
        <v>3149</v>
      </c>
      <c r="E185" s="9">
        <f>'Volume &amp; Price List'!B188</f>
        <v>0</v>
      </c>
      <c r="F185" s="9" t="s">
        <v>3150</v>
      </c>
      <c r="G185" s="9" t="s">
        <v>3151</v>
      </c>
      <c r="H185" s="9">
        <f>'Volume &amp; Price List'!G188</f>
        <v>0</v>
      </c>
      <c r="I185" s="9" t="s">
        <v>3152</v>
      </c>
      <c r="J185" s="9">
        <f>'Volume &amp; Price List'!I188</f>
        <v>0</v>
      </c>
      <c r="K185" s="9" t="s">
        <v>3153</v>
      </c>
      <c r="L185" s="9">
        <f>'Volume &amp; Price List'!K188</f>
        <v>0</v>
      </c>
      <c r="M185" s="9"/>
      <c r="N185" s="9" t="str">
        <f t="shared" si="5"/>
        <v>{ "v": 0, "n": { "EN": "0", "SYS":"0 "}, "company": "0", "conv": [0,0</v>
      </c>
    </row>
    <row r="186" spans="2:14">
      <c r="B186" s="9" t="s">
        <v>3148</v>
      </c>
      <c r="C186" s="9">
        <f>'Volume &amp; Price List'!A189</f>
        <v>0</v>
      </c>
      <c r="D186" s="9" t="s">
        <v>3149</v>
      </c>
      <c r="E186" s="9">
        <f>'Volume &amp; Price List'!B189</f>
        <v>0</v>
      </c>
      <c r="F186" s="9" t="s">
        <v>3150</v>
      </c>
      <c r="G186" s="9" t="s">
        <v>3151</v>
      </c>
      <c r="H186" s="9">
        <f>'Volume &amp; Price List'!G189</f>
        <v>0</v>
      </c>
      <c r="I186" s="9" t="s">
        <v>3152</v>
      </c>
      <c r="J186" s="9">
        <f>'Volume &amp; Price List'!I189</f>
        <v>0</v>
      </c>
      <c r="K186" s="9" t="s">
        <v>3153</v>
      </c>
      <c r="L186" s="9">
        <f>'Volume &amp; Price List'!K189</f>
        <v>0</v>
      </c>
      <c r="M186" s="9"/>
      <c r="N186" s="9" t="str">
        <f t="shared" si="5"/>
        <v>{ "v": 0, "n": { "EN": "0", "SYS":"0 "}, "company": "0", "conv": [0,0</v>
      </c>
    </row>
    <row r="187" spans="2:14">
      <c r="B187" s="9" t="s">
        <v>3148</v>
      </c>
      <c r="C187" s="9">
        <f>'Volume &amp; Price List'!A190</f>
        <v>0</v>
      </c>
      <c r="D187" s="9" t="s">
        <v>3149</v>
      </c>
      <c r="E187" s="9">
        <f>'Volume &amp; Price List'!B190</f>
        <v>0</v>
      </c>
      <c r="F187" s="9" t="s">
        <v>3150</v>
      </c>
      <c r="G187" s="9" t="s">
        <v>3151</v>
      </c>
      <c r="H187" s="9">
        <f>'Volume &amp; Price List'!G190</f>
        <v>0</v>
      </c>
      <c r="I187" s="9" t="s">
        <v>3152</v>
      </c>
      <c r="J187" s="9">
        <f>'Volume &amp; Price List'!I190</f>
        <v>0</v>
      </c>
      <c r="K187" s="9" t="s">
        <v>3153</v>
      </c>
      <c r="L187" s="9">
        <f>'Volume &amp; Price List'!K190</f>
        <v>0</v>
      </c>
      <c r="M187" s="9"/>
      <c r="N187" s="9" t="str">
        <f t="shared" si="5"/>
        <v>{ "v": 0, "n": { "EN": "0", "SYS":"0 "}, "company": "0", "conv": [0,0</v>
      </c>
    </row>
    <row r="188" spans="2:14">
      <c r="B188" s="9" t="s">
        <v>3148</v>
      </c>
      <c r="C188" s="9">
        <f>'Volume &amp; Price List'!A191</f>
        <v>0</v>
      </c>
      <c r="D188" s="9" t="s">
        <v>3149</v>
      </c>
      <c r="E188" s="9">
        <f>'Volume &amp; Price List'!B191</f>
        <v>0</v>
      </c>
      <c r="F188" s="9" t="s">
        <v>3150</v>
      </c>
      <c r="G188" s="9" t="s">
        <v>3151</v>
      </c>
      <c r="H188" s="9">
        <f>'Volume &amp; Price List'!G191</f>
        <v>0</v>
      </c>
      <c r="I188" s="9" t="s">
        <v>3152</v>
      </c>
      <c r="J188" s="9">
        <f>'Volume &amp; Price List'!I191</f>
        <v>0</v>
      </c>
      <c r="K188" s="9" t="s">
        <v>3153</v>
      </c>
      <c r="L188" s="9">
        <f>'Volume &amp; Price List'!K191</f>
        <v>0</v>
      </c>
      <c r="M188" s="9"/>
      <c r="N188" s="9" t="str">
        <f t="shared" si="5"/>
        <v>{ "v": 0, "n": { "EN": "0", "SYS":"0 "}, "company": "0", "conv": [0,0</v>
      </c>
    </row>
    <row r="189" spans="2:14">
      <c r="B189" s="9" t="s">
        <v>3148</v>
      </c>
      <c r="C189" s="9">
        <f>'Volume &amp; Price List'!A192</f>
        <v>0</v>
      </c>
      <c r="D189" s="9" t="s">
        <v>3149</v>
      </c>
      <c r="E189" s="9">
        <f>'Volume &amp; Price List'!B192</f>
        <v>0</v>
      </c>
      <c r="F189" s="9" t="s">
        <v>3150</v>
      </c>
      <c r="G189" s="9" t="s">
        <v>3151</v>
      </c>
      <c r="H189" s="9">
        <f>'Volume &amp; Price List'!G192</f>
        <v>0</v>
      </c>
      <c r="I189" s="9" t="s">
        <v>3152</v>
      </c>
      <c r="J189" s="9">
        <f>'Volume &amp; Price List'!I192</f>
        <v>0</v>
      </c>
      <c r="K189" s="9" t="s">
        <v>3153</v>
      </c>
      <c r="L189" s="9">
        <f>'Volume &amp; Price List'!K192</f>
        <v>0</v>
      </c>
      <c r="M189" s="9"/>
      <c r="N189" s="9" t="str">
        <f t="shared" si="5"/>
        <v>{ "v": 0, "n": { "EN": "0", "SYS":"0 "}, "company": "0", "conv": [0,0</v>
      </c>
    </row>
    <row r="190" spans="2:14">
      <c r="B190" s="9" t="s">
        <v>3148</v>
      </c>
      <c r="C190" s="9">
        <f>'Volume &amp; Price List'!A193</f>
        <v>0</v>
      </c>
      <c r="D190" s="9" t="s">
        <v>3149</v>
      </c>
      <c r="E190" s="9">
        <f>'Volume &amp; Price List'!B193</f>
        <v>0</v>
      </c>
      <c r="F190" s="9" t="s">
        <v>3150</v>
      </c>
      <c r="G190" s="9" t="s">
        <v>3151</v>
      </c>
      <c r="H190" s="9">
        <f>'Volume &amp; Price List'!G193</f>
        <v>0</v>
      </c>
      <c r="I190" s="9" t="s">
        <v>3152</v>
      </c>
      <c r="J190" s="9">
        <f>'Volume &amp; Price List'!I193</f>
        <v>0</v>
      </c>
      <c r="K190" s="9" t="s">
        <v>3153</v>
      </c>
      <c r="L190" s="9">
        <f>'Volume &amp; Price List'!K193</f>
        <v>0</v>
      </c>
      <c r="M190" s="9"/>
      <c r="N190" s="9" t="str">
        <f t="shared" si="5"/>
        <v>{ "v": 0, "n": { "EN": "0", "SYS":"0 "}, "company": "0", "conv": [0,0</v>
      </c>
    </row>
    <row r="191" spans="2:14">
      <c r="B191" s="9" t="s">
        <v>3148</v>
      </c>
      <c r="C191" s="9">
        <f>'Volume &amp; Price List'!A194</f>
        <v>0</v>
      </c>
      <c r="D191" s="9" t="s">
        <v>3149</v>
      </c>
      <c r="E191" s="9">
        <f>'Volume &amp; Price List'!B194</f>
        <v>0</v>
      </c>
      <c r="F191" s="9" t="s">
        <v>3150</v>
      </c>
      <c r="G191" s="9" t="s">
        <v>3151</v>
      </c>
      <c r="H191" s="9">
        <f>'Volume &amp; Price List'!G194</f>
        <v>0</v>
      </c>
      <c r="I191" s="9" t="s">
        <v>3152</v>
      </c>
      <c r="J191" s="9">
        <f>'Volume &amp; Price List'!I194</f>
        <v>0</v>
      </c>
      <c r="K191" s="9" t="s">
        <v>3153</v>
      </c>
      <c r="L191" s="9">
        <f>'Volume &amp; Price List'!K194</f>
        <v>0</v>
      </c>
      <c r="M191" s="9"/>
      <c r="N191" s="9" t="str">
        <f t="shared" si="5"/>
        <v>{ "v": 0, "n": { "EN": "0", "SYS":"0 "}, "company": "0", "conv": [0,0</v>
      </c>
    </row>
    <row r="192" spans="2:14">
      <c r="B192" s="9" t="s">
        <v>3148</v>
      </c>
      <c r="C192" s="9">
        <f>'Volume &amp; Price List'!A195</f>
        <v>0</v>
      </c>
      <c r="D192" s="9" t="s">
        <v>3149</v>
      </c>
      <c r="E192" s="9">
        <f>'Volume &amp; Price List'!B195</f>
        <v>0</v>
      </c>
      <c r="F192" s="9" t="s">
        <v>3150</v>
      </c>
      <c r="G192" s="9" t="s">
        <v>3151</v>
      </c>
      <c r="H192" s="9">
        <f>'Volume &amp; Price List'!G195</f>
        <v>0</v>
      </c>
      <c r="I192" s="9" t="s">
        <v>3152</v>
      </c>
      <c r="J192" s="9">
        <f>'Volume &amp; Price List'!I195</f>
        <v>0</v>
      </c>
      <c r="K192" s="9" t="s">
        <v>3153</v>
      </c>
      <c r="L192" s="9">
        <f>'Volume &amp; Price List'!K195</f>
        <v>0</v>
      </c>
      <c r="M192" s="9"/>
      <c r="N192" s="9" t="str">
        <f t="shared" si="5"/>
        <v>{ "v": 0, "n": { "EN": "0", "SYS":"0 "}, "company": "0", "conv": [0,0</v>
      </c>
    </row>
    <row r="193" spans="2:14">
      <c r="B193" s="9" t="s">
        <v>3148</v>
      </c>
      <c r="C193" s="9">
        <f>'Volume &amp; Price List'!A196</f>
        <v>0</v>
      </c>
      <c r="D193" s="9" t="s">
        <v>3149</v>
      </c>
      <c r="E193" s="9">
        <f>'Volume &amp; Price List'!B196</f>
        <v>0</v>
      </c>
      <c r="F193" s="9" t="s">
        <v>3150</v>
      </c>
      <c r="G193" s="9" t="s">
        <v>3151</v>
      </c>
      <c r="H193" s="9">
        <f>'Volume &amp; Price List'!G196</f>
        <v>0</v>
      </c>
      <c r="I193" s="9" t="s">
        <v>3152</v>
      </c>
      <c r="J193" s="9">
        <f>'Volume &amp; Price List'!I196</f>
        <v>0</v>
      </c>
      <c r="K193" s="9" t="s">
        <v>3153</v>
      </c>
      <c r="L193" s="9">
        <f>'Volume &amp; Price List'!K196</f>
        <v>0</v>
      </c>
      <c r="M193" s="9"/>
      <c r="N193" s="9" t="str">
        <f t="shared" si="5"/>
        <v>{ "v": 0, "n": { "EN": "0", "SYS":"0 "}, "company": "0", "conv": [0,0</v>
      </c>
    </row>
    <row r="194" spans="2:14">
      <c r="B194" s="9" t="s">
        <v>3148</v>
      </c>
      <c r="C194" s="9">
        <f>'Volume &amp; Price List'!A197</f>
        <v>0</v>
      </c>
      <c r="D194" s="9" t="s">
        <v>3149</v>
      </c>
      <c r="E194" s="9">
        <f>'Volume &amp; Price List'!B197</f>
        <v>0</v>
      </c>
      <c r="F194" s="9" t="s">
        <v>3150</v>
      </c>
      <c r="G194" s="9" t="s">
        <v>3151</v>
      </c>
      <c r="H194" s="9">
        <f>'Volume &amp; Price List'!G197</f>
        <v>0</v>
      </c>
      <c r="I194" s="9" t="s">
        <v>3152</v>
      </c>
      <c r="J194" s="9">
        <f>'Volume &amp; Price List'!I197</f>
        <v>0</v>
      </c>
      <c r="K194" s="9" t="s">
        <v>3153</v>
      </c>
      <c r="L194" s="9">
        <f>'Volume &amp; Price List'!K197</f>
        <v>0</v>
      </c>
      <c r="M194" s="9"/>
      <c r="N194" s="9" t="str">
        <f t="shared" ref="N194:N215" si="6">CONCATENATE(B194,C194,D194,E194,F194,E194,G194,H194,I194,J194,K194,L194,M194)</f>
        <v>{ "v": 0, "n": { "EN": "0", "SYS":"0 "}, "company": "0", "conv": [0,0</v>
      </c>
    </row>
    <row r="195" spans="2:14">
      <c r="B195" s="9" t="s">
        <v>3148</v>
      </c>
      <c r="C195" s="9">
        <f>'Volume &amp; Price List'!A198</f>
        <v>0</v>
      </c>
      <c r="D195" s="9" t="s">
        <v>3149</v>
      </c>
      <c r="E195" s="9">
        <f>'Volume &amp; Price List'!B198</f>
        <v>0</v>
      </c>
      <c r="F195" s="9" t="s">
        <v>3150</v>
      </c>
      <c r="G195" s="9" t="s">
        <v>3151</v>
      </c>
      <c r="H195" s="9">
        <f>'Volume &amp; Price List'!G198</f>
        <v>0</v>
      </c>
      <c r="I195" s="9" t="s">
        <v>3152</v>
      </c>
      <c r="J195" s="9">
        <f>'Volume &amp; Price List'!I198</f>
        <v>0</v>
      </c>
      <c r="K195" s="9" t="s">
        <v>3153</v>
      </c>
      <c r="L195" s="9">
        <f>'Volume &amp; Price List'!K198</f>
        <v>0</v>
      </c>
      <c r="M195" s="9"/>
      <c r="N195" s="9" t="str">
        <f t="shared" si="6"/>
        <v>{ "v": 0, "n": { "EN": "0", "SYS":"0 "}, "company": "0", "conv": [0,0</v>
      </c>
    </row>
    <row r="196" spans="2:14">
      <c r="B196" s="9" t="s">
        <v>3148</v>
      </c>
      <c r="C196" s="9">
        <f>'Volume &amp; Price List'!A199</f>
        <v>0</v>
      </c>
      <c r="D196" s="9" t="s">
        <v>3149</v>
      </c>
      <c r="E196" s="9">
        <f>'Volume &amp; Price List'!B199</f>
        <v>0</v>
      </c>
      <c r="F196" s="9" t="s">
        <v>3150</v>
      </c>
      <c r="G196" s="9" t="s">
        <v>3151</v>
      </c>
      <c r="H196" s="9">
        <f>'Volume &amp; Price List'!G199</f>
        <v>0</v>
      </c>
      <c r="I196" s="9" t="s">
        <v>3152</v>
      </c>
      <c r="J196" s="9">
        <f>'Volume &amp; Price List'!I199</f>
        <v>0</v>
      </c>
      <c r="K196" s="9" t="s">
        <v>3153</v>
      </c>
      <c r="L196" s="9">
        <f>'Volume &amp; Price List'!K199</f>
        <v>0</v>
      </c>
      <c r="M196" s="9"/>
      <c r="N196" s="9" t="str">
        <f t="shared" si="6"/>
        <v>{ "v": 0, "n": { "EN": "0", "SYS":"0 "}, "company": "0", "conv": [0,0</v>
      </c>
    </row>
    <row r="197" spans="2:14">
      <c r="B197" s="9" t="s">
        <v>3148</v>
      </c>
      <c r="C197" s="9">
        <f>'Volume &amp; Price List'!A200</f>
        <v>0</v>
      </c>
      <c r="D197" s="9" t="s">
        <v>3149</v>
      </c>
      <c r="E197" s="9">
        <f>'Volume &amp; Price List'!B200</f>
        <v>0</v>
      </c>
      <c r="F197" s="9" t="s">
        <v>3150</v>
      </c>
      <c r="G197" s="9" t="s">
        <v>3151</v>
      </c>
      <c r="H197" s="9">
        <f>'Volume &amp; Price List'!G200</f>
        <v>0</v>
      </c>
      <c r="I197" s="9" t="s">
        <v>3152</v>
      </c>
      <c r="J197" s="9">
        <f>'Volume &amp; Price List'!I200</f>
        <v>0</v>
      </c>
      <c r="K197" s="9" t="s">
        <v>3153</v>
      </c>
      <c r="L197" s="9">
        <f>'Volume &amp; Price List'!K200</f>
        <v>0</v>
      </c>
      <c r="M197" s="9"/>
      <c r="N197" s="9" t="str">
        <f t="shared" si="6"/>
        <v>{ "v": 0, "n": { "EN": "0", "SYS":"0 "}, "company": "0", "conv": [0,0</v>
      </c>
    </row>
    <row r="198" spans="2:14">
      <c r="B198" s="9" t="s">
        <v>3148</v>
      </c>
      <c r="C198" s="9">
        <f>'Volume &amp; Price List'!A201</f>
        <v>0</v>
      </c>
      <c r="D198" s="9" t="s">
        <v>3149</v>
      </c>
      <c r="E198" s="9">
        <f>'Volume &amp; Price List'!B201</f>
        <v>0</v>
      </c>
      <c r="F198" s="9" t="s">
        <v>3150</v>
      </c>
      <c r="G198" s="9" t="s">
        <v>3151</v>
      </c>
      <c r="H198" s="9">
        <f>'Volume &amp; Price List'!G201</f>
        <v>0</v>
      </c>
      <c r="I198" s="9" t="s">
        <v>3152</v>
      </c>
      <c r="J198" s="9">
        <f>'Volume &amp; Price List'!I201</f>
        <v>0</v>
      </c>
      <c r="K198" s="9" t="s">
        <v>3153</v>
      </c>
      <c r="L198" s="9">
        <f>'Volume &amp; Price List'!K201</f>
        <v>0</v>
      </c>
      <c r="M198" s="9"/>
      <c r="N198" s="9" t="str">
        <f t="shared" si="6"/>
        <v>{ "v": 0, "n": { "EN": "0", "SYS":"0 "}, "company": "0", "conv": [0,0</v>
      </c>
    </row>
    <row r="199" spans="2:14">
      <c r="B199" s="9" t="s">
        <v>3148</v>
      </c>
      <c r="C199" s="9">
        <f>'Volume &amp; Price List'!A202</f>
        <v>0</v>
      </c>
      <c r="D199" s="9" t="s">
        <v>3149</v>
      </c>
      <c r="E199" s="9">
        <f>'Volume &amp; Price List'!B202</f>
        <v>0</v>
      </c>
      <c r="F199" s="9" t="s">
        <v>3150</v>
      </c>
      <c r="G199" s="9" t="s">
        <v>3151</v>
      </c>
      <c r="H199" s="9">
        <f>'Volume &amp; Price List'!G202</f>
        <v>0</v>
      </c>
      <c r="I199" s="9" t="s">
        <v>3152</v>
      </c>
      <c r="J199" s="9">
        <f>'Volume &amp; Price List'!I202</f>
        <v>0</v>
      </c>
      <c r="K199" s="9" t="s">
        <v>3153</v>
      </c>
      <c r="L199" s="9">
        <f>'Volume &amp; Price List'!K202</f>
        <v>0</v>
      </c>
      <c r="M199" s="9"/>
      <c r="N199" s="9" t="str">
        <f t="shared" si="6"/>
        <v>{ "v": 0, "n": { "EN": "0", "SYS":"0 "}, "company": "0", "conv": [0,0</v>
      </c>
    </row>
    <row r="200" spans="2:14">
      <c r="B200" s="9" t="s">
        <v>3148</v>
      </c>
      <c r="C200" s="9">
        <f>'Volume &amp; Price List'!A203</f>
        <v>0</v>
      </c>
      <c r="D200" s="9" t="s">
        <v>3149</v>
      </c>
      <c r="E200" s="9">
        <f>'Volume &amp; Price List'!B203</f>
        <v>0</v>
      </c>
      <c r="F200" s="9" t="s">
        <v>3150</v>
      </c>
      <c r="G200" s="9" t="s">
        <v>3151</v>
      </c>
      <c r="H200" s="9">
        <f>'Volume &amp; Price List'!G203</f>
        <v>0</v>
      </c>
      <c r="I200" s="9" t="s">
        <v>3152</v>
      </c>
      <c r="J200" s="9">
        <f>'Volume &amp; Price List'!I203</f>
        <v>0</v>
      </c>
      <c r="K200" s="9" t="s">
        <v>3153</v>
      </c>
      <c r="L200" s="9">
        <f>'Volume &amp; Price List'!K203</f>
        <v>0</v>
      </c>
      <c r="M200" s="9"/>
      <c r="N200" s="9" t="str">
        <f t="shared" si="6"/>
        <v>{ "v": 0, "n": { "EN": "0", "SYS":"0 "}, "company": "0", "conv": [0,0</v>
      </c>
    </row>
    <row r="201" spans="2:14">
      <c r="B201" s="9" t="s">
        <v>3148</v>
      </c>
      <c r="C201" s="9">
        <f>'Volume &amp; Price List'!A204</f>
        <v>0</v>
      </c>
      <c r="D201" s="9" t="s">
        <v>3149</v>
      </c>
      <c r="E201" s="9">
        <f>'Volume &amp; Price List'!B204</f>
        <v>0</v>
      </c>
      <c r="F201" s="9" t="s">
        <v>3150</v>
      </c>
      <c r="G201" s="9" t="s">
        <v>3151</v>
      </c>
      <c r="H201" s="9">
        <f>'Volume &amp; Price List'!G204</f>
        <v>0</v>
      </c>
      <c r="I201" s="9" t="s">
        <v>3152</v>
      </c>
      <c r="J201" s="9">
        <f>'Volume &amp; Price List'!I204</f>
        <v>0</v>
      </c>
      <c r="K201" s="9" t="s">
        <v>3153</v>
      </c>
      <c r="L201" s="9">
        <f>'Volume &amp; Price List'!K204</f>
        <v>0</v>
      </c>
      <c r="M201" s="9"/>
      <c r="N201" s="9" t="str">
        <f t="shared" si="6"/>
        <v>{ "v": 0, "n": { "EN": "0", "SYS":"0 "}, "company": "0", "conv": [0,0</v>
      </c>
    </row>
    <row r="202" spans="2:14">
      <c r="B202" s="9" t="s">
        <v>3148</v>
      </c>
      <c r="C202" s="9">
        <f>'Volume &amp; Price List'!A205</f>
        <v>0</v>
      </c>
      <c r="D202" s="9" t="s">
        <v>3149</v>
      </c>
      <c r="E202" s="9">
        <f>'Volume &amp; Price List'!B205</f>
        <v>0</v>
      </c>
      <c r="F202" s="9" t="s">
        <v>3150</v>
      </c>
      <c r="G202" s="9" t="s">
        <v>3151</v>
      </c>
      <c r="H202" s="9">
        <f>'Volume &amp; Price List'!G205</f>
        <v>0</v>
      </c>
      <c r="I202" s="9" t="s">
        <v>3152</v>
      </c>
      <c r="J202" s="9">
        <f>'Volume &amp; Price List'!I205</f>
        <v>0</v>
      </c>
      <c r="K202" s="9" t="s">
        <v>3153</v>
      </c>
      <c r="L202" s="9">
        <f>'Volume &amp; Price List'!K205</f>
        <v>0</v>
      </c>
      <c r="M202" s="9"/>
      <c r="N202" s="9" t="str">
        <f t="shared" si="6"/>
        <v>{ "v": 0, "n": { "EN": "0", "SYS":"0 "}, "company": "0", "conv": [0,0</v>
      </c>
    </row>
    <row r="203" spans="2:14">
      <c r="B203" s="9" t="s">
        <v>3148</v>
      </c>
      <c r="C203" s="9">
        <f>'Volume &amp; Price List'!A206</f>
        <v>0</v>
      </c>
      <c r="D203" s="9" t="s">
        <v>3149</v>
      </c>
      <c r="E203" s="9">
        <f>'Volume &amp; Price List'!B206</f>
        <v>0</v>
      </c>
      <c r="F203" s="9" t="s">
        <v>3150</v>
      </c>
      <c r="G203" s="9" t="s">
        <v>3151</v>
      </c>
      <c r="H203" s="9">
        <f>'Volume &amp; Price List'!G206</f>
        <v>0</v>
      </c>
      <c r="I203" s="9" t="s">
        <v>3152</v>
      </c>
      <c r="J203" s="9">
        <f>'Volume &amp; Price List'!I206</f>
        <v>0</v>
      </c>
      <c r="K203" s="9" t="s">
        <v>3153</v>
      </c>
      <c r="L203" s="9">
        <f>'Volume &amp; Price List'!K206</f>
        <v>0</v>
      </c>
      <c r="M203" s="9"/>
      <c r="N203" s="9" t="str">
        <f t="shared" si="6"/>
        <v>{ "v": 0, "n": { "EN": "0", "SYS":"0 "}, "company": "0", "conv": [0,0</v>
      </c>
    </row>
    <row r="204" spans="2:14">
      <c r="B204" s="9" t="s">
        <v>3148</v>
      </c>
      <c r="C204" s="9">
        <f>'Volume &amp; Price List'!A207</f>
        <v>0</v>
      </c>
      <c r="D204" s="9" t="s">
        <v>3149</v>
      </c>
      <c r="E204" s="9">
        <f>'Volume &amp; Price List'!B207</f>
        <v>0</v>
      </c>
      <c r="F204" s="9" t="s">
        <v>3150</v>
      </c>
      <c r="G204" s="9" t="s">
        <v>3151</v>
      </c>
      <c r="H204" s="9">
        <f>'Volume &amp; Price List'!G207</f>
        <v>0</v>
      </c>
      <c r="I204" s="9" t="s">
        <v>3152</v>
      </c>
      <c r="J204" s="9">
        <f>'Volume &amp; Price List'!I207</f>
        <v>0</v>
      </c>
      <c r="K204" s="9" t="s">
        <v>3153</v>
      </c>
      <c r="L204" s="9">
        <f>'Volume &amp; Price List'!K207</f>
        <v>0</v>
      </c>
      <c r="M204" s="9"/>
      <c r="N204" s="9" t="str">
        <f t="shared" si="6"/>
        <v>{ "v": 0, "n": { "EN": "0", "SYS":"0 "}, "company": "0", "conv": [0,0</v>
      </c>
    </row>
    <row r="205" spans="2:14">
      <c r="B205" s="9" t="s">
        <v>3148</v>
      </c>
      <c r="C205" s="9">
        <f>'Volume &amp; Price List'!A208</f>
        <v>0</v>
      </c>
      <c r="D205" s="9" t="s">
        <v>3149</v>
      </c>
      <c r="E205" s="9">
        <f>'Volume &amp; Price List'!B208</f>
        <v>0</v>
      </c>
      <c r="F205" s="9" t="s">
        <v>3150</v>
      </c>
      <c r="G205" s="9" t="s">
        <v>3151</v>
      </c>
      <c r="H205" s="9">
        <f>'Volume &amp; Price List'!G208</f>
        <v>0</v>
      </c>
      <c r="I205" s="9" t="s">
        <v>3152</v>
      </c>
      <c r="J205" s="9">
        <f>'Volume &amp; Price List'!I208</f>
        <v>0</v>
      </c>
      <c r="K205" s="9" t="s">
        <v>3153</v>
      </c>
      <c r="L205" s="9">
        <f>'Volume &amp; Price List'!K208</f>
        <v>0</v>
      </c>
      <c r="M205" s="9"/>
      <c r="N205" s="9" t="str">
        <f t="shared" si="6"/>
        <v>{ "v": 0, "n": { "EN": "0", "SYS":"0 "}, "company": "0", "conv": [0,0</v>
      </c>
    </row>
    <row r="206" spans="2:14">
      <c r="B206" s="9" t="s">
        <v>3148</v>
      </c>
      <c r="C206" s="9">
        <f>'Volume &amp; Price List'!A209</f>
        <v>0</v>
      </c>
      <c r="D206" s="9" t="s">
        <v>3149</v>
      </c>
      <c r="E206" s="9">
        <f>'Volume &amp; Price List'!B209</f>
        <v>0</v>
      </c>
      <c r="F206" s="9" t="s">
        <v>3150</v>
      </c>
      <c r="G206" s="9" t="s">
        <v>3151</v>
      </c>
      <c r="H206" s="9">
        <f>'Volume &amp; Price List'!G209</f>
        <v>0</v>
      </c>
      <c r="I206" s="9" t="s">
        <v>3152</v>
      </c>
      <c r="J206" s="9">
        <f>'Volume &amp; Price List'!I209</f>
        <v>0</v>
      </c>
      <c r="K206" s="9" t="s">
        <v>3153</v>
      </c>
      <c r="L206" s="9">
        <f>'Volume &amp; Price List'!K209</f>
        <v>0</v>
      </c>
      <c r="M206" s="9"/>
      <c r="N206" s="9" t="str">
        <f t="shared" si="6"/>
        <v>{ "v": 0, "n": { "EN": "0", "SYS":"0 "}, "company": "0", "conv": [0,0</v>
      </c>
    </row>
    <row r="207" spans="2:14">
      <c r="B207" s="9" t="s">
        <v>3148</v>
      </c>
      <c r="C207" s="9">
        <f>'Volume &amp; Price List'!A210</f>
        <v>0</v>
      </c>
      <c r="D207" s="9" t="s">
        <v>3149</v>
      </c>
      <c r="E207" s="9">
        <f>'Volume &amp; Price List'!B210</f>
        <v>0</v>
      </c>
      <c r="F207" s="9" t="s">
        <v>3150</v>
      </c>
      <c r="G207" s="9" t="s">
        <v>3151</v>
      </c>
      <c r="H207" s="9">
        <f>'Volume &amp; Price List'!G210</f>
        <v>0</v>
      </c>
      <c r="I207" s="9" t="s">
        <v>3152</v>
      </c>
      <c r="J207" s="9">
        <f>'Volume &amp; Price List'!I210</f>
        <v>0</v>
      </c>
      <c r="K207" s="9" t="s">
        <v>3153</v>
      </c>
      <c r="L207" s="9">
        <f>'Volume &amp; Price List'!K210</f>
        <v>0</v>
      </c>
      <c r="M207" s="9"/>
      <c r="N207" s="9" t="str">
        <f t="shared" si="6"/>
        <v>{ "v": 0, "n": { "EN": "0", "SYS":"0 "}, "company": "0", "conv": [0,0</v>
      </c>
    </row>
    <row r="208" spans="2:14">
      <c r="B208" s="9" t="s">
        <v>3148</v>
      </c>
      <c r="C208" s="9">
        <f>'Volume &amp; Price List'!A211</f>
        <v>0</v>
      </c>
      <c r="D208" s="9" t="s">
        <v>3149</v>
      </c>
      <c r="E208" s="9">
        <f>'Volume &amp; Price List'!B211</f>
        <v>0</v>
      </c>
      <c r="F208" s="9" t="s">
        <v>3150</v>
      </c>
      <c r="G208" s="9" t="s">
        <v>3151</v>
      </c>
      <c r="H208" s="9">
        <f>'Volume &amp; Price List'!G211</f>
        <v>0</v>
      </c>
      <c r="I208" s="9" t="s">
        <v>3152</v>
      </c>
      <c r="J208" s="9">
        <f>'Volume &amp; Price List'!I211</f>
        <v>0</v>
      </c>
      <c r="K208" s="9" t="s">
        <v>3153</v>
      </c>
      <c r="L208" s="9">
        <f>'Volume &amp; Price List'!K211</f>
        <v>0</v>
      </c>
      <c r="M208" s="9"/>
      <c r="N208" s="9" t="str">
        <f t="shared" si="6"/>
        <v>{ "v": 0, "n": { "EN": "0", "SYS":"0 "}, "company": "0", "conv": [0,0</v>
      </c>
    </row>
    <row r="209" spans="2:14">
      <c r="B209" s="9" t="s">
        <v>3148</v>
      </c>
      <c r="C209" s="9">
        <f>'Volume &amp; Price List'!A212</f>
        <v>0</v>
      </c>
      <c r="D209" s="9" t="s">
        <v>3149</v>
      </c>
      <c r="E209" s="9">
        <f>'Volume &amp; Price List'!B212</f>
        <v>0</v>
      </c>
      <c r="F209" s="9" t="s">
        <v>3150</v>
      </c>
      <c r="G209" s="9" t="s">
        <v>3151</v>
      </c>
      <c r="H209" s="9">
        <f>'Volume &amp; Price List'!G212</f>
        <v>0</v>
      </c>
      <c r="I209" s="9" t="s">
        <v>3152</v>
      </c>
      <c r="J209" s="9">
        <f>'Volume &amp; Price List'!I212</f>
        <v>0</v>
      </c>
      <c r="K209" s="9" t="s">
        <v>3153</v>
      </c>
      <c r="L209" s="9">
        <f>'Volume &amp; Price List'!K212</f>
        <v>0</v>
      </c>
      <c r="M209" s="9"/>
      <c r="N209" s="9" t="str">
        <f t="shared" si="6"/>
        <v>{ "v": 0, "n": { "EN": "0", "SYS":"0 "}, "company": "0", "conv": [0,0</v>
      </c>
    </row>
    <row r="210" spans="2:14">
      <c r="B210" s="9" t="s">
        <v>3148</v>
      </c>
      <c r="C210" s="9">
        <f>'Volume &amp; Price List'!A213</f>
        <v>0</v>
      </c>
      <c r="D210" s="9" t="s">
        <v>3149</v>
      </c>
      <c r="E210" s="9">
        <f>'Volume &amp; Price List'!B213</f>
        <v>0</v>
      </c>
      <c r="F210" s="9" t="s">
        <v>3150</v>
      </c>
      <c r="G210" s="9" t="s">
        <v>3151</v>
      </c>
      <c r="H210" s="9">
        <f>'Volume &amp; Price List'!G213</f>
        <v>0</v>
      </c>
      <c r="I210" s="9" t="s">
        <v>3152</v>
      </c>
      <c r="J210" s="9">
        <f>'Volume &amp; Price List'!I213</f>
        <v>0</v>
      </c>
      <c r="K210" s="9" t="s">
        <v>3153</v>
      </c>
      <c r="L210" s="9">
        <f>'Volume &amp; Price List'!K213</f>
        <v>0</v>
      </c>
      <c r="M210" s="9"/>
      <c r="N210" s="9" t="str">
        <f t="shared" si="6"/>
        <v>{ "v": 0, "n": { "EN": "0", "SYS":"0 "}, "company": "0", "conv": [0,0</v>
      </c>
    </row>
    <row r="211" spans="2:14">
      <c r="B211" s="9" t="s">
        <v>3148</v>
      </c>
      <c r="C211" s="9">
        <f>'Volume &amp; Price List'!A214</f>
        <v>0</v>
      </c>
      <c r="D211" s="9" t="s">
        <v>3149</v>
      </c>
      <c r="E211" s="9">
        <f>'Volume &amp; Price List'!B214</f>
        <v>0</v>
      </c>
      <c r="F211" s="9" t="s">
        <v>3150</v>
      </c>
      <c r="G211" s="9" t="s">
        <v>3151</v>
      </c>
      <c r="H211" s="9">
        <f>'Volume &amp; Price List'!G214</f>
        <v>0</v>
      </c>
      <c r="I211" s="9" t="s">
        <v>3152</v>
      </c>
      <c r="J211" s="9">
        <f>'Volume &amp; Price List'!I214</f>
        <v>0</v>
      </c>
      <c r="K211" s="9" t="s">
        <v>3153</v>
      </c>
      <c r="L211" s="9">
        <f>'Volume &amp; Price List'!K214</f>
        <v>0</v>
      </c>
      <c r="M211" s="9"/>
      <c r="N211" s="9" t="str">
        <f t="shared" si="6"/>
        <v>{ "v": 0, "n": { "EN": "0", "SYS":"0 "}, "company": "0", "conv": [0,0</v>
      </c>
    </row>
    <row r="212" spans="2:14">
      <c r="B212" s="9" t="s">
        <v>3148</v>
      </c>
      <c r="C212" s="9">
        <f>'Volume &amp; Price List'!A215</f>
        <v>0</v>
      </c>
      <c r="D212" s="9" t="s">
        <v>3149</v>
      </c>
      <c r="E212" s="9">
        <f>'Volume &amp; Price List'!B215</f>
        <v>0</v>
      </c>
      <c r="F212" s="9" t="s">
        <v>3150</v>
      </c>
      <c r="G212" s="9" t="s">
        <v>3151</v>
      </c>
      <c r="H212" s="9">
        <f>'Volume &amp; Price List'!G215</f>
        <v>0</v>
      </c>
      <c r="I212" s="9" t="s">
        <v>3152</v>
      </c>
      <c r="J212" s="9">
        <f>'Volume &amp; Price List'!I215</f>
        <v>0</v>
      </c>
      <c r="K212" s="9" t="s">
        <v>3153</v>
      </c>
      <c r="L212" s="9">
        <f>'Volume &amp; Price List'!K215</f>
        <v>0</v>
      </c>
      <c r="M212" s="9"/>
      <c r="N212" s="9" t="str">
        <f t="shared" si="6"/>
        <v>{ "v": 0, "n": { "EN": "0", "SYS":"0 "}, "company": "0", "conv": [0,0</v>
      </c>
    </row>
    <row r="213" spans="2:14">
      <c r="B213" s="9" t="s">
        <v>3148</v>
      </c>
      <c r="C213" s="9">
        <f>'Volume &amp; Price List'!A216</f>
        <v>0</v>
      </c>
      <c r="D213" s="9" t="s">
        <v>3149</v>
      </c>
      <c r="E213" s="9">
        <f>'Volume &amp; Price List'!B216</f>
        <v>0</v>
      </c>
      <c r="F213" s="9" t="s">
        <v>3150</v>
      </c>
      <c r="G213" s="9" t="s">
        <v>3151</v>
      </c>
      <c r="H213" s="9">
        <f>'Volume &amp; Price List'!G216</f>
        <v>0</v>
      </c>
      <c r="I213" s="9" t="s">
        <v>3152</v>
      </c>
      <c r="J213" s="9">
        <f>'Volume &amp; Price List'!I216</f>
        <v>0</v>
      </c>
      <c r="K213" s="9" t="s">
        <v>3153</v>
      </c>
      <c r="L213" s="9">
        <f>'Volume &amp; Price List'!K216</f>
        <v>0</v>
      </c>
      <c r="M213" s="9"/>
      <c r="N213" s="9" t="str">
        <f t="shared" si="6"/>
        <v>{ "v": 0, "n": { "EN": "0", "SYS":"0 "}, "company": "0", "conv": [0,0</v>
      </c>
    </row>
    <row r="214" spans="2:14">
      <c r="B214" s="9" t="s">
        <v>3148</v>
      </c>
      <c r="C214" s="9">
        <f>'Volume &amp; Price List'!A217</f>
        <v>0</v>
      </c>
      <c r="D214" s="9" t="s">
        <v>3149</v>
      </c>
      <c r="E214" s="9">
        <f>'Volume &amp; Price List'!B217</f>
        <v>0</v>
      </c>
      <c r="F214" s="9" t="s">
        <v>3150</v>
      </c>
      <c r="G214" s="9" t="s">
        <v>3151</v>
      </c>
      <c r="H214" s="9">
        <f>'Volume &amp; Price List'!G217</f>
        <v>0</v>
      </c>
      <c r="I214" s="9" t="s">
        <v>3152</v>
      </c>
      <c r="J214" s="9">
        <f>'Volume &amp; Price List'!I217</f>
        <v>0</v>
      </c>
      <c r="K214" s="9" t="s">
        <v>3153</v>
      </c>
      <c r="L214" s="9">
        <f>'Volume &amp; Price List'!K217</f>
        <v>0</v>
      </c>
      <c r="M214" s="9"/>
      <c r="N214" s="9" t="str">
        <f t="shared" si="6"/>
        <v>{ "v": 0, "n": { "EN": "0", "SYS":"0 "}, "company": "0", "conv": [0,0</v>
      </c>
    </row>
    <row r="215" spans="2:14">
      <c r="B215" s="9" t="s">
        <v>3148</v>
      </c>
      <c r="C215" s="9">
        <f>'Volume &amp; Price List'!A218</f>
        <v>0</v>
      </c>
      <c r="D215" s="9" t="s">
        <v>3149</v>
      </c>
      <c r="E215" s="9">
        <f>'Volume &amp; Price List'!B218</f>
        <v>0</v>
      </c>
      <c r="F215" s="9" t="s">
        <v>3150</v>
      </c>
      <c r="G215" s="9" t="s">
        <v>3151</v>
      </c>
      <c r="H215" s="9">
        <f>'Volume &amp; Price List'!G218</f>
        <v>0</v>
      </c>
      <c r="I215" s="9" t="s">
        <v>3152</v>
      </c>
      <c r="J215" s="9">
        <f>'Volume &amp; Price List'!I218</f>
        <v>0</v>
      </c>
      <c r="K215" s="9" t="s">
        <v>3153</v>
      </c>
      <c r="L215" s="9">
        <f>'Volume &amp; Price List'!K218</f>
        <v>0</v>
      </c>
      <c r="M215" s="9"/>
      <c r="N215" s="9" t="str">
        <f t="shared" si="6"/>
        <v>{ "v": 0, "n": { "EN": "0", "SYS":"0 "}, "company": "0", "conv": [0,0</v>
      </c>
    </row>
    <row r="216" spans="2:14">
      <c r="B216" s="9" t="s">
        <v>3148</v>
      </c>
      <c r="C216" s="9">
        <f>'Volume &amp; Price List'!A219</f>
        <v>0</v>
      </c>
      <c r="D216" s="9" t="s">
        <v>3149</v>
      </c>
      <c r="E216" s="9">
        <f>'Volume &amp; Price List'!B219</f>
        <v>0</v>
      </c>
      <c r="F216" s="9" t="s">
        <v>3150</v>
      </c>
      <c r="G216" s="9" t="s">
        <v>3151</v>
      </c>
      <c r="H216" s="9">
        <f>'Volume &amp; Price List'!G219</f>
        <v>0</v>
      </c>
      <c r="I216" s="9" t="s">
        <v>3152</v>
      </c>
      <c r="J216" s="9">
        <f>'Volume &amp; Price List'!I219</f>
        <v>0</v>
      </c>
      <c r="K216" s="9" t="s">
        <v>3153</v>
      </c>
      <c r="L216" s="9">
        <f>'Volume &amp; Price List'!K219</f>
        <v>0</v>
      </c>
      <c r="M216" s="9"/>
      <c r="N216" s="9" t="str">
        <f t="shared" ref="N216:N223" si="7">CONCATENATE(B216,C216,D216,E216,F216,E216,G216,H216,I216,J216,K216,L216,M216)</f>
        <v>{ "v": 0, "n": { "EN": "0", "SYS":"0 "}, "company": "0", "conv": [0,0</v>
      </c>
    </row>
    <row r="217" spans="2:14">
      <c r="B217" s="9" t="s">
        <v>3148</v>
      </c>
      <c r="C217" s="9">
        <f>'Volume &amp; Price List'!A220</f>
        <v>0</v>
      </c>
      <c r="D217" s="9" t="s">
        <v>3149</v>
      </c>
      <c r="E217" s="9">
        <f>'Volume &amp; Price List'!B220</f>
        <v>0</v>
      </c>
      <c r="F217" s="9" t="s">
        <v>3150</v>
      </c>
      <c r="G217" s="9" t="s">
        <v>3151</v>
      </c>
      <c r="H217" s="9">
        <f>'Volume &amp; Price List'!G220</f>
        <v>0</v>
      </c>
      <c r="I217" s="9" t="s">
        <v>3152</v>
      </c>
      <c r="J217" s="9">
        <f>'Volume &amp; Price List'!I220</f>
        <v>0</v>
      </c>
      <c r="K217" s="9" t="s">
        <v>3153</v>
      </c>
      <c r="L217" s="9">
        <f>'Volume &amp; Price List'!K220</f>
        <v>0</v>
      </c>
      <c r="M217" s="9"/>
      <c r="N217" s="9" t="str">
        <f t="shared" si="7"/>
        <v>{ "v": 0, "n": { "EN": "0", "SYS":"0 "}, "company": "0", "conv": [0,0</v>
      </c>
    </row>
    <row r="218" spans="2:14">
      <c r="B218" s="9" t="s">
        <v>3148</v>
      </c>
      <c r="C218" s="9">
        <f>'Volume &amp; Price List'!A221</f>
        <v>0</v>
      </c>
      <c r="D218" s="9" t="s">
        <v>3149</v>
      </c>
      <c r="E218" s="9">
        <f>'Volume &amp; Price List'!B221</f>
        <v>0</v>
      </c>
      <c r="F218" s="9" t="s">
        <v>3150</v>
      </c>
      <c r="G218" s="9" t="s">
        <v>3151</v>
      </c>
      <c r="H218" s="9">
        <f>'Volume &amp; Price List'!G221</f>
        <v>0</v>
      </c>
      <c r="I218" s="9" t="s">
        <v>3152</v>
      </c>
      <c r="J218" s="9">
        <f>'Volume &amp; Price List'!I221</f>
        <v>0</v>
      </c>
      <c r="K218" s="9" t="s">
        <v>3153</v>
      </c>
      <c r="L218" s="9">
        <f>'Volume &amp; Price List'!K221</f>
        <v>0</v>
      </c>
      <c r="M218" s="9"/>
      <c r="N218" s="9" t="str">
        <f t="shared" si="7"/>
        <v>{ "v": 0, "n": { "EN": "0", "SYS":"0 "}, "company": "0", "conv": [0,0</v>
      </c>
    </row>
    <row r="219" spans="2:14">
      <c r="B219" s="9" t="s">
        <v>3148</v>
      </c>
      <c r="C219" s="9">
        <f>'Volume &amp; Price List'!A222</f>
        <v>0</v>
      </c>
      <c r="D219" s="9" t="s">
        <v>3149</v>
      </c>
      <c r="E219" s="9">
        <f>'Volume &amp; Price List'!B222</f>
        <v>0</v>
      </c>
      <c r="F219" s="9" t="s">
        <v>3150</v>
      </c>
      <c r="G219" s="9" t="s">
        <v>3151</v>
      </c>
      <c r="H219" s="9">
        <f>'Volume &amp; Price List'!G222</f>
        <v>0</v>
      </c>
      <c r="I219" s="9" t="s">
        <v>3152</v>
      </c>
      <c r="J219" s="9">
        <f>'Volume &amp; Price List'!I222</f>
        <v>0</v>
      </c>
      <c r="K219" s="9" t="s">
        <v>3153</v>
      </c>
      <c r="L219" s="9">
        <f>'Volume &amp; Price List'!K222</f>
        <v>0</v>
      </c>
      <c r="M219" s="9"/>
      <c r="N219" s="9" t="str">
        <f t="shared" si="7"/>
        <v>{ "v": 0, "n": { "EN": "0", "SYS":"0 "}, "company": "0", "conv": [0,0</v>
      </c>
    </row>
    <row r="220" spans="2:14">
      <c r="B220" s="9" t="s">
        <v>3148</v>
      </c>
      <c r="C220" s="9">
        <f>'Volume &amp; Price List'!A223</f>
        <v>0</v>
      </c>
      <c r="D220" s="9" t="s">
        <v>3149</v>
      </c>
      <c r="E220" s="9">
        <f>'Volume &amp; Price List'!B223</f>
        <v>0</v>
      </c>
      <c r="F220" s="9" t="s">
        <v>3150</v>
      </c>
      <c r="G220" s="9" t="s">
        <v>3151</v>
      </c>
      <c r="H220" s="9">
        <f>'Volume &amp; Price List'!G223</f>
        <v>0</v>
      </c>
      <c r="I220" s="9" t="s">
        <v>3152</v>
      </c>
      <c r="J220" s="9">
        <f>'Volume &amp; Price List'!I223</f>
        <v>0</v>
      </c>
      <c r="K220" s="9" t="s">
        <v>3153</v>
      </c>
      <c r="L220" s="9">
        <f>'Volume &amp; Price List'!K223</f>
        <v>0</v>
      </c>
      <c r="M220" s="9"/>
      <c r="N220" s="9" t="str">
        <f t="shared" si="7"/>
        <v>{ "v": 0, "n": { "EN": "0", "SYS":"0 "}, "company": "0", "conv": [0,0</v>
      </c>
    </row>
    <row r="221" spans="2:14">
      <c r="B221" s="9" t="s">
        <v>3148</v>
      </c>
      <c r="C221" s="9">
        <f>'Volume &amp; Price List'!A224</f>
        <v>0</v>
      </c>
      <c r="D221" s="9" t="s">
        <v>3149</v>
      </c>
      <c r="E221" s="9">
        <f>'Volume &amp; Price List'!B224</f>
        <v>0</v>
      </c>
      <c r="F221" s="9" t="s">
        <v>3150</v>
      </c>
      <c r="G221" s="9" t="s">
        <v>3151</v>
      </c>
      <c r="H221" s="9">
        <f>'Volume &amp; Price List'!G224</f>
        <v>0</v>
      </c>
      <c r="I221" s="9" t="s">
        <v>3152</v>
      </c>
      <c r="J221" s="9">
        <f>'Volume &amp; Price List'!I224</f>
        <v>0</v>
      </c>
      <c r="K221" s="9" t="s">
        <v>3153</v>
      </c>
      <c r="L221" s="9">
        <f>'Volume &amp; Price List'!K224</f>
        <v>0</v>
      </c>
      <c r="M221" s="9"/>
      <c r="N221" s="9" t="str">
        <f t="shared" si="7"/>
        <v>{ "v": 0, "n": { "EN": "0", "SYS":"0 "}, "company": "0", "conv": [0,0</v>
      </c>
    </row>
    <row r="222" spans="2:14">
      <c r="B222" s="9" t="s">
        <v>3148</v>
      </c>
      <c r="C222" s="9">
        <f>'Volume &amp; Price List'!A225</f>
        <v>0</v>
      </c>
      <c r="D222" s="9" t="s">
        <v>3149</v>
      </c>
      <c r="E222" s="9">
        <f>'Volume &amp; Price List'!B225</f>
        <v>0</v>
      </c>
      <c r="F222" s="9" t="s">
        <v>3150</v>
      </c>
      <c r="G222" s="9" t="s">
        <v>3151</v>
      </c>
      <c r="H222" s="9">
        <f>'Volume &amp; Price List'!G225</f>
        <v>0</v>
      </c>
      <c r="I222" s="9" t="s">
        <v>3152</v>
      </c>
      <c r="J222" s="9">
        <f>'Volume &amp; Price List'!I225</f>
        <v>0</v>
      </c>
      <c r="K222" s="9" t="s">
        <v>3153</v>
      </c>
      <c r="L222" s="9">
        <f>'Volume &amp; Price List'!K225</f>
        <v>0</v>
      </c>
      <c r="M222" s="9"/>
      <c r="N222" s="9" t="str">
        <f t="shared" si="7"/>
        <v>{ "v": 0, "n": { "EN": "0", "SYS":"0 "}, "company": "0", "conv": [0,0</v>
      </c>
    </row>
    <row r="223" spans="2:14">
      <c r="B223" s="9" t="s">
        <v>3148</v>
      </c>
      <c r="C223" s="9">
        <f>'Volume &amp; Price List'!A226</f>
        <v>0</v>
      </c>
      <c r="D223" s="9" t="s">
        <v>3149</v>
      </c>
      <c r="E223" s="9">
        <f>'Volume &amp; Price List'!B226</f>
        <v>0</v>
      </c>
      <c r="F223" s="9" t="s">
        <v>3150</v>
      </c>
      <c r="G223" s="9" t="s">
        <v>3151</v>
      </c>
      <c r="H223" s="9">
        <f>'Volume &amp; Price List'!G226</f>
        <v>0</v>
      </c>
      <c r="I223" s="9" t="s">
        <v>3152</v>
      </c>
      <c r="J223" s="9">
        <f>'Volume &amp; Price List'!I226</f>
        <v>0</v>
      </c>
      <c r="K223" s="9" t="s">
        <v>3153</v>
      </c>
      <c r="L223" s="9">
        <f>'Volume &amp; Price List'!K226</f>
        <v>0</v>
      </c>
      <c r="M223" s="9"/>
      <c r="N223" s="9" t="str">
        <f t="shared" si="7"/>
        <v>{ "v": 0, "n": { "EN": "0", "SYS":"0 "}, "company": "0", "conv": [0,0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EE8FF-5B7F-41A9-929B-B070D90227C1}">
  <dimension ref="A1:F23"/>
  <sheetViews>
    <sheetView topLeftCell="A2" workbookViewId="0">
      <selection activeCell="F22" sqref="F22"/>
    </sheetView>
  </sheetViews>
  <sheetFormatPr defaultRowHeight="14.45"/>
  <sheetData>
    <row r="1" spans="1:6">
      <c r="A1" s="136" t="s">
        <v>1505</v>
      </c>
      <c r="E1" t="s">
        <v>3155</v>
      </c>
    </row>
    <row r="2" spans="1:6">
      <c r="A2" s="133" t="s">
        <v>33</v>
      </c>
      <c r="E2" t="s">
        <v>37</v>
      </c>
      <c r="F2" t="s">
        <v>1291</v>
      </c>
    </row>
    <row r="3" spans="1:6">
      <c r="A3" s="133" t="s">
        <v>246</v>
      </c>
      <c r="E3" t="s">
        <v>3156</v>
      </c>
      <c r="F3" t="s">
        <v>3157</v>
      </c>
    </row>
    <row r="4" spans="1:6">
      <c r="A4" s="133" t="s">
        <v>277</v>
      </c>
      <c r="E4" t="s">
        <v>3158</v>
      </c>
      <c r="F4" t="s">
        <v>3159</v>
      </c>
    </row>
    <row r="5" spans="1:6">
      <c r="A5" s="133" t="s">
        <v>838</v>
      </c>
      <c r="E5" t="s">
        <v>3160</v>
      </c>
      <c r="F5" t="s">
        <v>3161</v>
      </c>
    </row>
    <row r="6" spans="1:6" ht="28.9">
      <c r="A6" s="134" t="s">
        <v>796</v>
      </c>
      <c r="E6" s="357" t="s">
        <v>3162</v>
      </c>
      <c r="F6" t="s">
        <v>3163</v>
      </c>
    </row>
    <row r="7" spans="1:6">
      <c r="A7" s="133" t="s">
        <v>215</v>
      </c>
      <c r="E7" t="s">
        <v>3164</v>
      </c>
      <c r="F7" t="s">
        <v>3147</v>
      </c>
    </row>
    <row r="8" spans="1:6" ht="43.15">
      <c r="A8" s="133" t="s">
        <v>405</v>
      </c>
      <c r="E8" t="s">
        <v>3165</v>
      </c>
      <c r="F8" s="357" t="s">
        <v>3166</v>
      </c>
    </row>
    <row r="9" spans="1:6">
      <c r="A9" s="133" t="s">
        <v>1506</v>
      </c>
      <c r="E9" t="s">
        <v>3167</v>
      </c>
      <c r="F9" t="s">
        <v>3161</v>
      </c>
    </row>
    <row r="10" spans="1:6" ht="28.9">
      <c r="A10" s="133" t="s">
        <v>1507</v>
      </c>
      <c r="E10" t="s">
        <v>3168</v>
      </c>
      <c r="F10" s="357" t="s">
        <v>3169</v>
      </c>
    </row>
    <row r="11" spans="1:6" ht="72">
      <c r="A11" s="135" t="s">
        <v>591</v>
      </c>
      <c r="E11" t="s">
        <v>3170</v>
      </c>
      <c r="F11" s="357" t="s">
        <v>3171</v>
      </c>
    </row>
    <row r="12" spans="1:6" ht="57.6">
      <c r="A12" s="135" t="s">
        <v>427</v>
      </c>
      <c r="E12" t="s">
        <v>3172</v>
      </c>
    </row>
    <row r="13" spans="1:6">
      <c r="A13" s="133" t="s">
        <v>525</v>
      </c>
      <c r="E13" t="s">
        <v>3173</v>
      </c>
      <c r="F13" t="s">
        <v>3174</v>
      </c>
    </row>
    <row r="14" spans="1:6">
      <c r="A14" s="133" t="s">
        <v>543</v>
      </c>
      <c r="E14" t="s">
        <v>3175</v>
      </c>
      <c r="F14" t="s">
        <v>3176</v>
      </c>
    </row>
    <row r="15" spans="1:6">
      <c r="A15" s="137" t="s">
        <v>373</v>
      </c>
      <c r="E15" t="s">
        <v>3177</v>
      </c>
      <c r="F15" t="s">
        <v>3178</v>
      </c>
    </row>
    <row r="16" spans="1:6">
      <c r="A16" s="137" t="s">
        <v>1508</v>
      </c>
      <c r="E16" t="s">
        <v>3179</v>
      </c>
      <c r="F16" t="s">
        <v>3180</v>
      </c>
    </row>
    <row r="17" spans="1:6">
      <c r="A17" s="137" t="s">
        <v>3181</v>
      </c>
      <c r="E17" t="s">
        <v>3182</v>
      </c>
      <c r="F17" t="s">
        <v>3183</v>
      </c>
    </row>
    <row r="18" spans="1:6">
      <c r="A18" s="137" t="s">
        <v>3184</v>
      </c>
      <c r="E18" t="s">
        <v>3185</v>
      </c>
      <c r="F18" t="s">
        <v>3154</v>
      </c>
    </row>
    <row r="19" spans="1:6">
      <c r="A19" s="137" t="s">
        <v>3186</v>
      </c>
      <c r="E19" t="s">
        <v>3187</v>
      </c>
      <c r="F19" t="s">
        <v>3188</v>
      </c>
    </row>
    <row r="20" spans="1:6">
      <c r="E20" t="s">
        <v>3189</v>
      </c>
      <c r="F20" t="s">
        <v>3190</v>
      </c>
    </row>
    <row r="21" spans="1:6">
      <c r="E21" t="s">
        <v>3191</v>
      </c>
      <c r="F21" t="s">
        <v>3192</v>
      </c>
    </row>
    <row r="22" spans="1:6">
      <c r="E22" t="s">
        <v>3193</v>
      </c>
      <c r="F22" t="s">
        <v>3194</v>
      </c>
    </row>
    <row r="23" spans="1:6">
      <c r="F23" t="s">
        <v>3195</v>
      </c>
    </row>
  </sheetData>
  <protectedRanges>
    <protectedRange algorithmName="SHA-512" hashValue="Z9ycIa4oHidBQMiAt2AX+gEEC8jqt1cFsinus+ISfocoorFUftCWJCXseWx0PHeGIDpFuelXNgjA0mo9HX1gdw==" saltValue="XRg85kHByHmpaZ1VL1h73w==" spinCount="100000" sqref="A2" name="Outlet Details_3_1"/>
    <protectedRange algorithmName="SHA-512" hashValue="iHBnd05iYpG1+tnWmFRUb1VQfbe80GZa6LODTIcXJBT6t50yyUwGjmaoQtayVaOjabnOjEBtxJb57EHDRou0xA==" saltValue="/YIOpUEHl96pmnrCwbESWw==" spinCount="100000" sqref="A6 B4:D4 F5 F9" name="End"/>
  </protectedRange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5B4F6-E7EB-41D3-BDD0-35A7A44FB543}">
  <sheetPr codeName="Sheet17"/>
  <dimension ref="B2:H82"/>
  <sheetViews>
    <sheetView zoomScale="70" zoomScaleNormal="70" workbookViewId="0">
      <selection activeCell="A5" sqref="A5"/>
    </sheetView>
  </sheetViews>
  <sheetFormatPr defaultColWidth="10.7109375" defaultRowHeight="14.45"/>
  <cols>
    <col min="3" max="3" width="6" bestFit="1" customWidth="1"/>
    <col min="4" max="4" width="12.28515625" bestFit="1" customWidth="1"/>
    <col min="5" max="5" width="42" bestFit="1" customWidth="1"/>
    <col min="7" max="7" width="15.42578125" customWidth="1"/>
    <col min="8" max="8" width="123" bestFit="1" customWidth="1"/>
  </cols>
  <sheetData>
    <row r="2" spans="2:8">
      <c r="B2" s="111" t="s">
        <v>3142</v>
      </c>
      <c r="C2" s="111" t="s">
        <v>20</v>
      </c>
      <c r="D2" s="111" t="s">
        <v>3142</v>
      </c>
      <c r="E2" s="111" t="s">
        <v>3143</v>
      </c>
    </row>
    <row r="3" spans="2:8">
      <c r="B3" s="9" t="s">
        <v>3148</v>
      </c>
      <c r="C3" s="9" t="e">
        <f>+'I&amp;M Lists'!#REF!</f>
        <v>#REF!</v>
      </c>
      <c r="D3" s="9" t="s">
        <v>3196</v>
      </c>
      <c r="E3" s="9" t="e">
        <f>'I&amp;M Lists'!#REF!</f>
        <v>#REF!</v>
      </c>
      <c r="F3" s="9" t="s">
        <v>3150</v>
      </c>
      <c r="G3" s="9" t="s">
        <v>3163</v>
      </c>
      <c r="H3" s="9" t="e">
        <f t="shared" ref="H3:H34" si="0">CONCATENATE(B3,C3,D3,E3,F3,E3,G3)</f>
        <v>#REF!</v>
      </c>
    </row>
    <row r="4" spans="2:8">
      <c r="B4" s="9" t="s">
        <v>3148</v>
      </c>
      <c r="C4" s="9" t="e">
        <f>+'I&amp;M Lists'!#REF!</f>
        <v>#REF!</v>
      </c>
      <c r="D4" s="9" t="s">
        <v>3196</v>
      </c>
      <c r="E4" s="9" t="e">
        <f>'I&amp;M Lists'!#REF!</f>
        <v>#REF!</v>
      </c>
      <c r="F4" s="9" t="s">
        <v>3150</v>
      </c>
      <c r="G4" s="9" t="s">
        <v>3163</v>
      </c>
      <c r="H4" s="9" t="e">
        <f t="shared" si="0"/>
        <v>#REF!</v>
      </c>
    </row>
    <row r="5" spans="2:8">
      <c r="B5" s="9" t="s">
        <v>3148</v>
      </c>
      <c r="C5" s="9" t="e">
        <f>+'I&amp;M Lists'!#REF!</f>
        <v>#REF!</v>
      </c>
      <c r="D5" s="9" t="s">
        <v>3196</v>
      </c>
      <c r="E5" s="9" t="e">
        <f>'I&amp;M Lists'!#REF!</f>
        <v>#REF!</v>
      </c>
      <c r="F5" s="9" t="s">
        <v>3150</v>
      </c>
      <c r="G5" s="9" t="s">
        <v>3163</v>
      </c>
      <c r="H5" s="9" t="e">
        <f t="shared" si="0"/>
        <v>#REF!</v>
      </c>
    </row>
    <row r="6" spans="2:8">
      <c r="B6" s="9" t="s">
        <v>3148</v>
      </c>
      <c r="C6" s="9" t="e">
        <f>+'I&amp;M Lists'!#REF!</f>
        <v>#REF!</v>
      </c>
      <c r="D6" s="9" t="s">
        <v>3196</v>
      </c>
      <c r="E6" s="9" t="e">
        <f>'I&amp;M Lists'!#REF!</f>
        <v>#REF!</v>
      </c>
      <c r="F6" s="9" t="s">
        <v>3150</v>
      </c>
      <c r="G6" s="9" t="s">
        <v>3163</v>
      </c>
      <c r="H6" s="9" t="e">
        <f t="shared" si="0"/>
        <v>#REF!</v>
      </c>
    </row>
    <row r="7" spans="2:8">
      <c r="B7" s="9" t="s">
        <v>3148</v>
      </c>
      <c r="C7" s="9" t="e">
        <f>+'I&amp;M Lists'!#REF!</f>
        <v>#REF!</v>
      </c>
      <c r="D7" s="9" t="s">
        <v>3196</v>
      </c>
      <c r="E7" s="9" t="e">
        <f>'I&amp;M Lists'!#REF!</f>
        <v>#REF!</v>
      </c>
      <c r="F7" s="9" t="s">
        <v>3150</v>
      </c>
      <c r="G7" s="9" t="s">
        <v>3163</v>
      </c>
      <c r="H7" s="9" t="e">
        <f t="shared" si="0"/>
        <v>#REF!</v>
      </c>
    </row>
    <row r="8" spans="2:8">
      <c r="B8" s="9" t="s">
        <v>3148</v>
      </c>
      <c r="C8" s="9" t="e">
        <f>+'I&amp;M Lists'!#REF!</f>
        <v>#REF!</v>
      </c>
      <c r="D8" s="9" t="s">
        <v>3196</v>
      </c>
      <c r="E8" s="9" t="e">
        <f>'I&amp;M Lists'!#REF!</f>
        <v>#REF!</v>
      </c>
      <c r="F8" s="9" t="s">
        <v>3150</v>
      </c>
      <c r="G8" s="9" t="s">
        <v>3163</v>
      </c>
      <c r="H8" s="9" t="e">
        <f t="shared" si="0"/>
        <v>#REF!</v>
      </c>
    </row>
    <row r="9" spans="2:8">
      <c r="B9" s="9" t="s">
        <v>3148</v>
      </c>
      <c r="C9" s="9" t="e">
        <f>+'I&amp;M Lists'!#REF!</f>
        <v>#REF!</v>
      </c>
      <c r="D9" s="9" t="s">
        <v>3196</v>
      </c>
      <c r="E9" s="9" t="e">
        <f>'I&amp;M Lists'!#REF!</f>
        <v>#REF!</v>
      </c>
      <c r="F9" s="9" t="s">
        <v>3150</v>
      </c>
      <c r="G9" s="9" t="s">
        <v>3163</v>
      </c>
      <c r="H9" s="9" t="e">
        <f t="shared" si="0"/>
        <v>#REF!</v>
      </c>
    </row>
    <row r="10" spans="2:8">
      <c r="B10" s="9" t="s">
        <v>3148</v>
      </c>
      <c r="C10" s="9" t="e">
        <f>+'I&amp;M Lists'!#REF!</f>
        <v>#REF!</v>
      </c>
      <c r="D10" s="9" t="s">
        <v>3196</v>
      </c>
      <c r="E10" s="9" t="e">
        <f>'I&amp;M Lists'!#REF!</f>
        <v>#REF!</v>
      </c>
      <c r="F10" s="9" t="s">
        <v>3150</v>
      </c>
      <c r="G10" s="9" t="s">
        <v>3163</v>
      </c>
      <c r="H10" s="9" t="e">
        <f t="shared" si="0"/>
        <v>#REF!</v>
      </c>
    </row>
    <row r="11" spans="2:8">
      <c r="B11" s="9" t="s">
        <v>3148</v>
      </c>
      <c r="C11" s="9" t="e">
        <f>+'I&amp;M Lists'!#REF!</f>
        <v>#REF!</v>
      </c>
      <c r="D11" s="9" t="s">
        <v>3196</v>
      </c>
      <c r="E11" s="9" t="e">
        <f>'I&amp;M Lists'!#REF!</f>
        <v>#REF!</v>
      </c>
      <c r="F11" s="9" t="s">
        <v>3150</v>
      </c>
      <c r="G11" s="9" t="s">
        <v>3163</v>
      </c>
      <c r="H11" s="9" t="e">
        <f t="shared" si="0"/>
        <v>#REF!</v>
      </c>
    </row>
    <row r="12" spans="2:8">
      <c r="B12" s="9" t="s">
        <v>3148</v>
      </c>
      <c r="C12" s="9" t="e">
        <f>+'I&amp;M Lists'!#REF!</f>
        <v>#REF!</v>
      </c>
      <c r="D12" s="9" t="s">
        <v>3196</v>
      </c>
      <c r="E12" s="9" t="e">
        <f>'I&amp;M Lists'!#REF!</f>
        <v>#REF!</v>
      </c>
      <c r="F12" s="9" t="s">
        <v>3150</v>
      </c>
      <c r="G12" s="9" t="s">
        <v>3163</v>
      </c>
      <c r="H12" s="9" t="e">
        <f t="shared" si="0"/>
        <v>#REF!</v>
      </c>
    </row>
    <row r="13" spans="2:8">
      <c r="B13" s="9" t="s">
        <v>3148</v>
      </c>
      <c r="C13" s="9" t="e">
        <f>+'I&amp;M Lists'!#REF!</f>
        <v>#REF!</v>
      </c>
      <c r="D13" s="9" t="s">
        <v>3196</v>
      </c>
      <c r="E13" s="9" t="e">
        <f>'I&amp;M Lists'!#REF!</f>
        <v>#REF!</v>
      </c>
      <c r="F13" s="9" t="s">
        <v>3150</v>
      </c>
      <c r="G13" s="9" t="s">
        <v>3163</v>
      </c>
      <c r="H13" s="9" t="e">
        <f t="shared" si="0"/>
        <v>#REF!</v>
      </c>
    </row>
    <row r="14" spans="2:8">
      <c r="B14" s="9" t="s">
        <v>3148</v>
      </c>
      <c r="C14" s="9" t="e">
        <f>+'I&amp;M Lists'!#REF!</f>
        <v>#REF!</v>
      </c>
      <c r="D14" s="9" t="s">
        <v>3196</v>
      </c>
      <c r="E14" s="9" t="e">
        <f>'I&amp;M Lists'!#REF!</f>
        <v>#REF!</v>
      </c>
      <c r="F14" s="9" t="s">
        <v>3150</v>
      </c>
      <c r="G14" s="9" t="s">
        <v>3163</v>
      </c>
      <c r="H14" s="9" t="e">
        <f t="shared" si="0"/>
        <v>#REF!</v>
      </c>
    </row>
    <row r="15" spans="2:8">
      <c r="B15" s="9" t="s">
        <v>3148</v>
      </c>
      <c r="C15" s="9" t="e">
        <f>+'I&amp;M Lists'!#REF!</f>
        <v>#REF!</v>
      </c>
      <c r="D15" s="9" t="s">
        <v>3196</v>
      </c>
      <c r="E15" s="9" t="e">
        <f>'I&amp;M Lists'!#REF!</f>
        <v>#REF!</v>
      </c>
      <c r="F15" s="9" t="s">
        <v>3150</v>
      </c>
      <c r="G15" s="9" t="s">
        <v>3163</v>
      </c>
      <c r="H15" s="9" t="e">
        <f t="shared" si="0"/>
        <v>#REF!</v>
      </c>
    </row>
    <row r="16" spans="2:8">
      <c r="B16" s="9" t="s">
        <v>3148</v>
      </c>
      <c r="C16" s="9" t="e">
        <f>+'I&amp;M Lists'!#REF!</f>
        <v>#REF!</v>
      </c>
      <c r="D16" s="9" t="s">
        <v>3196</v>
      </c>
      <c r="E16" s="9" t="e">
        <f>'I&amp;M Lists'!#REF!</f>
        <v>#REF!</v>
      </c>
      <c r="F16" s="9" t="s">
        <v>3150</v>
      </c>
      <c r="G16" s="9" t="s">
        <v>3163</v>
      </c>
      <c r="H16" s="9" t="e">
        <f t="shared" si="0"/>
        <v>#REF!</v>
      </c>
    </row>
    <row r="19" spans="2:8">
      <c r="B19" s="9" t="s">
        <v>3148</v>
      </c>
      <c r="C19" s="9">
        <f>'I&amp;M Lists'!B78</f>
        <v>1</v>
      </c>
      <c r="D19" s="9" t="s">
        <v>3196</v>
      </c>
      <c r="E19" s="9" t="str">
        <f>'I&amp;M Lists'!E78</f>
        <v>Alotau Enterprises</v>
      </c>
      <c r="F19" s="9" t="s">
        <v>3150</v>
      </c>
      <c r="G19" s="9" t="s">
        <v>3163</v>
      </c>
      <c r="H19" s="9" t="str">
        <f t="shared" si="0"/>
        <v>{ "v": 1, "n" : { "EN": "Alotau Enterprises", "SYS":"Alotau Enterprises"} },</v>
      </c>
    </row>
    <row r="20" spans="2:8">
      <c r="B20" s="9" t="s">
        <v>3148</v>
      </c>
      <c r="C20" s="9">
        <f>'I&amp;M Lists'!B79</f>
        <v>2</v>
      </c>
      <c r="D20" s="9" t="s">
        <v>3196</v>
      </c>
      <c r="E20" s="9" t="str">
        <f>'I&amp;M Lists'!E79</f>
        <v>Andersons Foodland - Kpo</v>
      </c>
      <c r="F20" s="9" t="s">
        <v>3150</v>
      </c>
      <c r="G20" s="9" t="s">
        <v>3163</v>
      </c>
      <c r="H20" s="9" t="str">
        <f t="shared" si="0"/>
        <v>{ "v": 2, "n" : { "EN": "Andersons Foodland - Kpo", "SYS":"Andersons Foodland - Kpo"} },</v>
      </c>
    </row>
    <row r="21" spans="2:8">
      <c r="B21" s="9" t="s">
        <v>3148</v>
      </c>
      <c r="C21" s="9">
        <f>'I&amp;M Lists'!B80</f>
        <v>3</v>
      </c>
      <c r="D21" s="9" t="s">
        <v>3196</v>
      </c>
      <c r="E21" s="9" t="str">
        <f>'I&amp;M Lists'!E80</f>
        <v>Andersons Foodland Lae</v>
      </c>
      <c r="F21" s="9" t="s">
        <v>3150</v>
      </c>
      <c r="G21" s="9" t="s">
        <v>3163</v>
      </c>
      <c r="H21" s="9" t="str">
        <f t="shared" si="0"/>
        <v>{ "v": 3, "n" : { "EN": "Andersons Foodland Lae", "SYS":"Andersons Foodland Lae"} },</v>
      </c>
    </row>
    <row r="22" spans="2:8">
      <c r="B22" s="9" t="s">
        <v>3148</v>
      </c>
      <c r="C22" s="9">
        <f>'I&amp;M Lists'!B81</f>
        <v>4</v>
      </c>
      <c r="D22" s="9" t="s">
        <v>3196</v>
      </c>
      <c r="E22" s="9" t="str">
        <f>'I&amp;M Lists'!E81</f>
        <v>Auskoa Limited</v>
      </c>
      <c r="F22" s="9" t="s">
        <v>3150</v>
      </c>
      <c r="G22" s="9" t="s">
        <v>3163</v>
      </c>
      <c r="H22" s="9" t="str">
        <f t="shared" si="0"/>
        <v>{ "v": 4, "n" : { "EN": "Auskoa Limited", "SYS":"Auskoa Limited"} },</v>
      </c>
    </row>
    <row r="23" spans="2:8">
      <c r="B23" s="9" t="s">
        <v>3148</v>
      </c>
      <c r="C23" s="9" t="e">
        <f>'I&amp;M Lists'!#REF!</f>
        <v>#REF!</v>
      </c>
      <c r="D23" s="9" t="s">
        <v>3196</v>
      </c>
      <c r="E23" s="9" t="e">
        <f>'I&amp;M Lists'!#REF!</f>
        <v>#REF!</v>
      </c>
      <c r="F23" s="9" t="s">
        <v>3150</v>
      </c>
      <c r="G23" s="9" t="s">
        <v>3163</v>
      </c>
      <c r="H23" s="9" t="e">
        <f t="shared" si="0"/>
        <v>#REF!</v>
      </c>
    </row>
    <row r="24" spans="2:8">
      <c r="B24" s="9" t="s">
        <v>3148</v>
      </c>
      <c r="C24" s="9" t="e">
        <f>'I&amp;M Lists'!#REF!</f>
        <v>#REF!</v>
      </c>
      <c r="D24" s="9" t="s">
        <v>3196</v>
      </c>
      <c r="E24" s="9" t="e">
        <f>'I&amp;M Lists'!#REF!</f>
        <v>#REF!</v>
      </c>
      <c r="F24" s="9" t="s">
        <v>3150</v>
      </c>
      <c r="G24" s="9" t="s">
        <v>3163</v>
      </c>
      <c r="H24" s="9" t="e">
        <f t="shared" si="0"/>
        <v>#REF!</v>
      </c>
    </row>
    <row r="25" spans="2:8">
      <c r="B25" s="9" t="s">
        <v>3148</v>
      </c>
      <c r="C25" s="9" t="e">
        <f>'I&amp;M Lists'!#REF!</f>
        <v>#REF!</v>
      </c>
      <c r="D25" s="9" t="s">
        <v>3196</v>
      </c>
      <c r="E25" s="9" t="e">
        <f>'I&amp;M Lists'!#REF!</f>
        <v>#REF!</v>
      </c>
      <c r="F25" s="9" t="s">
        <v>3150</v>
      </c>
      <c r="G25" s="9" t="s">
        <v>3163</v>
      </c>
      <c r="H25" s="9" t="e">
        <f t="shared" si="0"/>
        <v>#REF!</v>
      </c>
    </row>
    <row r="26" spans="2:8">
      <c r="B26" s="9" t="s">
        <v>3148</v>
      </c>
      <c r="C26" s="9" t="e">
        <f>'I&amp;M Lists'!#REF!</f>
        <v>#REF!</v>
      </c>
      <c r="D26" s="9" t="s">
        <v>3196</v>
      </c>
      <c r="E26" s="9" t="e">
        <f>'I&amp;M Lists'!#REF!</f>
        <v>#REF!</v>
      </c>
      <c r="F26" s="9" t="s">
        <v>3150</v>
      </c>
      <c r="G26" s="9" t="s">
        <v>3163</v>
      </c>
      <c r="H26" s="9" t="e">
        <f t="shared" si="0"/>
        <v>#REF!</v>
      </c>
    </row>
    <row r="27" spans="2:8">
      <c r="B27" s="9" t="s">
        <v>3148</v>
      </c>
      <c r="C27" s="9" t="e">
        <f>'I&amp;M Lists'!#REF!</f>
        <v>#REF!</v>
      </c>
      <c r="D27" s="9" t="s">
        <v>3196</v>
      </c>
      <c r="E27" s="9" t="e">
        <f>'I&amp;M Lists'!#REF!</f>
        <v>#REF!</v>
      </c>
      <c r="F27" s="9" t="s">
        <v>3150</v>
      </c>
      <c r="G27" s="9" t="s">
        <v>3163</v>
      </c>
      <c r="H27" s="9" t="e">
        <f t="shared" si="0"/>
        <v>#REF!</v>
      </c>
    </row>
    <row r="28" spans="2:8">
      <c r="B28" s="9" t="s">
        <v>3148</v>
      </c>
      <c r="C28" s="9" t="e">
        <f>'I&amp;M Lists'!#REF!</f>
        <v>#REF!</v>
      </c>
      <c r="D28" s="9" t="s">
        <v>3196</v>
      </c>
      <c r="E28" s="9" t="e">
        <f>'I&amp;M Lists'!#REF!</f>
        <v>#REF!</v>
      </c>
      <c r="F28" s="9" t="s">
        <v>3150</v>
      </c>
      <c r="G28" s="9" t="s">
        <v>3163</v>
      </c>
      <c r="H28" s="9" t="e">
        <f t="shared" si="0"/>
        <v>#REF!</v>
      </c>
    </row>
    <row r="29" spans="2:8">
      <c r="B29" s="9" t="s">
        <v>3148</v>
      </c>
      <c r="C29" s="9" t="e">
        <f>'I&amp;M Lists'!#REF!</f>
        <v>#REF!</v>
      </c>
      <c r="D29" s="9" t="s">
        <v>3196</v>
      </c>
      <c r="E29" s="9" t="e">
        <f>'I&amp;M Lists'!#REF!</f>
        <v>#REF!</v>
      </c>
      <c r="F29" s="9" t="s">
        <v>3150</v>
      </c>
      <c r="G29" s="9" t="s">
        <v>3163</v>
      </c>
      <c r="H29" s="9" t="e">
        <f t="shared" si="0"/>
        <v>#REF!</v>
      </c>
    </row>
    <row r="30" spans="2:8">
      <c r="B30" s="9" t="s">
        <v>3148</v>
      </c>
      <c r="C30" s="9" t="e">
        <f>'I&amp;M Lists'!#REF!</f>
        <v>#REF!</v>
      </c>
      <c r="D30" s="9" t="s">
        <v>3196</v>
      </c>
      <c r="E30" s="9" t="e">
        <f>'I&amp;M Lists'!#REF!</f>
        <v>#REF!</v>
      </c>
      <c r="F30" s="9" t="s">
        <v>3150</v>
      </c>
      <c r="G30" s="9" t="s">
        <v>3163</v>
      </c>
      <c r="H30" s="9" t="e">
        <f t="shared" si="0"/>
        <v>#REF!</v>
      </c>
    </row>
    <row r="31" spans="2:8">
      <c r="B31" s="9" t="s">
        <v>3148</v>
      </c>
      <c r="C31" s="9" t="e">
        <f>'I&amp;M Lists'!#REF!</f>
        <v>#REF!</v>
      </c>
      <c r="D31" s="9" t="s">
        <v>3196</v>
      </c>
      <c r="E31" s="9" t="e">
        <f>'I&amp;M Lists'!#REF!</f>
        <v>#REF!</v>
      </c>
      <c r="F31" s="9" t="s">
        <v>3150</v>
      </c>
      <c r="G31" s="9" t="s">
        <v>3163</v>
      </c>
      <c r="H31" s="9" t="e">
        <f t="shared" si="0"/>
        <v>#REF!</v>
      </c>
    </row>
    <row r="32" spans="2:8">
      <c r="B32" s="9" t="s">
        <v>3148</v>
      </c>
      <c r="C32" s="9" t="e">
        <f>'I&amp;M Lists'!#REF!</f>
        <v>#REF!</v>
      </c>
      <c r="D32" s="9" t="s">
        <v>3196</v>
      </c>
      <c r="E32" s="9" t="e">
        <f>'I&amp;M Lists'!#REF!</f>
        <v>#REF!</v>
      </c>
      <c r="F32" s="9" t="s">
        <v>3150</v>
      </c>
      <c r="G32" s="9" t="s">
        <v>3163</v>
      </c>
      <c r="H32" s="9" t="e">
        <f t="shared" si="0"/>
        <v>#REF!</v>
      </c>
    </row>
    <row r="33" spans="2:8">
      <c r="B33" s="9" t="s">
        <v>3148</v>
      </c>
      <c r="C33" s="9" t="e">
        <f>'I&amp;M Lists'!#REF!</f>
        <v>#REF!</v>
      </c>
      <c r="D33" s="9" t="s">
        <v>3196</v>
      </c>
      <c r="E33" s="9" t="e">
        <f>'I&amp;M Lists'!#REF!</f>
        <v>#REF!</v>
      </c>
      <c r="F33" s="9" t="s">
        <v>3150</v>
      </c>
      <c r="G33" s="9" t="s">
        <v>3163</v>
      </c>
      <c r="H33" s="9" t="e">
        <f t="shared" si="0"/>
        <v>#REF!</v>
      </c>
    </row>
    <row r="34" spans="2:8">
      <c r="B34" s="9" t="s">
        <v>3148</v>
      </c>
      <c r="C34" s="9" t="e">
        <f>'I&amp;M Lists'!#REF!</f>
        <v>#REF!</v>
      </c>
      <c r="D34" s="9" t="s">
        <v>3196</v>
      </c>
      <c r="E34" s="9" t="e">
        <f>'I&amp;M Lists'!#REF!</f>
        <v>#REF!</v>
      </c>
      <c r="F34" s="9" t="s">
        <v>3150</v>
      </c>
      <c r="G34" s="9" t="s">
        <v>3163</v>
      </c>
      <c r="H34" s="9" t="e">
        <f t="shared" si="0"/>
        <v>#REF!</v>
      </c>
    </row>
    <row r="35" spans="2:8">
      <c r="B35" s="9" t="s">
        <v>3148</v>
      </c>
      <c r="C35" s="9" t="e">
        <f>'I&amp;M Lists'!#REF!</f>
        <v>#REF!</v>
      </c>
      <c r="D35" s="9" t="s">
        <v>3196</v>
      </c>
      <c r="E35" s="9" t="e">
        <f>'I&amp;M Lists'!#REF!</f>
        <v>#REF!</v>
      </c>
      <c r="F35" s="9" t="s">
        <v>3150</v>
      </c>
      <c r="G35" s="9" t="s">
        <v>3163</v>
      </c>
      <c r="H35" s="9" t="e">
        <f t="shared" ref="H35:H82" si="1">CONCATENATE(B35,C35,D35,E35,F35,E35,G35)</f>
        <v>#REF!</v>
      </c>
    </row>
    <row r="36" spans="2:8">
      <c r="B36" s="9" t="s">
        <v>3148</v>
      </c>
      <c r="C36" s="9" t="e">
        <f>'I&amp;M Lists'!#REF!</f>
        <v>#REF!</v>
      </c>
      <c r="D36" s="9" t="s">
        <v>3196</v>
      </c>
      <c r="E36" s="9" t="e">
        <f>'I&amp;M Lists'!#REF!</f>
        <v>#REF!</v>
      </c>
      <c r="F36" s="9" t="s">
        <v>3150</v>
      </c>
      <c r="G36" s="9" t="s">
        <v>3163</v>
      </c>
      <c r="H36" s="9" t="e">
        <f t="shared" si="1"/>
        <v>#REF!</v>
      </c>
    </row>
    <row r="37" spans="2:8">
      <c r="B37" s="9" t="s">
        <v>3148</v>
      </c>
      <c r="C37" s="9" t="e">
        <f>'I&amp;M Lists'!#REF!</f>
        <v>#REF!</v>
      </c>
      <c r="D37" s="9" t="s">
        <v>3196</v>
      </c>
      <c r="E37" s="9" t="e">
        <f>'I&amp;M Lists'!#REF!</f>
        <v>#REF!</v>
      </c>
      <c r="F37" s="9" t="s">
        <v>3150</v>
      </c>
      <c r="G37" s="9" t="s">
        <v>3163</v>
      </c>
      <c r="H37" s="9" t="e">
        <f t="shared" si="1"/>
        <v>#REF!</v>
      </c>
    </row>
    <row r="38" spans="2:8">
      <c r="B38" s="9" t="s">
        <v>3148</v>
      </c>
      <c r="C38" s="9" t="e">
        <f>'I&amp;M Lists'!#REF!</f>
        <v>#REF!</v>
      </c>
      <c r="D38" s="9" t="s">
        <v>3196</v>
      </c>
      <c r="E38" s="9" t="e">
        <f>'I&amp;M Lists'!#REF!</f>
        <v>#REF!</v>
      </c>
      <c r="F38" s="9" t="s">
        <v>3150</v>
      </c>
      <c r="G38" s="9" t="s">
        <v>3163</v>
      </c>
      <c r="H38" s="9" t="e">
        <f t="shared" si="1"/>
        <v>#REF!</v>
      </c>
    </row>
    <row r="39" spans="2:8">
      <c r="B39" s="9" t="s">
        <v>3148</v>
      </c>
      <c r="C39" s="9" t="e">
        <f>'I&amp;M Lists'!#REF!</f>
        <v>#REF!</v>
      </c>
      <c r="D39" s="9" t="s">
        <v>3196</v>
      </c>
      <c r="E39" s="9" t="e">
        <f>'I&amp;M Lists'!#REF!</f>
        <v>#REF!</v>
      </c>
      <c r="F39" s="9" t="s">
        <v>3150</v>
      </c>
      <c r="G39" s="9" t="s">
        <v>3163</v>
      </c>
      <c r="H39" s="9" t="e">
        <f t="shared" si="1"/>
        <v>#REF!</v>
      </c>
    </row>
    <row r="40" spans="2:8">
      <c r="B40" s="9" t="s">
        <v>3148</v>
      </c>
      <c r="C40" s="9" t="e">
        <f>'I&amp;M Lists'!#REF!</f>
        <v>#REF!</v>
      </c>
      <c r="D40" s="9" t="s">
        <v>3196</v>
      </c>
      <c r="E40" s="9" t="e">
        <f>'I&amp;M Lists'!#REF!</f>
        <v>#REF!</v>
      </c>
      <c r="F40" s="9" t="s">
        <v>3150</v>
      </c>
      <c r="G40" s="9" t="s">
        <v>3163</v>
      </c>
      <c r="H40" s="9" t="e">
        <f t="shared" si="1"/>
        <v>#REF!</v>
      </c>
    </row>
    <row r="41" spans="2:8">
      <c r="B41" s="9" t="s">
        <v>3148</v>
      </c>
      <c r="C41" s="9" t="e">
        <f>'I&amp;M Lists'!#REF!</f>
        <v>#REF!</v>
      </c>
      <c r="D41" s="9" t="s">
        <v>3196</v>
      </c>
      <c r="E41" s="9" t="e">
        <f>'I&amp;M Lists'!#REF!</f>
        <v>#REF!</v>
      </c>
      <c r="F41" s="9" t="s">
        <v>3150</v>
      </c>
      <c r="G41" s="9" t="s">
        <v>3163</v>
      </c>
      <c r="H41" s="9" t="e">
        <f t="shared" si="1"/>
        <v>#REF!</v>
      </c>
    </row>
    <row r="42" spans="2:8">
      <c r="B42" s="9" t="s">
        <v>3148</v>
      </c>
      <c r="C42" s="9" t="e">
        <f>'I&amp;M Lists'!#REF!</f>
        <v>#REF!</v>
      </c>
      <c r="D42" s="9" t="s">
        <v>3196</v>
      </c>
      <c r="E42" s="9" t="e">
        <f>'I&amp;M Lists'!#REF!</f>
        <v>#REF!</v>
      </c>
      <c r="F42" s="9" t="s">
        <v>3150</v>
      </c>
      <c r="G42" s="9" t="s">
        <v>3163</v>
      </c>
      <c r="H42" s="9" t="e">
        <f t="shared" si="1"/>
        <v>#REF!</v>
      </c>
    </row>
    <row r="43" spans="2:8">
      <c r="B43" s="9" t="s">
        <v>3148</v>
      </c>
      <c r="C43" s="9" t="e">
        <f>'I&amp;M Lists'!#REF!</f>
        <v>#REF!</v>
      </c>
      <c r="D43" s="9" t="s">
        <v>3196</v>
      </c>
      <c r="E43" s="9" t="e">
        <f>'I&amp;M Lists'!#REF!</f>
        <v>#REF!</v>
      </c>
      <c r="F43" s="9" t="s">
        <v>3150</v>
      </c>
      <c r="G43" s="9" t="s">
        <v>3163</v>
      </c>
      <c r="H43" s="9" t="e">
        <f t="shared" si="1"/>
        <v>#REF!</v>
      </c>
    </row>
    <row r="44" spans="2:8">
      <c r="B44" s="9" t="s">
        <v>3148</v>
      </c>
      <c r="C44" s="9" t="e">
        <f>'I&amp;M Lists'!#REF!</f>
        <v>#REF!</v>
      </c>
      <c r="D44" s="9" t="s">
        <v>3196</v>
      </c>
      <c r="E44" s="9" t="e">
        <f>'I&amp;M Lists'!#REF!</f>
        <v>#REF!</v>
      </c>
      <c r="F44" s="9" t="s">
        <v>3150</v>
      </c>
      <c r="G44" s="9" t="s">
        <v>3163</v>
      </c>
      <c r="H44" s="9" t="e">
        <f t="shared" si="1"/>
        <v>#REF!</v>
      </c>
    </row>
    <row r="45" spans="2:8">
      <c r="B45" s="9" t="s">
        <v>3148</v>
      </c>
      <c r="C45" s="9" t="e">
        <f>'I&amp;M Lists'!#REF!</f>
        <v>#REF!</v>
      </c>
      <c r="D45" s="9" t="s">
        <v>3196</v>
      </c>
      <c r="E45" s="9" t="e">
        <f>'I&amp;M Lists'!#REF!</f>
        <v>#REF!</v>
      </c>
      <c r="F45" s="9" t="s">
        <v>3150</v>
      </c>
      <c r="G45" s="9" t="s">
        <v>3163</v>
      </c>
      <c r="H45" s="9" t="e">
        <f t="shared" si="1"/>
        <v>#REF!</v>
      </c>
    </row>
    <row r="46" spans="2:8">
      <c r="B46" s="9" t="s">
        <v>3148</v>
      </c>
      <c r="C46" s="9" t="e">
        <f>'I&amp;M Lists'!#REF!</f>
        <v>#REF!</v>
      </c>
      <c r="D46" s="9" t="s">
        <v>3196</v>
      </c>
      <c r="E46" s="9" t="e">
        <f>'I&amp;M Lists'!#REF!</f>
        <v>#REF!</v>
      </c>
      <c r="F46" s="9" t="s">
        <v>3150</v>
      </c>
      <c r="G46" s="9" t="s">
        <v>3163</v>
      </c>
      <c r="H46" s="9" t="e">
        <f t="shared" si="1"/>
        <v>#REF!</v>
      </c>
    </row>
    <row r="47" spans="2:8">
      <c r="B47" s="9" t="s">
        <v>3148</v>
      </c>
      <c r="C47" s="9" t="e">
        <f>'I&amp;M Lists'!#REF!</f>
        <v>#REF!</v>
      </c>
      <c r="D47" s="9" t="s">
        <v>3196</v>
      </c>
      <c r="E47" s="9" t="e">
        <f>'I&amp;M Lists'!#REF!</f>
        <v>#REF!</v>
      </c>
      <c r="F47" s="9" t="s">
        <v>3150</v>
      </c>
      <c r="G47" s="9" t="s">
        <v>3163</v>
      </c>
      <c r="H47" s="9" t="e">
        <f t="shared" si="1"/>
        <v>#REF!</v>
      </c>
    </row>
    <row r="48" spans="2:8">
      <c r="B48" s="9" t="s">
        <v>3148</v>
      </c>
      <c r="C48" s="9" t="e">
        <f>'I&amp;M Lists'!#REF!</f>
        <v>#REF!</v>
      </c>
      <c r="D48" s="9" t="s">
        <v>3196</v>
      </c>
      <c r="E48" s="9" t="e">
        <f>'I&amp;M Lists'!#REF!</f>
        <v>#REF!</v>
      </c>
      <c r="F48" s="9" t="s">
        <v>3150</v>
      </c>
      <c r="G48" s="9" t="s">
        <v>3163</v>
      </c>
      <c r="H48" s="9" t="e">
        <f t="shared" si="1"/>
        <v>#REF!</v>
      </c>
    </row>
    <row r="49" spans="2:8">
      <c r="B49" s="9" t="s">
        <v>3148</v>
      </c>
      <c r="C49" s="9" t="e">
        <f>'I&amp;M Lists'!#REF!</f>
        <v>#REF!</v>
      </c>
      <c r="D49" s="9" t="s">
        <v>3196</v>
      </c>
      <c r="E49" s="9" t="e">
        <f>'I&amp;M Lists'!#REF!</f>
        <v>#REF!</v>
      </c>
      <c r="F49" s="9" t="s">
        <v>3150</v>
      </c>
      <c r="G49" s="9" t="s">
        <v>3163</v>
      </c>
      <c r="H49" s="9" t="e">
        <f t="shared" si="1"/>
        <v>#REF!</v>
      </c>
    </row>
    <row r="50" spans="2:8">
      <c r="B50" s="9" t="s">
        <v>3148</v>
      </c>
      <c r="C50" s="9" t="e">
        <f>'I&amp;M Lists'!#REF!</f>
        <v>#REF!</v>
      </c>
      <c r="D50" s="9" t="s">
        <v>3196</v>
      </c>
      <c r="E50" s="9" t="e">
        <f>'I&amp;M Lists'!#REF!</f>
        <v>#REF!</v>
      </c>
      <c r="F50" s="9" t="s">
        <v>3150</v>
      </c>
      <c r="G50" s="9" t="s">
        <v>3163</v>
      </c>
      <c r="H50" s="9" t="e">
        <f t="shared" si="1"/>
        <v>#REF!</v>
      </c>
    </row>
    <row r="51" spans="2:8">
      <c r="B51" s="9" t="s">
        <v>3148</v>
      </c>
      <c r="C51" s="9" t="e">
        <f>'I&amp;M Lists'!#REF!</f>
        <v>#REF!</v>
      </c>
      <c r="D51" s="9" t="s">
        <v>3196</v>
      </c>
      <c r="E51" s="9" t="e">
        <f>'I&amp;M Lists'!#REF!</f>
        <v>#REF!</v>
      </c>
      <c r="F51" s="9" t="s">
        <v>3150</v>
      </c>
      <c r="G51" s="9" t="s">
        <v>3163</v>
      </c>
      <c r="H51" s="9" t="e">
        <f t="shared" si="1"/>
        <v>#REF!</v>
      </c>
    </row>
    <row r="52" spans="2:8">
      <c r="B52" s="9" t="s">
        <v>3148</v>
      </c>
      <c r="C52" s="9" t="e">
        <f>'I&amp;M Lists'!#REF!</f>
        <v>#REF!</v>
      </c>
      <c r="D52" s="9" t="s">
        <v>3196</v>
      </c>
      <c r="E52" s="9" t="e">
        <f>'I&amp;M Lists'!#REF!</f>
        <v>#REF!</v>
      </c>
      <c r="F52" s="9" t="s">
        <v>3150</v>
      </c>
      <c r="G52" s="9" t="s">
        <v>3163</v>
      </c>
      <c r="H52" s="9" t="e">
        <f t="shared" si="1"/>
        <v>#REF!</v>
      </c>
    </row>
    <row r="53" spans="2:8">
      <c r="B53" s="9" t="s">
        <v>3148</v>
      </c>
      <c r="C53" s="9" t="e">
        <f>'I&amp;M Lists'!#REF!</f>
        <v>#REF!</v>
      </c>
      <c r="D53" s="9" t="s">
        <v>3196</v>
      </c>
      <c r="E53" s="9" t="e">
        <f>'I&amp;M Lists'!#REF!</f>
        <v>#REF!</v>
      </c>
      <c r="F53" s="9" t="s">
        <v>3150</v>
      </c>
      <c r="G53" s="9" t="s">
        <v>3163</v>
      </c>
      <c r="H53" s="9" t="e">
        <f t="shared" si="1"/>
        <v>#REF!</v>
      </c>
    </row>
    <row r="54" spans="2:8">
      <c r="B54" s="9" t="s">
        <v>3148</v>
      </c>
      <c r="C54" s="9" t="e">
        <f>'I&amp;M Lists'!#REF!</f>
        <v>#REF!</v>
      </c>
      <c r="D54" s="9" t="s">
        <v>3196</v>
      </c>
      <c r="E54" s="9" t="e">
        <f>'I&amp;M Lists'!#REF!</f>
        <v>#REF!</v>
      </c>
      <c r="F54" s="9" t="s">
        <v>3150</v>
      </c>
      <c r="G54" s="9" t="s">
        <v>3163</v>
      </c>
      <c r="H54" s="9" t="e">
        <f t="shared" si="1"/>
        <v>#REF!</v>
      </c>
    </row>
    <row r="55" spans="2:8">
      <c r="B55" s="9" t="s">
        <v>3148</v>
      </c>
      <c r="C55" s="9" t="e">
        <f>'I&amp;M Lists'!#REF!</f>
        <v>#REF!</v>
      </c>
      <c r="D55" s="9" t="s">
        <v>3196</v>
      </c>
      <c r="E55" s="9" t="e">
        <f>'I&amp;M Lists'!#REF!</f>
        <v>#REF!</v>
      </c>
      <c r="F55" s="9" t="s">
        <v>3150</v>
      </c>
      <c r="G55" s="9" t="s">
        <v>3163</v>
      </c>
      <c r="H55" s="9" t="e">
        <f t="shared" si="1"/>
        <v>#REF!</v>
      </c>
    </row>
    <row r="56" spans="2:8">
      <c r="B56" s="9" t="s">
        <v>3148</v>
      </c>
      <c r="C56" s="9" t="e">
        <f>'I&amp;M Lists'!#REF!</f>
        <v>#REF!</v>
      </c>
      <c r="D56" s="9" t="s">
        <v>3196</v>
      </c>
      <c r="E56" s="9" t="e">
        <f>'I&amp;M Lists'!#REF!</f>
        <v>#REF!</v>
      </c>
      <c r="F56" s="9" t="s">
        <v>3150</v>
      </c>
      <c r="G56" s="9" t="s">
        <v>3163</v>
      </c>
      <c r="H56" s="9" t="e">
        <f t="shared" si="1"/>
        <v>#REF!</v>
      </c>
    </row>
    <row r="57" spans="2:8">
      <c r="B57" s="9" t="s">
        <v>3148</v>
      </c>
      <c r="C57" s="9" t="e">
        <f>'I&amp;M Lists'!#REF!</f>
        <v>#REF!</v>
      </c>
      <c r="D57" s="9" t="s">
        <v>3196</v>
      </c>
      <c r="E57" s="9" t="e">
        <f>'I&amp;M Lists'!#REF!</f>
        <v>#REF!</v>
      </c>
      <c r="F57" s="9" t="s">
        <v>3150</v>
      </c>
      <c r="G57" s="9" t="s">
        <v>3163</v>
      </c>
      <c r="H57" s="9" t="e">
        <f t="shared" si="1"/>
        <v>#REF!</v>
      </c>
    </row>
    <row r="58" spans="2:8">
      <c r="B58" s="9" t="s">
        <v>3148</v>
      </c>
      <c r="C58" s="9" t="e">
        <f>'I&amp;M Lists'!#REF!</f>
        <v>#REF!</v>
      </c>
      <c r="D58" s="9" t="s">
        <v>3196</v>
      </c>
      <c r="E58" s="9" t="e">
        <f>'I&amp;M Lists'!#REF!</f>
        <v>#REF!</v>
      </c>
      <c r="F58" s="9" t="s">
        <v>3150</v>
      </c>
      <c r="G58" s="9" t="s">
        <v>3163</v>
      </c>
      <c r="H58" s="9" t="e">
        <f t="shared" si="1"/>
        <v>#REF!</v>
      </c>
    </row>
    <row r="59" spans="2:8">
      <c r="B59" s="9" t="s">
        <v>3148</v>
      </c>
      <c r="C59" s="9" t="e">
        <f>'I&amp;M Lists'!#REF!</f>
        <v>#REF!</v>
      </c>
      <c r="D59" s="9" t="s">
        <v>3196</v>
      </c>
      <c r="E59" s="9" t="e">
        <f>'I&amp;M Lists'!#REF!</f>
        <v>#REF!</v>
      </c>
      <c r="F59" s="9" t="s">
        <v>3150</v>
      </c>
      <c r="G59" s="9" t="s">
        <v>3163</v>
      </c>
      <c r="H59" s="9" t="e">
        <f t="shared" si="1"/>
        <v>#REF!</v>
      </c>
    </row>
    <row r="60" spans="2:8">
      <c r="B60" s="9" t="s">
        <v>3148</v>
      </c>
      <c r="C60" s="9" t="e">
        <f>'I&amp;M Lists'!#REF!</f>
        <v>#REF!</v>
      </c>
      <c r="D60" s="9" t="s">
        <v>3196</v>
      </c>
      <c r="E60" s="9" t="e">
        <f>'I&amp;M Lists'!#REF!</f>
        <v>#REF!</v>
      </c>
      <c r="F60" s="9" t="s">
        <v>3150</v>
      </c>
      <c r="G60" s="9" t="s">
        <v>3163</v>
      </c>
      <c r="H60" s="9" t="e">
        <f t="shared" si="1"/>
        <v>#REF!</v>
      </c>
    </row>
    <row r="61" spans="2:8">
      <c r="B61" s="9" t="s">
        <v>3148</v>
      </c>
      <c r="C61" s="9" t="e">
        <f>'I&amp;M Lists'!#REF!</f>
        <v>#REF!</v>
      </c>
      <c r="D61" s="9" t="s">
        <v>3196</v>
      </c>
      <c r="E61" s="9" t="e">
        <f>'I&amp;M Lists'!#REF!</f>
        <v>#REF!</v>
      </c>
      <c r="F61" s="9" t="s">
        <v>3150</v>
      </c>
      <c r="G61" s="9" t="s">
        <v>3163</v>
      </c>
      <c r="H61" s="9" t="e">
        <f t="shared" si="1"/>
        <v>#REF!</v>
      </c>
    </row>
    <row r="62" spans="2:8">
      <c r="B62" s="9" t="s">
        <v>3148</v>
      </c>
      <c r="C62" s="9" t="e">
        <f>'I&amp;M Lists'!#REF!</f>
        <v>#REF!</v>
      </c>
      <c r="D62" s="9" t="s">
        <v>3196</v>
      </c>
      <c r="E62" s="9" t="e">
        <f>'I&amp;M Lists'!#REF!</f>
        <v>#REF!</v>
      </c>
      <c r="F62" s="9" t="s">
        <v>3150</v>
      </c>
      <c r="G62" s="9" t="s">
        <v>3163</v>
      </c>
      <c r="H62" s="9" t="e">
        <f t="shared" si="1"/>
        <v>#REF!</v>
      </c>
    </row>
    <row r="63" spans="2:8">
      <c r="B63" s="9" t="s">
        <v>3148</v>
      </c>
      <c r="C63" s="9" t="e">
        <f>'I&amp;M Lists'!#REF!</f>
        <v>#REF!</v>
      </c>
      <c r="D63" s="9" t="s">
        <v>3196</v>
      </c>
      <c r="E63" s="9" t="e">
        <f>'I&amp;M Lists'!#REF!</f>
        <v>#REF!</v>
      </c>
      <c r="F63" s="9" t="s">
        <v>3150</v>
      </c>
      <c r="G63" s="9" t="s">
        <v>3163</v>
      </c>
      <c r="H63" s="9" t="e">
        <f t="shared" si="1"/>
        <v>#REF!</v>
      </c>
    </row>
    <row r="64" spans="2:8">
      <c r="B64" s="9" t="s">
        <v>3148</v>
      </c>
      <c r="C64" s="9" t="e">
        <f>'I&amp;M Lists'!#REF!</f>
        <v>#REF!</v>
      </c>
      <c r="D64" s="9" t="s">
        <v>3196</v>
      </c>
      <c r="E64" s="9" t="e">
        <f>'I&amp;M Lists'!#REF!</f>
        <v>#REF!</v>
      </c>
      <c r="F64" s="9" t="s">
        <v>3150</v>
      </c>
      <c r="G64" s="9" t="s">
        <v>3163</v>
      </c>
      <c r="H64" s="9" t="e">
        <f t="shared" si="1"/>
        <v>#REF!</v>
      </c>
    </row>
    <row r="65" spans="2:8">
      <c r="B65" s="9" t="s">
        <v>3148</v>
      </c>
      <c r="C65" s="9" t="e">
        <f>'I&amp;M Lists'!#REF!</f>
        <v>#REF!</v>
      </c>
      <c r="D65" s="9" t="s">
        <v>3196</v>
      </c>
      <c r="E65" s="9" t="e">
        <f>'I&amp;M Lists'!#REF!</f>
        <v>#REF!</v>
      </c>
      <c r="F65" s="9" t="s">
        <v>3150</v>
      </c>
      <c r="G65" s="9" t="s">
        <v>3163</v>
      </c>
      <c r="H65" s="9" t="e">
        <f t="shared" si="1"/>
        <v>#REF!</v>
      </c>
    </row>
    <row r="66" spans="2:8">
      <c r="B66" s="9" t="s">
        <v>3148</v>
      </c>
      <c r="C66" s="9" t="e">
        <f>'I&amp;M Lists'!#REF!</f>
        <v>#REF!</v>
      </c>
      <c r="D66" s="9" t="s">
        <v>3196</v>
      </c>
      <c r="E66" s="9" t="e">
        <f>'I&amp;M Lists'!#REF!</f>
        <v>#REF!</v>
      </c>
      <c r="F66" s="9" t="s">
        <v>3150</v>
      </c>
      <c r="G66" s="9" t="s">
        <v>3163</v>
      </c>
      <c r="H66" s="9" t="e">
        <f t="shared" si="1"/>
        <v>#REF!</v>
      </c>
    </row>
    <row r="67" spans="2:8">
      <c r="B67" s="9" t="s">
        <v>3148</v>
      </c>
      <c r="C67" s="9" t="e">
        <f>'I&amp;M Lists'!#REF!</f>
        <v>#REF!</v>
      </c>
      <c r="D67" s="9" t="s">
        <v>3196</v>
      </c>
      <c r="E67" s="9" t="e">
        <f>'I&amp;M Lists'!#REF!</f>
        <v>#REF!</v>
      </c>
      <c r="F67" s="9" t="s">
        <v>3150</v>
      </c>
      <c r="G67" s="9" t="s">
        <v>3163</v>
      </c>
      <c r="H67" s="9" t="e">
        <f t="shared" si="1"/>
        <v>#REF!</v>
      </c>
    </row>
    <row r="68" spans="2:8">
      <c r="B68" s="9" t="s">
        <v>3148</v>
      </c>
      <c r="C68" s="9" t="e">
        <f>'I&amp;M Lists'!#REF!</f>
        <v>#REF!</v>
      </c>
      <c r="D68" s="9" t="s">
        <v>3196</v>
      </c>
      <c r="E68" s="9" t="e">
        <f>'I&amp;M Lists'!#REF!</f>
        <v>#REF!</v>
      </c>
      <c r="F68" s="9" t="s">
        <v>3150</v>
      </c>
      <c r="G68" s="9" t="s">
        <v>3163</v>
      </c>
      <c r="H68" s="9" t="e">
        <f t="shared" si="1"/>
        <v>#REF!</v>
      </c>
    </row>
    <row r="69" spans="2:8">
      <c r="B69" s="9" t="s">
        <v>3148</v>
      </c>
      <c r="C69" s="9" t="e">
        <f>'I&amp;M Lists'!#REF!</f>
        <v>#REF!</v>
      </c>
      <c r="D69" s="9" t="s">
        <v>3196</v>
      </c>
      <c r="E69" s="9" t="e">
        <f>'I&amp;M Lists'!#REF!</f>
        <v>#REF!</v>
      </c>
      <c r="F69" s="9" t="s">
        <v>3150</v>
      </c>
      <c r="G69" s="9" t="s">
        <v>3163</v>
      </c>
      <c r="H69" s="9" t="e">
        <f t="shared" si="1"/>
        <v>#REF!</v>
      </c>
    </row>
    <row r="70" spans="2:8">
      <c r="B70" s="9" t="s">
        <v>3148</v>
      </c>
      <c r="C70" s="9" t="e">
        <f>'I&amp;M Lists'!#REF!</f>
        <v>#REF!</v>
      </c>
      <c r="D70" s="9" t="s">
        <v>3196</v>
      </c>
      <c r="E70" s="9" t="e">
        <f>'I&amp;M Lists'!#REF!</f>
        <v>#REF!</v>
      </c>
      <c r="F70" s="9" t="s">
        <v>3150</v>
      </c>
      <c r="G70" s="9" t="s">
        <v>3163</v>
      </c>
      <c r="H70" s="9" t="e">
        <f t="shared" si="1"/>
        <v>#REF!</v>
      </c>
    </row>
    <row r="71" spans="2:8">
      <c r="B71" s="9" t="s">
        <v>3148</v>
      </c>
      <c r="C71" s="9" t="e">
        <f>'I&amp;M Lists'!#REF!</f>
        <v>#REF!</v>
      </c>
      <c r="D71" s="9" t="s">
        <v>3196</v>
      </c>
      <c r="E71" s="9" t="e">
        <f>'I&amp;M Lists'!#REF!</f>
        <v>#REF!</v>
      </c>
      <c r="F71" s="9" t="s">
        <v>3150</v>
      </c>
      <c r="G71" s="9" t="s">
        <v>3163</v>
      </c>
      <c r="H71" s="9" t="e">
        <f t="shared" si="1"/>
        <v>#REF!</v>
      </c>
    </row>
    <row r="72" spans="2:8">
      <c r="B72" s="9" t="s">
        <v>3148</v>
      </c>
      <c r="C72" s="9" t="e">
        <f>'I&amp;M Lists'!#REF!</f>
        <v>#REF!</v>
      </c>
      <c r="D72" s="9" t="s">
        <v>3196</v>
      </c>
      <c r="E72" s="9" t="e">
        <f>'I&amp;M Lists'!#REF!</f>
        <v>#REF!</v>
      </c>
      <c r="F72" s="9" t="s">
        <v>3150</v>
      </c>
      <c r="G72" s="9" t="s">
        <v>3163</v>
      </c>
      <c r="H72" s="9" t="e">
        <f t="shared" si="1"/>
        <v>#REF!</v>
      </c>
    </row>
    <row r="73" spans="2:8">
      <c r="B73" s="9" t="s">
        <v>3148</v>
      </c>
      <c r="C73" s="9" t="e">
        <f>'I&amp;M Lists'!#REF!</f>
        <v>#REF!</v>
      </c>
      <c r="D73" s="9" t="s">
        <v>3196</v>
      </c>
      <c r="E73" s="9" t="e">
        <f>'I&amp;M Lists'!#REF!</f>
        <v>#REF!</v>
      </c>
      <c r="F73" s="9" t="s">
        <v>3150</v>
      </c>
      <c r="G73" s="9" t="s">
        <v>3163</v>
      </c>
      <c r="H73" s="9" t="e">
        <f t="shared" si="1"/>
        <v>#REF!</v>
      </c>
    </row>
    <row r="74" spans="2:8">
      <c r="B74" s="9" t="s">
        <v>3148</v>
      </c>
      <c r="C74" s="9" t="e">
        <f>'I&amp;M Lists'!#REF!</f>
        <v>#REF!</v>
      </c>
      <c r="D74" s="9" t="s">
        <v>3196</v>
      </c>
      <c r="E74" s="9" t="e">
        <f>'I&amp;M Lists'!#REF!</f>
        <v>#REF!</v>
      </c>
      <c r="F74" s="9" t="s">
        <v>3150</v>
      </c>
      <c r="G74" s="9" t="s">
        <v>3163</v>
      </c>
      <c r="H74" s="9" t="e">
        <f t="shared" si="1"/>
        <v>#REF!</v>
      </c>
    </row>
    <row r="75" spans="2:8">
      <c r="B75" s="9" t="s">
        <v>3148</v>
      </c>
      <c r="C75" s="9" t="e">
        <f>'I&amp;M Lists'!#REF!</f>
        <v>#REF!</v>
      </c>
      <c r="D75" s="9" t="s">
        <v>3196</v>
      </c>
      <c r="E75" s="9" t="e">
        <f>'I&amp;M Lists'!#REF!</f>
        <v>#REF!</v>
      </c>
      <c r="F75" s="9" t="s">
        <v>3150</v>
      </c>
      <c r="G75" s="9" t="s">
        <v>3163</v>
      </c>
      <c r="H75" s="9" t="e">
        <f t="shared" si="1"/>
        <v>#REF!</v>
      </c>
    </row>
    <row r="76" spans="2:8">
      <c r="B76" s="9" t="s">
        <v>3148</v>
      </c>
      <c r="C76" s="9" t="e">
        <f>'I&amp;M Lists'!#REF!</f>
        <v>#REF!</v>
      </c>
      <c r="D76" s="9" t="s">
        <v>3196</v>
      </c>
      <c r="E76" s="9" t="e">
        <f>'I&amp;M Lists'!#REF!</f>
        <v>#REF!</v>
      </c>
      <c r="F76" s="9" t="s">
        <v>3150</v>
      </c>
      <c r="G76" s="9" t="s">
        <v>3163</v>
      </c>
      <c r="H76" s="9" t="e">
        <f t="shared" si="1"/>
        <v>#REF!</v>
      </c>
    </row>
    <row r="77" spans="2:8">
      <c r="B77" s="9" t="s">
        <v>3148</v>
      </c>
      <c r="C77" s="9" t="e">
        <f>'I&amp;M Lists'!#REF!</f>
        <v>#REF!</v>
      </c>
      <c r="D77" s="9" t="s">
        <v>3196</v>
      </c>
      <c r="E77" s="9" t="e">
        <f>'I&amp;M Lists'!#REF!</f>
        <v>#REF!</v>
      </c>
      <c r="F77" s="9" t="s">
        <v>3150</v>
      </c>
      <c r="G77" s="9" t="s">
        <v>3163</v>
      </c>
      <c r="H77" s="9" t="e">
        <f t="shared" si="1"/>
        <v>#REF!</v>
      </c>
    </row>
    <row r="78" spans="2:8">
      <c r="B78" s="9" t="s">
        <v>3148</v>
      </c>
      <c r="C78" s="9" t="e">
        <f>'I&amp;M Lists'!#REF!</f>
        <v>#REF!</v>
      </c>
      <c r="D78" s="9" t="s">
        <v>3196</v>
      </c>
      <c r="E78" s="9" t="e">
        <f>'I&amp;M Lists'!#REF!</f>
        <v>#REF!</v>
      </c>
      <c r="F78" s="9" t="s">
        <v>3150</v>
      </c>
      <c r="G78" s="9" t="s">
        <v>3163</v>
      </c>
      <c r="H78" s="9" t="e">
        <f t="shared" si="1"/>
        <v>#REF!</v>
      </c>
    </row>
    <row r="79" spans="2:8">
      <c r="B79" s="9" t="s">
        <v>3148</v>
      </c>
      <c r="C79" s="9" t="e">
        <f>'I&amp;M Lists'!#REF!</f>
        <v>#REF!</v>
      </c>
      <c r="D79" s="9" t="s">
        <v>3196</v>
      </c>
      <c r="E79" s="9" t="e">
        <f>'I&amp;M Lists'!#REF!</f>
        <v>#REF!</v>
      </c>
      <c r="F79" s="9" t="s">
        <v>3150</v>
      </c>
      <c r="G79" s="9" t="s">
        <v>3163</v>
      </c>
      <c r="H79" s="9" t="e">
        <f t="shared" si="1"/>
        <v>#REF!</v>
      </c>
    </row>
    <row r="80" spans="2:8">
      <c r="B80" s="9" t="s">
        <v>3148</v>
      </c>
      <c r="C80" s="9" t="e">
        <f>'I&amp;M Lists'!#REF!</f>
        <v>#REF!</v>
      </c>
      <c r="D80" s="9" t="s">
        <v>3196</v>
      </c>
      <c r="E80" s="9" t="e">
        <f>'I&amp;M Lists'!#REF!</f>
        <v>#REF!</v>
      </c>
      <c r="F80" s="9" t="s">
        <v>3150</v>
      </c>
      <c r="G80" s="9" t="s">
        <v>3163</v>
      </c>
      <c r="H80" s="9" t="e">
        <f t="shared" si="1"/>
        <v>#REF!</v>
      </c>
    </row>
    <row r="81" spans="2:8">
      <c r="B81" s="9" t="s">
        <v>3148</v>
      </c>
      <c r="C81" s="9" t="e">
        <f>'I&amp;M Lists'!#REF!</f>
        <v>#REF!</v>
      </c>
      <c r="D81" s="9" t="s">
        <v>3196</v>
      </c>
      <c r="E81" s="9" t="e">
        <f>'I&amp;M Lists'!#REF!</f>
        <v>#REF!</v>
      </c>
      <c r="F81" s="9" t="s">
        <v>3150</v>
      </c>
      <c r="G81" s="9" t="s">
        <v>3163</v>
      </c>
      <c r="H81" s="9" t="e">
        <f t="shared" si="1"/>
        <v>#REF!</v>
      </c>
    </row>
    <row r="82" spans="2:8">
      <c r="B82" s="9" t="s">
        <v>3148</v>
      </c>
      <c r="C82" s="9" t="e">
        <f>'I&amp;M Lists'!#REF!</f>
        <v>#REF!</v>
      </c>
      <c r="D82" s="9" t="s">
        <v>3196</v>
      </c>
      <c r="E82" s="9" t="e">
        <f>'I&amp;M Lists'!#REF!</f>
        <v>#REF!</v>
      </c>
      <c r="F82" s="9" t="s">
        <v>3150</v>
      </c>
      <c r="G82" s="9" t="s">
        <v>3163</v>
      </c>
      <c r="H82" s="9" t="e">
        <f t="shared" si="1"/>
        <v>#REF!</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EE8BE-5D41-4240-839E-0E84B3F8C6C9}">
  <sheetPr codeName="Sheet16"/>
  <dimension ref="A1:H33"/>
  <sheetViews>
    <sheetView zoomScale="70" zoomScaleNormal="70" workbookViewId="0">
      <selection activeCell="E18" sqref="E18"/>
    </sheetView>
  </sheetViews>
  <sheetFormatPr defaultColWidth="0" defaultRowHeight="14.45"/>
  <cols>
    <col min="1" max="1" width="12.7109375" customWidth="1"/>
    <col min="2" max="2" width="10" bestFit="1" customWidth="1"/>
    <col min="3" max="3" width="5.28515625" bestFit="1" customWidth="1"/>
    <col min="4" max="4" width="13" bestFit="1" customWidth="1"/>
    <col min="5" max="5" width="29.7109375" bestFit="1" customWidth="1"/>
    <col min="6" max="6" width="4.28515625" bestFit="1" customWidth="1"/>
    <col min="7" max="7" width="51.7109375" bestFit="1" customWidth="1"/>
    <col min="8" max="8" width="8.7109375" customWidth="1"/>
    <col min="9" max="16384" width="8.7109375" hidden="1"/>
  </cols>
  <sheetData>
    <row r="1" spans="2:7">
      <c r="B1" s="413" t="s">
        <v>3197</v>
      </c>
      <c r="C1" s="413"/>
      <c r="D1" s="413"/>
      <c r="E1" s="413"/>
      <c r="F1" s="413"/>
      <c r="G1" s="413"/>
    </row>
    <row r="2" spans="2:7">
      <c r="B2" s="122" t="s">
        <v>3142</v>
      </c>
      <c r="C2" s="122" t="s">
        <v>20</v>
      </c>
      <c r="D2" s="122" t="s">
        <v>3142</v>
      </c>
      <c r="E2" s="122" t="s">
        <v>3143</v>
      </c>
      <c r="F2" s="9"/>
      <c r="G2" s="9"/>
    </row>
    <row r="3" spans="2:7">
      <c r="B3" s="9" t="s">
        <v>3157</v>
      </c>
      <c r="C3" s="9" t="e">
        <f>'I&amp;M Lists'!#REF!</f>
        <v>#REF!</v>
      </c>
      <c r="D3" s="9" t="s">
        <v>3198</v>
      </c>
      <c r="E3" s="9" t="e">
        <f>'I&amp;M Lists'!#REF!</f>
        <v>#REF!</v>
      </c>
      <c r="F3" s="9" t="s">
        <v>3199</v>
      </c>
      <c r="G3" s="9" t="e">
        <f>CONCATENATE(B3,C3,D3,E3,F3)</f>
        <v>#REF!</v>
      </c>
    </row>
    <row r="4" spans="2:7">
      <c r="B4" s="9" t="s">
        <v>3157</v>
      </c>
      <c r="C4" s="9" t="e">
        <f>'I&amp;M Lists'!#REF!</f>
        <v>#REF!</v>
      </c>
      <c r="D4" s="9" t="s">
        <v>3198</v>
      </c>
      <c r="E4" s="9" t="e">
        <f>'I&amp;M Lists'!#REF!</f>
        <v>#REF!</v>
      </c>
      <c r="F4" s="9" t="s">
        <v>3199</v>
      </c>
      <c r="G4" s="9" t="e">
        <f t="shared" ref="G4:G10" si="0">CONCATENATE(B4,C4,D4,E4,F4)</f>
        <v>#REF!</v>
      </c>
    </row>
    <row r="5" spans="2:7">
      <c r="B5" s="9" t="s">
        <v>3157</v>
      </c>
      <c r="C5" s="9" t="e">
        <f>'I&amp;M Lists'!#REF!</f>
        <v>#REF!</v>
      </c>
      <c r="D5" s="9" t="s">
        <v>3198</v>
      </c>
      <c r="E5" s="9" t="e">
        <f>'I&amp;M Lists'!#REF!</f>
        <v>#REF!</v>
      </c>
      <c r="F5" s="9" t="s">
        <v>3199</v>
      </c>
      <c r="G5" s="9" t="e">
        <f>CONCATENATE(B5,C5,D5,E5,F5)</f>
        <v>#REF!</v>
      </c>
    </row>
    <row r="6" spans="2:7">
      <c r="B6" s="9" t="s">
        <v>3157</v>
      </c>
      <c r="C6" s="9" t="e">
        <f>'I&amp;M Lists'!#REF!</f>
        <v>#REF!</v>
      </c>
      <c r="D6" s="9" t="s">
        <v>3198</v>
      </c>
      <c r="E6" s="9" t="e">
        <f>'I&amp;M Lists'!#REF!</f>
        <v>#REF!</v>
      </c>
      <c r="F6" s="9" t="s">
        <v>3199</v>
      </c>
      <c r="G6" s="9" t="e">
        <f t="shared" si="0"/>
        <v>#REF!</v>
      </c>
    </row>
    <row r="7" spans="2:7">
      <c r="B7" s="9" t="s">
        <v>3157</v>
      </c>
      <c r="C7" s="9" t="e">
        <f>'I&amp;M Lists'!#REF!</f>
        <v>#REF!</v>
      </c>
      <c r="D7" s="9" t="s">
        <v>3198</v>
      </c>
      <c r="E7" s="9" t="e">
        <f>'I&amp;M Lists'!#REF!</f>
        <v>#REF!</v>
      </c>
      <c r="F7" s="9" t="s">
        <v>3199</v>
      </c>
      <c r="G7" s="9" t="e">
        <f t="shared" si="0"/>
        <v>#REF!</v>
      </c>
    </row>
    <row r="8" spans="2:7">
      <c r="B8" s="9" t="s">
        <v>3157</v>
      </c>
      <c r="C8" s="9" t="e">
        <f>'I&amp;M Lists'!#REF!</f>
        <v>#REF!</v>
      </c>
      <c r="D8" s="9" t="s">
        <v>3198</v>
      </c>
      <c r="E8" s="9" t="e">
        <f>'I&amp;M Lists'!#REF!</f>
        <v>#REF!</v>
      </c>
      <c r="F8" s="9" t="s">
        <v>3199</v>
      </c>
      <c r="G8" s="9" t="e">
        <f t="shared" si="0"/>
        <v>#REF!</v>
      </c>
    </row>
    <row r="9" spans="2:7">
      <c r="B9" s="9" t="s">
        <v>3157</v>
      </c>
      <c r="C9" s="9" t="e">
        <f>'I&amp;M Lists'!#REF!</f>
        <v>#REF!</v>
      </c>
      <c r="D9" s="9" t="s">
        <v>3198</v>
      </c>
      <c r="E9" s="9" t="e">
        <f>'I&amp;M Lists'!#REF!</f>
        <v>#REF!</v>
      </c>
      <c r="F9" s="9" t="s">
        <v>3199</v>
      </c>
      <c r="G9" s="9" t="e">
        <f t="shared" si="0"/>
        <v>#REF!</v>
      </c>
    </row>
    <row r="10" spans="2:7">
      <c r="B10" s="9" t="s">
        <v>3157</v>
      </c>
      <c r="C10" s="9" t="e">
        <f>'I&amp;M Lists'!#REF!</f>
        <v>#REF!</v>
      </c>
      <c r="D10" s="9" t="s">
        <v>3198</v>
      </c>
      <c r="E10" s="9" t="e">
        <f>'I&amp;M Lists'!#REF!</f>
        <v>#REF!</v>
      </c>
      <c r="F10" s="9" t="s">
        <v>3199</v>
      </c>
      <c r="G10" s="9" t="e">
        <f t="shared" si="0"/>
        <v>#REF!</v>
      </c>
    </row>
    <row r="11" spans="2:7">
      <c r="B11" s="9" t="s">
        <v>3157</v>
      </c>
      <c r="C11" s="9" t="e">
        <f>'I&amp;M Lists'!#REF!</f>
        <v>#REF!</v>
      </c>
      <c r="D11" s="9" t="s">
        <v>3198</v>
      </c>
      <c r="E11" s="9" t="e">
        <f>'I&amp;M Lists'!#REF!</f>
        <v>#REF!</v>
      </c>
      <c r="F11" s="9" t="s">
        <v>3199</v>
      </c>
      <c r="G11" s="9" t="e">
        <f>CONCATENATE(B11,C11,D11,E11,F11)</f>
        <v>#REF!</v>
      </c>
    </row>
    <row r="12" spans="2:7">
      <c r="B12" s="9" t="s">
        <v>3157</v>
      </c>
      <c r="C12" s="9" t="e">
        <f>'I&amp;M Lists'!#REF!</f>
        <v>#REF!</v>
      </c>
      <c r="D12" s="9" t="s">
        <v>3198</v>
      </c>
      <c r="E12" s="9" t="e">
        <f>'I&amp;M Lists'!#REF!</f>
        <v>#REF!</v>
      </c>
      <c r="F12" s="9" t="s">
        <v>3199</v>
      </c>
      <c r="G12" s="9" t="e">
        <f>CONCATENATE(B12,C12,D12,E12,F12)</f>
        <v>#REF!</v>
      </c>
    </row>
    <row r="13" spans="2:7">
      <c r="B13" s="9" t="s">
        <v>3157</v>
      </c>
      <c r="C13" s="9" t="e">
        <f>'I&amp;M Lists'!#REF!</f>
        <v>#REF!</v>
      </c>
      <c r="D13" s="9" t="s">
        <v>3198</v>
      </c>
      <c r="E13" s="9" t="e">
        <f>'I&amp;M Lists'!#REF!</f>
        <v>#REF!</v>
      </c>
      <c r="F13" s="9" t="s">
        <v>3199</v>
      </c>
      <c r="G13" s="9" t="e">
        <f>CONCATENATE(B13,C13,D13,E13,F13)</f>
        <v>#REF!</v>
      </c>
    </row>
    <row r="16" spans="2:7">
      <c r="B16" s="413" t="s">
        <v>3200</v>
      </c>
      <c r="C16" s="413"/>
      <c r="D16" s="413"/>
      <c r="E16" s="413"/>
      <c r="F16" s="413"/>
      <c r="G16" s="413"/>
    </row>
    <row r="17" spans="2:7">
      <c r="B17" s="122" t="s">
        <v>3142</v>
      </c>
      <c r="C17" s="122" t="s">
        <v>20</v>
      </c>
      <c r="D17" s="122" t="s">
        <v>3142</v>
      </c>
      <c r="E17" s="122" t="s">
        <v>3143</v>
      </c>
      <c r="F17" s="9"/>
      <c r="G17" s="9"/>
    </row>
    <row r="18" spans="2:7">
      <c r="B18" s="9" t="s">
        <v>3157</v>
      </c>
      <c r="C18" s="9" t="e">
        <f>'I&amp;M Lists'!#REF!</f>
        <v>#REF!</v>
      </c>
      <c r="D18" s="9" t="s">
        <v>3198</v>
      </c>
      <c r="E18" s="9" t="e">
        <f>'I&amp;M Lists'!#REF!</f>
        <v>#REF!</v>
      </c>
      <c r="F18" s="9" t="s">
        <v>3199</v>
      </c>
      <c r="G18" s="9" t="e">
        <f>CONCATENATE(B18,C18,D18,E18,F18)</f>
        <v>#REF!</v>
      </c>
    </row>
    <row r="19" spans="2:7">
      <c r="B19" s="9" t="s">
        <v>3157</v>
      </c>
      <c r="C19" s="9" t="e">
        <f>'I&amp;M Lists'!#REF!</f>
        <v>#REF!</v>
      </c>
      <c r="D19" s="9" t="s">
        <v>3198</v>
      </c>
      <c r="E19" s="9" t="e">
        <f>'I&amp;M Lists'!#REF!</f>
        <v>#REF!</v>
      </c>
      <c r="F19" s="9" t="s">
        <v>3199</v>
      </c>
      <c r="G19" s="9" t="e">
        <f t="shared" ref="G19:G24" si="1">CONCATENATE(B19,C19,D19,E19,F19)</f>
        <v>#REF!</v>
      </c>
    </row>
    <row r="20" spans="2:7">
      <c r="B20" s="9" t="s">
        <v>3157</v>
      </c>
      <c r="C20" s="9" t="e">
        <f>'I&amp;M Lists'!#REF!</f>
        <v>#REF!</v>
      </c>
      <c r="D20" s="9" t="s">
        <v>3198</v>
      </c>
      <c r="E20" s="9" t="e">
        <f>'I&amp;M Lists'!#REF!</f>
        <v>#REF!</v>
      </c>
      <c r="F20" s="9" t="s">
        <v>3199</v>
      </c>
      <c r="G20" s="9" t="e">
        <f t="shared" si="1"/>
        <v>#REF!</v>
      </c>
    </row>
    <row r="21" spans="2:7">
      <c r="B21" s="9" t="s">
        <v>3157</v>
      </c>
      <c r="C21" s="9" t="e">
        <f>'I&amp;M Lists'!#REF!</f>
        <v>#REF!</v>
      </c>
      <c r="D21" s="9" t="s">
        <v>3198</v>
      </c>
      <c r="E21" s="9" t="e">
        <f>'I&amp;M Lists'!#REF!</f>
        <v>#REF!</v>
      </c>
      <c r="F21" s="9" t="s">
        <v>3199</v>
      </c>
      <c r="G21" s="9" t="e">
        <f t="shared" si="1"/>
        <v>#REF!</v>
      </c>
    </row>
    <row r="22" spans="2:7">
      <c r="B22" s="9" t="s">
        <v>3157</v>
      </c>
      <c r="C22" s="9" t="e">
        <f>'I&amp;M Lists'!#REF!</f>
        <v>#REF!</v>
      </c>
      <c r="D22" s="9" t="s">
        <v>3198</v>
      </c>
      <c r="E22" s="9" t="e">
        <f>'I&amp;M Lists'!#REF!</f>
        <v>#REF!</v>
      </c>
      <c r="F22" s="9" t="s">
        <v>3199</v>
      </c>
      <c r="G22" s="9" t="e">
        <f t="shared" si="1"/>
        <v>#REF!</v>
      </c>
    </row>
    <row r="23" spans="2:7">
      <c r="B23" s="9" t="s">
        <v>3157</v>
      </c>
      <c r="C23" s="9" t="e">
        <f>'I&amp;M Lists'!#REF!</f>
        <v>#REF!</v>
      </c>
      <c r="D23" s="9" t="s">
        <v>3198</v>
      </c>
      <c r="E23" s="9" t="e">
        <f>'I&amp;M Lists'!#REF!</f>
        <v>#REF!</v>
      </c>
      <c r="F23" s="9" t="s">
        <v>3199</v>
      </c>
      <c r="G23" s="9" t="e">
        <f t="shared" si="1"/>
        <v>#REF!</v>
      </c>
    </row>
    <row r="24" spans="2:7">
      <c r="B24" s="9" t="s">
        <v>3157</v>
      </c>
      <c r="C24" s="9" t="e">
        <f>'I&amp;M Lists'!#REF!</f>
        <v>#REF!</v>
      </c>
      <c r="D24" s="9" t="s">
        <v>3198</v>
      </c>
      <c r="E24" s="9" t="e">
        <f>'I&amp;M Lists'!#REF!</f>
        <v>#REF!</v>
      </c>
      <c r="F24" s="9" t="s">
        <v>3199</v>
      </c>
      <c r="G24" s="9" t="e">
        <f t="shared" si="1"/>
        <v>#REF!</v>
      </c>
    </row>
    <row r="27" spans="2:7">
      <c r="B27" s="413" t="s">
        <v>3076</v>
      </c>
      <c r="C27" s="413"/>
      <c r="D27" s="413"/>
      <c r="E27" s="413"/>
      <c r="F27" s="413"/>
      <c r="G27" s="413"/>
    </row>
    <row r="28" spans="2:7">
      <c r="B28" s="122" t="s">
        <v>3142</v>
      </c>
      <c r="C28" s="122" t="s">
        <v>20</v>
      </c>
      <c r="D28" s="122" t="s">
        <v>3142</v>
      </c>
      <c r="E28" s="122" t="s">
        <v>3143</v>
      </c>
      <c r="F28" s="9"/>
      <c r="G28" s="9"/>
    </row>
    <row r="29" spans="2:7">
      <c r="B29" s="9" t="s">
        <v>3157</v>
      </c>
      <c r="C29" s="9" t="e">
        <f>'I&amp;M Lists'!#REF!</f>
        <v>#REF!</v>
      </c>
      <c r="D29" s="9" t="s">
        <v>3198</v>
      </c>
      <c r="E29" s="9" t="e">
        <f>'I&amp;M Lists'!#REF!</f>
        <v>#REF!</v>
      </c>
      <c r="F29" s="9" t="s">
        <v>3199</v>
      </c>
      <c r="G29" s="9" t="e">
        <f>CONCATENATE(B29,C29,D29,E29,F29)</f>
        <v>#REF!</v>
      </c>
    </row>
    <row r="30" spans="2:7">
      <c r="B30" s="9" t="s">
        <v>3157</v>
      </c>
      <c r="C30" s="9" t="e">
        <f>'I&amp;M Lists'!#REF!</f>
        <v>#REF!</v>
      </c>
      <c r="D30" s="9" t="s">
        <v>3198</v>
      </c>
      <c r="E30" s="9" t="e">
        <f>'I&amp;M Lists'!#REF!</f>
        <v>#REF!</v>
      </c>
      <c r="F30" s="9" t="s">
        <v>3199</v>
      </c>
      <c r="G30" s="9" t="e">
        <f t="shared" ref="G30:G33" si="2">CONCATENATE(B30,C30,D30,E30,F30)</f>
        <v>#REF!</v>
      </c>
    </row>
    <row r="31" spans="2:7">
      <c r="B31" s="9" t="s">
        <v>3157</v>
      </c>
      <c r="C31" s="9" t="e">
        <f>'I&amp;M Lists'!#REF!</f>
        <v>#REF!</v>
      </c>
      <c r="D31" s="9" t="s">
        <v>3198</v>
      </c>
      <c r="E31" s="9" t="e">
        <f>'I&amp;M Lists'!#REF!</f>
        <v>#REF!</v>
      </c>
      <c r="F31" s="9" t="s">
        <v>3199</v>
      </c>
      <c r="G31" s="9" t="e">
        <f t="shared" si="2"/>
        <v>#REF!</v>
      </c>
    </row>
    <row r="32" spans="2:7">
      <c r="B32" s="9" t="s">
        <v>3157</v>
      </c>
      <c r="C32" s="9" t="e">
        <f>'I&amp;M Lists'!#REF!</f>
        <v>#REF!</v>
      </c>
      <c r="D32" s="9" t="s">
        <v>3198</v>
      </c>
      <c r="E32" s="9" t="e">
        <f>'I&amp;M Lists'!#REF!</f>
        <v>#REF!</v>
      </c>
      <c r="F32" s="9" t="s">
        <v>3199</v>
      </c>
      <c r="G32" s="9" t="e">
        <f t="shared" si="2"/>
        <v>#REF!</v>
      </c>
    </row>
    <row r="33" spans="2:7">
      <c r="B33" s="9" t="s">
        <v>3157</v>
      </c>
      <c r="C33" s="9" t="e">
        <f>'I&amp;M Lists'!#REF!</f>
        <v>#REF!</v>
      </c>
      <c r="D33" s="9" t="s">
        <v>3198</v>
      </c>
      <c r="E33" s="9" t="e">
        <f>'I&amp;M Lists'!#REF!</f>
        <v>#REF!</v>
      </c>
      <c r="F33" s="9" t="s">
        <v>3199</v>
      </c>
      <c r="G33" s="9" t="e">
        <f t="shared" si="2"/>
        <v>#REF!</v>
      </c>
    </row>
  </sheetData>
  <mergeCells count="3">
    <mergeCell ref="B1:G1"/>
    <mergeCell ref="B16:G16"/>
    <mergeCell ref="B27:G2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9a1cb5-b05e-4449-8e35-2382c7f5dc75">
      <Terms xmlns="http://schemas.microsoft.com/office/infopath/2007/PartnerControls"/>
    </lcf76f155ced4ddcb4097134ff3c332f>
    <TaxCatchAll xmlns="eab76e4c-7781-4466-bb7a-84e5654b14a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9A103DD68724C246A1E32C889024C14C" ma:contentTypeVersion="11" ma:contentTypeDescription="Create a new document." ma:contentTypeScope="" ma:versionID="c91c204ea9f716a24f571dcf9fd0bb03">
  <xsd:schema xmlns:xsd="http://www.w3.org/2001/XMLSchema" xmlns:xs="http://www.w3.org/2001/XMLSchema" xmlns:p="http://schemas.microsoft.com/office/2006/metadata/properties" xmlns:ns2="819a1cb5-b05e-4449-8e35-2382c7f5dc75" xmlns:ns3="eab76e4c-7781-4466-bb7a-84e5654b14a8" targetNamespace="http://schemas.microsoft.com/office/2006/metadata/properties" ma:root="true" ma:fieldsID="a443ddb261767523822e353e3883b4e0" ns2:_="" ns3:_="">
    <xsd:import namespace="819a1cb5-b05e-4449-8e35-2382c7f5dc75"/>
    <xsd:import namespace="eab76e4c-7781-4466-bb7a-84e5654b14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1cb5-b05e-4449-8e35-2382c7f5dc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2dd8263-edea-4bab-b61a-72902cfac41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b76e4c-7781-4466-bb7a-84e5654b14a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0425b67-fe5e-40df-a34a-b35150aa6c36}" ma:internalName="TaxCatchAll" ma:showField="CatchAllData" ma:web="eab76e4c-7781-4466-bb7a-84e5654b14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21C0DE-EA57-46C2-835A-E0594572D07D}"/>
</file>

<file path=customXml/itemProps2.xml><?xml version="1.0" encoding="utf-8"?>
<ds:datastoreItem xmlns:ds="http://schemas.openxmlformats.org/officeDocument/2006/customXml" ds:itemID="{651681BD-8DF6-4437-B82B-09431DE4C37A}"/>
</file>

<file path=customXml/itemProps3.xml><?xml version="1.0" encoding="utf-8"?>
<ds:datastoreItem xmlns:ds="http://schemas.openxmlformats.org/officeDocument/2006/customXml" ds:itemID="{B6F71D78-3B58-4134-9041-AA4CAD94B1F0}"/>
</file>

<file path=customXml/itemProps4.xml><?xml version="1.0" encoding="utf-8"?>
<ds:datastoreItem xmlns:ds="http://schemas.openxmlformats.org/officeDocument/2006/customXml" ds:itemID="{2C05B8B3-F036-4135-9904-F8E735DDBAB8}"/>
</file>

<file path=docMetadata/LabelInfo.xml><?xml version="1.0" encoding="utf-8"?>
<clbl:labelList xmlns:clbl="http://schemas.microsoft.com/office/2020/mipLabelMetadata">
  <clbl:label id="{b020b37f-db72-473e-ae54-fb16df408069}" enabled="1" method="Standard" siteId="{705d07a3-2eea-4f3b-ab59-65ca29abeb2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Philippe Fruchet</dc:creator>
  <cp:keywords/>
  <dc:description/>
  <cp:lastModifiedBy>Oumar Alpha Yaya Cisse</cp:lastModifiedBy>
  <cp:revision/>
  <dcterms:created xsi:type="dcterms:W3CDTF">2016-05-11T07:16:59Z</dcterms:created>
  <dcterms:modified xsi:type="dcterms:W3CDTF">2025-12-27T15:28:13Z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0x0101009A103DD68724C246A1E32C889024C14C</vt:lpwstr>
  </property>
  <property fmtid="{D5CDD505-2E9C-101B-9397-08002B2CF9AE}" pid="3" name="WorkbookGuid">
    <vt:lpwstr>03f51c16-bd45-40d8-9698-7a1acbffd0a4</vt:lpwstr>
  </property>
  <property fmtid="{D5CDD505-2E9C-101B-9397-08002B2CF9AE}" pid="4" name="MediaServiceImageTags">
    <vt:lpwstr/>
  </property>
  <property fmtid="{D5CDD505-2E9C-101B-9397-08002B2CF9AE}" pid="5" name="_ExtendedDescription">
    <vt:lpwstr/>
  </property>
</Properties>
</file>